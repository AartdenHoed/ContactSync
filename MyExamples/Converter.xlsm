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f95e75abef2bde1/ADHC Development/ContactSync.git/"/>
    </mc:Choice>
  </mc:AlternateContent>
  <xr:revisionPtr revIDLastSave="23" documentId="11_6E29A96681DDC8227ECB45EDCE992ECFB696541C" xr6:coauthVersionLast="47" xr6:coauthVersionMax="47" xr10:uidLastSave="{6DF95A4F-F31C-401E-953F-B48A11BFA5E6}"/>
  <bookViews>
    <workbookView xWindow="6400" yWindow="2600" windowWidth="19200" windowHeight="10060" activeTab="1" xr2:uid="{00000000-000D-0000-FFFF-FFFF00000000}"/>
  </bookViews>
  <sheets>
    <sheet name="Contacts" sheetId="1" r:id="rId1"/>
    <sheet name="XML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H489" i="2" l="1"/>
  <c r="AF489" i="2"/>
  <c r="AG489" i="2" s="1"/>
  <c r="AD489" i="2"/>
  <c r="AC489" i="2"/>
  <c r="AB489" i="2" s="1"/>
  <c r="AA489" i="2"/>
  <c r="Y489" i="2"/>
  <c r="U489" i="2"/>
  <c r="Q489" i="2"/>
  <c r="M489" i="2"/>
  <c r="K489" i="2" s="1"/>
  <c r="AH488" i="2"/>
  <c r="AG488" i="2"/>
  <c r="AF488" i="2"/>
  <c r="AE488" i="2" s="1"/>
  <c r="AD488" i="2"/>
  <c r="AC488" i="2"/>
  <c r="AB488" i="2" s="1"/>
  <c r="AA488" i="2"/>
  <c r="Y488" i="2"/>
  <c r="U488" i="2"/>
  <c r="Q488" i="2"/>
  <c r="M488" i="2"/>
  <c r="K488" i="2"/>
  <c r="L488" i="2" s="1"/>
  <c r="AH487" i="2"/>
  <c r="AF487" i="2"/>
  <c r="AG487" i="2" s="1"/>
  <c r="AD487" i="2"/>
  <c r="AC487" i="2"/>
  <c r="AB487" i="2" s="1"/>
  <c r="AA487" i="2"/>
  <c r="Y487" i="2"/>
  <c r="U487" i="2"/>
  <c r="Q487" i="2"/>
  <c r="M487" i="2"/>
  <c r="K487" i="2" s="1"/>
  <c r="AH486" i="2"/>
  <c r="AG486" i="2"/>
  <c r="AF486" i="2"/>
  <c r="AE486" i="2" s="1"/>
  <c r="AD486" i="2"/>
  <c r="AC486" i="2"/>
  <c r="AB486" i="2" s="1"/>
  <c r="AA486" i="2"/>
  <c r="Y486" i="2"/>
  <c r="U486" i="2"/>
  <c r="Q486" i="2"/>
  <c r="M486" i="2"/>
  <c r="K486" i="2" s="1"/>
  <c r="AH485" i="2"/>
  <c r="AF485" i="2"/>
  <c r="AD485" i="2"/>
  <c r="AC485" i="2"/>
  <c r="AB485" i="2"/>
  <c r="AA485" i="2"/>
  <c r="Y485" i="2"/>
  <c r="U485" i="2"/>
  <c r="Q485" i="2"/>
  <c r="O485" i="2" s="1"/>
  <c r="P485" i="2"/>
  <c r="M485" i="2"/>
  <c r="K485" i="2" s="1"/>
  <c r="AH484" i="2"/>
  <c r="AF484" i="2"/>
  <c r="AG484" i="2" s="1"/>
  <c r="AE484" i="2"/>
  <c r="AD484" i="2"/>
  <c r="AC484" i="2"/>
  <c r="AB484" i="2" s="1"/>
  <c r="Z484" i="2" s="1"/>
  <c r="D484" i="2" s="1"/>
  <c r="AA484" i="2"/>
  <c r="Y484" i="2"/>
  <c r="U484" i="2"/>
  <c r="Q484" i="2"/>
  <c r="M484" i="2"/>
  <c r="K484" i="2" s="1"/>
  <c r="G484" i="2"/>
  <c r="AH483" i="2"/>
  <c r="AF483" i="2"/>
  <c r="AG483" i="2" s="1"/>
  <c r="AD483" i="2"/>
  <c r="AC483" i="2"/>
  <c r="AB483" i="2"/>
  <c r="AA483" i="2"/>
  <c r="Y483" i="2"/>
  <c r="U483" i="2"/>
  <c r="Q483" i="2"/>
  <c r="M483" i="2"/>
  <c r="K483" i="2" s="1"/>
  <c r="AH482" i="2"/>
  <c r="AF482" i="2"/>
  <c r="AG482" i="2" s="1"/>
  <c r="AE482" i="2"/>
  <c r="AD482" i="2"/>
  <c r="AC482" i="2"/>
  <c r="AB482" i="2" s="1"/>
  <c r="Z482" i="2" s="1"/>
  <c r="D482" i="2" s="1"/>
  <c r="AA482" i="2"/>
  <c r="Y482" i="2"/>
  <c r="U482" i="2"/>
  <c r="Q482" i="2"/>
  <c r="M482" i="2"/>
  <c r="K482" i="2" s="1"/>
  <c r="AH481" i="2"/>
  <c r="AF481" i="2"/>
  <c r="AD481" i="2"/>
  <c r="AC481" i="2"/>
  <c r="AB481" i="2"/>
  <c r="AA481" i="2"/>
  <c r="Y481" i="2"/>
  <c r="U481" i="2"/>
  <c r="Q481" i="2"/>
  <c r="M481" i="2"/>
  <c r="K481" i="2" s="1"/>
  <c r="L481" i="2"/>
  <c r="AH480" i="2"/>
  <c r="AF480" i="2"/>
  <c r="AG480" i="2" s="1"/>
  <c r="AE480" i="2"/>
  <c r="AD480" i="2"/>
  <c r="AC480" i="2"/>
  <c r="AB480" i="2"/>
  <c r="AA480" i="2"/>
  <c r="Y480" i="2"/>
  <c r="U480" i="2"/>
  <c r="Q480" i="2"/>
  <c r="O480" i="2"/>
  <c r="M480" i="2"/>
  <c r="K480" i="2"/>
  <c r="L480" i="2" s="1"/>
  <c r="AH479" i="2"/>
  <c r="AF479" i="2"/>
  <c r="AG479" i="2" s="1"/>
  <c r="AE479" i="2"/>
  <c r="AD479" i="2"/>
  <c r="AC479" i="2"/>
  <c r="AB479" i="2"/>
  <c r="AA479" i="2"/>
  <c r="Z479" i="2" s="1"/>
  <c r="D479" i="2" s="1"/>
  <c r="Y479" i="2"/>
  <c r="U479" i="2"/>
  <c r="Q479" i="2"/>
  <c r="M479" i="2"/>
  <c r="K479" i="2" s="1"/>
  <c r="AH478" i="2"/>
  <c r="AG478" i="2"/>
  <c r="AF478" i="2"/>
  <c r="AE478" i="2"/>
  <c r="AD478" i="2"/>
  <c r="AC478" i="2"/>
  <c r="AB478" i="2"/>
  <c r="AA478" i="2"/>
  <c r="Z478" i="2" s="1"/>
  <c r="D478" i="2" s="1"/>
  <c r="Y478" i="2"/>
  <c r="U478" i="2"/>
  <c r="Q478" i="2"/>
  <c r="O478" i="2" s="1"/>
  <c r="M478" i="2"/>
  <c r="K478" i="2"/>
  <c r="L478" i="2" s="1"/>
  <c r="AH477" i="2"/>
  <c r="AF477" i="2"/>
  <c r="AG477" i="2" s="1"/>
  <c r="AE477" i="2"/>
  <c r="AD477" i="2"/>
  <c r="AC477" i="2"/>
  <c r="AB477" i="2"/>
  <c r="AA477" i="2"/>
  <c r="Z477" i="2" s="1"/>
  <c r="D477" i="2" s="1"/>
  <c r="Y477" i="2"/>
  <c r="U477" i="2"/>
  <c r="Q477" i="2"/>
  <c r="O477" i="2" s="1"/>
  <c r="M477" i="2"/>
  <c r="L477" i="2"/>
  <c r="K477" i="2"/>
  <c r="G477" i="2" s="1"/>
  <c r="AH476" i="2"/>
  <c r="AG476" i="2"/>
  <c r="AF476" i="2"/>
  <c r="AE476" i="2"/>
  <c r="AD476" i="2"/>
  <c r="AC476" i="2"/>
  <c r="AB476" i="2"/>
  <c r="AA476" i="2"/>
  <c r="Z476" i="2" s="1"/>
  <c r="D476" i="2" s="1"/>
  <c r="Y476" i="2"/>
  <c r="U476" i="2"/>
  <c r="S476" i="2" s="1"/>
  <c r="Q476" i="2"/>
  <c r="O476" i="2"/>
  <c r="M476" i="2"/>
  <c r="K476" i="2"/>
  <c r="AH475" i="2"/>
  <c r="AG475" i="2"/>
  <c r="AF475" i="2"/>
  <c r="AE475" i="2"/>
  <c r="AD475" i="2"/>
  <c r="AC475" i="2"/>
  <c r="AB475" i="2" s="1"/>
  <c r="Z475" i="2" s="1"/>
  <c r="D475" i="2" s="1"/>
  <c r="AA475" i="2"/>
  <c r="Y475" i="2"/>
  <c r="U475" i="2"/>
  <c r="Q475" i="2"/>
  <c r="O475" i="2" s="1"/>
  <c r="P475" i="2" s="1"/>
  <c r="N475" i="2"/>
  <c r="M475" i="2"/>
  <c r="K475" i="2"/>
  <c r="L475" i="2" s="1"/>
  <c r="AH474" i="2"/>
  <c r="AG474" i="2"/>
  <c r="AF474" i="2"/>
  <c r="AE474" i="2" s="1"/>
  <c r="AD474" i="2"/>
  <c r="AC474" i="2"/>
  <c r="AB474" i="2" s="1"/>
  <c r="AA474" i="2"/>
  <c r="Y474" i="2"/>
  <c r="U474" i="2"/>
  <c r="S474" i="2" s="1"/>
  <c r="Q474" i="2"/>
  <c r="O474" i="2" s="1"/>
  <c r="M474" i="2"/>
  <c r="K474" i="2" s="1"/>
  <c r="AH473" i="2"/>
  <c r="AF473" i="2"/>
  <c r="AG473" i="2" s="1"/>
  <c r="AD473" i="2"/>
  <c r="AC473" i="2"/>
  <c r="AB473" i="2" s="1"/>
  <c r="AA473" i="2"/>
  <c r="Y473" i="2"/>
  <c r="U473" i="2"/>
  <c r="S473" i="2" s="1"/>
  <c r="Q473" i="2"/>
  <c r="O473" i="2" s="1"/>
  <c r="M473" i="2"/>
  <c r="K473" i="2"/>
  <c r="L473" i="2" s="1"/>
  <c r="G473" i="2"/>
  <c r="AH472" i="2"/>
  <c r="AG472" i="2"/>
  <c r="AF472" i="2"/>
  <c r="AE472" i="2" s="1"/>
  <c r="AD472" i="2"/>
  <c r="AC472" i="2"/>
  <c r="AB472" i="2" s="1"/>
  <c r="AA472" i="2"/>
  <c r="Y472" i="2"/>
  <c r="U472" i="2"/>
  <c r="Q472" i="2"/>
  <c r="M472" i="2"/>
  <c r="K472" i="2"/>
  <c r="L472" i="2" s="1"/>
  <c r="G472" i="2"/>
  <c r="AH471" i="2"/>
  <c r="AF471" i="2"/>
  <c r="AG471" i="2" s="1"/>
  <c r="AD471" i="2"/>
  <c r="AC471" i="2"/>
  <c r="AB471" i="2" s="1"/>
  <c r="AA471" i="2"/>
  <c r="Y471" i="2"/>
  <c r="U471" i="2"/>
  <c r="Q471" i="2"/>
  <c r="M471" i="2"/>
  <c r="K471" i="2" s="1"/>
  <c r="AH470" i="2"/>
  <c r="AG470" i="2"/>
  <c r="AF470" i="2"/>
  <c r="AE470" i="2" s="1"/>
  <c r="AD470" i="2"/>
  <c r="AC470" i="2"/>
  <c r="AB470" i="2" s="1"/>
  <c r="Z470" i="2" s="1"/>
  <c r="D470" i="2" s="1"/>
  <c r="AA470" i="2"/>
  <c r="Y470" i="2"/>
  <c r="U470" i="2"/>
  <c r="Q470" i="2"/>
  <c r="O470" i="2" s="1"/>
  <c r="M470" i="2"/>
  <c r="K470" i="2" s="1"/>
  <c r="AH469" i="2"/>
  <c r="AF469" i="2"/>
  <c r="AD469" i="2"/>
  <c r="AC469" i="2"/>
  <c r="AB469" i="2"/>
  <c r="AA469" i="2"/>
  <c r="Y469" i="2"/>
  <c r="U469" i="2"/>
  <c r="Q469" i="2"/>
  <c r="M469" i="2"/>
  <c r="K469" i="2" s="1"/>
  <c r="AH468" i="2"/>
  <c r="AF468" i="2"/>
  <c r="AG468" i="2" s="1"/>
  <c r="AE468" i="2"/>
  <c r="AD468" i="2"/>
  <c r="AC468" i="2"/>
  <c r="AB468" i="2" s="1"/>
  <c r="Z468" i="2" s="1"/>
  <c r="D468" i="2" s="1"/>
  <c r="AA468" i="2"/>
  <c r="Y468" i="2"/>
  <c r="U468" i="2"/>
  <c r="Q468" i="2"/>
  <c r="M468" i="2"/>
  <c r="K468" i="2" s="1"/>
  <c r="G468" i="2" s="1"/>
  <c r="AH467" i="2"/>
  <c r="AF467" i="2"/>
  <c r="AG467" i="2" s="1"/>
  <c r="AD467" i="2"/>
  <c r="AC467" i="2"/>
  <c r="AB467" i="2"/>
  <c r="AA467" i="2"/>
  <c r="Y467" i="2"/>
  <c r="U467" i="2"/>
  <c r="Q467" i="2"/>
  <c r="M467" i="2"/>
  <c r="K467" i="2" s="1"/>
  <c r="AH466" i="2"/>
  <c r="AF466" i="2"/>
  <c r="AG466" i="2" s="1"/>
  <c r="AE466" i="2"/>
  <c r="AD466" i="2"/>
  <c r="AC466" i="2"/>
  <c r="AB466" i="2" s="1"/>
  <c r="AA466" i="2"/>
  <c r="Y466" i="2"/>
  <c r="U466" i="2"/>
  <c r="Q466" i="2"/>
  <c r="M466" i="2"/>
  <c r="K466" i="2" s="1"/>
  <c r="AH465" i="2"/>
  <c r="AF465" i="2"/>
  <c r="AD465" i="2"/>
  <c r="AC465" i="2"/>
  <c r="AB465" i="2"/>
  <c r="AA465" i="2"/>
  <c r="Y465" i="2"/>
  <c r="U465" i="2"/>
  <c r="Q465" i="2"/>
  <c r="M465" i="2"/>
  <c r="K465" i="2" s="1"/>
  <c r="L465" i="2"/>
  <c r="AH464" i="2"/>
  <c r="AF464" i="2"/>
  <c r="AG464" i="2" s="1"/>
  <c r="AE464" i="2"/>
  <c r="AD464" i="2"/>
  <c r="AC464" i="2"/>
  <c r="AB464" i="2"/>
  <c r="AA464" i="2"/>
  <c r="Y464" i="2"/>
  <c r="U464" i="2"/>
  <c r="Q464" i="2"/>
  <c r="O464" i="2"/>
  <c r="M464" i="2"/>
  <c r="K464" i="2"/>
  <c r="L464" i="2" s="1"/>
  <c r="AH463" i="2"/>
  <c r="AF463" i="2"/>
  <c r="AG463" i="2" s="1"/>
  <c r="AE463" i="2"/>
  <c r="AD463" i="2"/>
  <c r="AC463" i="2"/>
  <c r="AB463" i="2"/>
  <c r="AA463" i="2"/>
  <c r="Y463" i="2"/>
  <c r="U463" i="2"/>
  <c r="Q463" i="2"/>
  <c r="M463" i="2"/>
  <c r="K463" i="2" s="1"/>
  <c r="AH462" i="2"/>
  <c r="AG462" i="2"/>
  <c r="AF462" i="2"/>
  <c r="AE462" i="2"/>
  <c r="AD462" i="2"/>
  <c r="AC462" i="2"/>
  <c r="AB462" i="2"/>
  <c r="AA462" i="2"/>
  <c r="Z462" i="2" s="1"/>
  <c r="D462" i="2" s="1"/>
  <c r="Y462" i="2"/>
  <c r="U462" i="2"/>
  <c r="S462" i="2" s="1"/>
  <c r="Q462" i="2"/>
  <c r="O462" i="2" s="1"/>
  <c r="M462" i="2"/>
  <c r="K462" i="2"/>
  <c r="L462" i="2" s="1"/>
  <c r="AH461" i="2"/>
  <c r="AF461" i="2"/>
  <c r="AG461" i="2" s="1"/>
  <c r="AE461" i="2"/>
  <c r="AD461" i="2"/>
  <c r="AC461" i="2"/>
  <c r="AB461" i="2"/>
  <c r="AA461" i="2"/>
  <c r="Y461" i="2"/>
  <c r="U461" i="2"/>
  <c r="Q461" i="2"/>
  <c r="M461" i="2"/>
  <c r="L461" i="2"/>
  <c r="K461" i="2"/>
  <c r="G461" i="2" s="1"/>
  <c r="AH460" i="2"/>
  <c r="AG460" i="2"/>
  <c r="AF460" i="2"/>
  <c r="AE460" i="2"/>
  <c r="AD460" i="2"/>
  <c r="AC460" i="2"/>
  <c r="AB460" i="2"/>
  <c r="AA460" i="2"/>
  <c r="Y460" i="2"/>
  <c r="U460" i="2"/>
  <c r="Q460" i="2"/>
  <c r="M460" i="2"/>
  <c r="K460" i="2"/>
  <c r="AH459" i="2"/>
  <c r="AG459" i="2"/>
  <c r="AF459" i="2"/>
  <c r="AE459" i="2"/>
  <c r="AD459" i="2"/>
  <c r="Z459" i="2" s="1"/>
  <c r="D459" i="2" s="1"/>
  <c r="AC459" i="2"/>
  <c r="AB459" i="2"/>
  <c r="AA459" i="2"/>
  <c r="Y459" i="2"/>
  <c r="U459" i="2"/>
  <c r="Q459" i="2"/>
  <c r="O459" i="2" s="1"/>
  <c r="P459" i="2" s="1"/>
  <c r="M459" i="2"/>
  <c r="K459" i="2"/>
  <c r="L459" i="2" s="1"/>
  <c r="AH458" i="2"/>
  <c r="AG458" i="2"/>
  <c r="AF458" i="2"/>
  <c r="AE458" i="2"/>
  <c r="AD458" i="2"/>
  <c r="AC458" i="2"/>
  <c r="AB458" i="2" s="1"/>
  <c r="AA458" i="2"/>
  <c r="Y458" i="2"/>
  <c r="U458" i="2"/>
  <c r="S458" i="2" s="1"/>
  <c r="Q458" i="2"/>
  <c r="O458" i="2" s="1"/>
  <c r="M458" i="2"/>
  <c r="K458" i="2" s="1"/>
  <c r="AH457" i="2"/>
  <c r="AF457" i="2"/>
  <c r="AG457" i="2" s="1"/>
  <c r="AD457" i="2"/>
  <c r="AC457" i="2"/>
  <c r="AB457" i="2"/>
  <c r="AA457" i="2"/>
  <c r="Y457" i="2"/>
  <c r="U457" i="2"/>
  <c r="Q457" i="2"/>
  <c r="O457" i="2" s="1"/>
  <c r="M457" i="2"/>
  <c r="K457" i="2"/>
  <c r="L457" i="2" s="1"/>
  <c r="G457" i="2"/>
  <c r="AH456" i="2"/>
  <c r="AG456" i="2"/>
  <c r="AF456" i="2"/>
  <c r="AE456" i="2"/>
  <c r="AD456" i="2"/>
  <c r="AC456" i="2"/>
  <c r="AB456" i="2" s="1"/>
  <c r="AA456" i="2"/>
  <c r="Z456" i="2" s="1"/>
  <c r="D456" i="2" s="1"/>
  <c r="Y456" i="2"/>
  <c r="U456" i="2"/>
  <c r="Q456" i="2"/>
  <c r="O456" i="2" s="1"/>
  <c r="M456" i="2"/>
  <c r="K456" i="2"/>
  <c r="L456" i="2" s="1"/>
  <c r="AH455" i="2"/>
  <c r="AF455" i="2"/>
  <c r="AG455" i="2" s="1"/>
  <c r="AD455" i="2"/>
  <c r="AC455" i="2"/>
  <c r="AB455" i="2" s="1"/>
  <c r="AA455" i="2"/>
  <c r="Y455" i="2"/>
  <c r="U455" i="2"/>
  <c r="Q455" i="2"/>
  <c r="O455" i="2" s="1"/>
  <c r="P455" i="2" s="1"/>
  <c r="N455" i="2"/>
  <c r="M455" i="2"/>
  <c r="K455" i="2" s="1"/>
  <c r="AH454" i="2"/>
  <c r="AG454" i="2"/>
  <c r="AF454" i="2"/>
  <c r="AE454" i="2" s="1"/>
  <c r="AD454" i="2"/>
  <c r="AC454" i="2"/>
  <c r="AB454" i="2" s="1"/>
  <c r="AA454" i="2"/>
  <c r="Y454" i="2"/>
  <c r="U454" i="2"/>
  <c r="Q454" i="2"/>
  <c r="O454" i="2" s="1"/>
  <c r="M454" i="2"/>
  <c r="K454" i="2" s="1"/>
  <c r="AH453" i="2"/>
  <c r="AF453" i="2"/>
  <c r="AD453" i="2"/>
  <c r="AC453" i="2"/>
  <c r="AB453" i="2"/>
  <c r="AA453" i="2"/>
  <c r="Y453" i="2"/>
  <c r="U453" i="2"/>
  <c r="Q453" i="2"/>
  <c r="M453" i="2"/>
  <c r="K453" i="2" s="1"/>
  <c r="AH452" i="2"/>
  <c r="AF452" i="2"/>
  <c r="AG452" i="2" s="1"/>
  <c r="AE452" i="2"/>
  <c r="AD452" i="2"/>
  <c r="AC452" i="2"/>
  <c r="AB452" i="2" s="1"/>
  <c r="Z452" i="2" s="1"/>
  <c r="D452" i="2" s="1"/>
  <c r="AA452" i="2"/>
  <c r="Y452" i="2"/>
  <c r="U452" i="2"/>
  <c r="Q452" i="2"/>
  <c r="M452" i="2"/>
  <c r="K452" i="2" s="1"/>
  <c r="G452" i="2" s="1"/>
  <c r="AH451" i="2"/>
  <c r="AF451" i="2"/>
  <c r="AG451" i="2" s="1"/>
  <c r="AD451" i="2"/>
  <c r="AC451" i="2"/>
  <c r="AB451" i="2"/>
  <c r="AA451" i="2"/>
  <c r="Y451" i="2"/>
  <c r="U451" i="2"/>
  <c r="Q451" i="2"/>
  <c r="O451" i="2" s="1"/>
  <c r="M451" i="2"/>
  <c r="K451" i="2" s="1"/>
  <c r="AH450" i="2"/>
  <c r="AF450" i="2"/>
  <c r="AG450" i="2" s="1"/>
  <c r="AE450" i="2"/>
  <c r="AD450" i="2"/>
  <c r="AC450" i="2"/>
  <c r="AB450" i="2" s="1"/>
  <c r="AA450" i="2"/>
  <c r="Y450" i="2"/>
  <c r="U450" i="2"/>
  <c r="Q450" i="2"/>
  <c r="M450" i="2"/>
  <c r="K450" i="2" s="1"/>
  <c r="AH449" i="2"/>
  <c r="AF449" i="2"/>
  <c r="AD449" i="2"/>
  <c r="AC449" i="2"/>
  <c r="AB449" i="2"/>
  <c r="AA449" i="2"/>
  <c r="Y449" i="2"/>
  <c r="U449" i="2"/>
  <c r="Q449" i="2"/>
  <c r="M449" i="2"/>
  <c r="K449" i="2" s="1"/>
  <c r="L449" i="2" s="1"/>
  <c r="AH448" i="2"/>
  <c r="AF448" i="2"/>
  <c r="AG448" i="2" s="1"/>
  <c r="AE448" i="2"/>
  <c r="AD448" i="2"/>
  <c r="AC448" i="2"/>
  <c r="AB448" i="2"/>
  <c r="AA448" i="2"/>
  <c r="Y448" i="2"/>
  <c r="U448" i="2"/>
  <c r="Q448" i="2"/>
  <c r="O448" i="2"/>
  <c r="M448" i="2"/>
  <c r="K448" i="2"/>
  <c r="L448" i="2" s="1"/>
  <c r="AH447" i="2"/>
  <c r="AF447" i="2"/>
  <c r="AG447" i="2" s="1"/>
  <c r="AE447" i="2"/>
  <c r="AD447" i="2"/>
  <c r="AC447" i="2"/>
  <c r="AB447" i="2"/>
  <c r="AA447" i="2"/>
  <c r="Y447" i="2"/>
  <c r="U447" i="2"/>
  <c r="Q447" i="2"/>
  <c r="M447" i="2"/>
  <c r="K447" i="2" s="1"/>
  <c r="AH446" i="2"/>
  <c r="AG446" i="2"/>
  <c r="AF446" i="2"/>
  <c r="AE446" i="2"/>
  <c r="AD446" i="2"/>
  <c r="AC446" i="2"/>
  <c r="AB446" i="2" s="1"/>
  <c r="AA446" i="2"/>
  <c r="Y446" i="2"/>
  <c r="U446" i="2"/>
  <c r="Q446" i="2"/>
  <c r="M446" i="2"/>
  <c r="K446" i="2"/>
  <c r="AH445" i="2"/>
  <c r="AF445" i="2"/>
  <c r="AG445" i="2" s="1"/>
  <c r="AD445" i="2"/>
  <c r="AC445" i="2"/>
  <c r="AB445" i="2"/>
  <c r="AA445" i="2"/>
  <c r="Y445" i="2"/>
  <c r="U445" i="2"/>
  <c r="Q445" i="2"/>
  <c r="M445" i="2"/>
  <c r="L445" i="2"/>
  <c r="K445" i="2"/>
  <c r="G445" i="2" s="1"/>
  <c r="AH444" i="2"/>
  <c r="AG444" i="2"/>
  <c r="AF444" i="2"/>
  <c r="AE444" i="2"/>
  <c r="AD444" i="2"/>
  <c r="AC444" i="2"/>
  <c r="AB444" i="2"/>
  <c r="AA444" i="2"/>
  <c r="Y444" i="2"/>
  <c r="U444" i="2"/>
  <c r="Q444" i="2"/>
  <c r="O444" i="2" s="1"/>
  <c r="M444" i="2"/>
  <c r="K444" i="2"/>
  <c r="AH443" i="2"/>
  <c r="AG443" i="2"/>
  <c r="AF443" i="2"/>
  <c r="AE443" i="2"/>
  <c r="AD443" i="2"/>
  <c r="AC443" i="2"/>
  <c r="AB443" i="2" s="1"/>
  <c r="Z443" i="2" s="1"/>
  <c r="D443" i="2" s="1"/>
  <c r="AA443" i="2"/>
  <c r="Y443" i="2"/>
  <c r="U443" i="2"/>
  <c r="Q443" i="2"/>
  <c r="O443" i="2" s="1"/>
  <c r="M443" i="2"/>
  <c r="K443" i="2"/>
  <c r="L443" i="2" s="1"/>
  <c r="AH442" i="2"/>
  <c r="AG442" i="2"/>
  <c r="AF442" i="2"/>
  <c r="AE442" i="2" s="1"/>
  <c r="AD442" i="2"/>
  <c r="AC442" i="2"/>
  <c r="AB442" i="2" s="1"/>
  <c r="AA442" i="2"/>
  <c r="Y442" i="2"/>
  <c r="U442" i="2"/>
  <c r="Q442" i="2"/>
  <c r="M442" i="2"/>
  <c r="K442" i="2" s="1"/>
  <c r="AH441" i="2"/>
  <c r="AF441" i="2"/>
  <c r="AD441" i="2"/>
  <c r="AC441" i="2"/>
  <c r="AB441" i="2"/>
  <c r="AA441" i="2"/>
  <c r="Y441" i="2"/>
  <c r="U441" i="2"/>
  <c r="S441" i="2" s="1"/>
  <c r="R441" i="2" s="1"/>
  <c r="Q441" i="2"/>
  <c r="O441" i="2" s="1"/>
  <c r="P441" i="2"/>
  <c r="M441" i="2"/>
  <c r="L441" i="2"/>
  <c r="K441" i="2"/>
  <c r="G441" i="2"/>
  <c r="AH440" i="2"/>
  <c r="AG440" i="2"/>
  <c r="AF440" i="2"/>
  <c r="AE440" i="2"/>
  <c r="AD440" i="2"/>
  <c r="AC440" i="2"/>
  <c r="AB440" i="2"/>
  <c r="AA440" i="2"/>
  <c r="Z440" i="2" s="1"/>
  <c r="D440" i="2" s="1"/>
  <c r="Y440" i="2"/>
  <c r="U440" i="2"/>
  <c r="Q440" i="2"/>
  <c r="M440" i="2"/>
  <c r="K440" i="2"/>
  <c r="AH439" i="2"/>
  <c r="AF439" i="2"/>
  <c r="AG439" i="2" s="1"/>
  <c r="AE439" i="2"/>
  <c r="AD439" i="2"/>
  <c r="AC439" i="2"/>
  <c r="AB439" i="2" s="1"/>
  <c r="AA439" i="2"/>
  <c r="Z439" i="2"/>
  <c r="D439" i="2" s="1"/>
  <c r="Y439" i="2"/>
  <c r="U439" i="2"/>
  <c r="Q439" i="2"/>
  <c r="O439" i="2" s="1"/>
  <c r="M439" i="2"/>
  <c r="K439" i="2"/>
  <c r="L439" i="2" s="1"/>
  <c r="AH438" i="2"/>
  <c r="AF438" i="2"/>
  <c r="AD438" i="2"/>
  <c r="AC438" i="2"/>
  <c r="AB438" i="2"/>
  <c r="AA438" i="2"/>
  <c r="Y438" i="2"/>
  <c r="U438" i="2"/>
  <c r="Q438" i="2"/>
  <c r="M438" i="2"/>
  <c r="K438" i="2" s="1"/>
  <c r="AH437" i="2"/>
  <c r="AF437" i="2"/>
  <c r="AG437" i="2" s="1"/>
  <c r="AE437" i="2"/>
  <c r="AD437" i="2"/>
  <c r="AC437" i="2"/>
  <c r="AB437" i="2"/>
  <c r="AA437" i="2"/>
  <c r="Y437" i="2"/>
  <c r="U437" i="2"/>
  <c r="S437" i="2"/>
  <c r="Q437" i="2"/>
  <c r="O437" i="2"/>
  <c r="M437" i="2"/>
  <c r="L437" i="2"/>
  <c r="K437" i="2"/>
  <c r="G437" i="2" s="1"/>
  <c r="AH436" i="2"/>
  <c r="AG436" i="2"/>
  <c r="AF436" i="2"/>
  <c r="AE436" i="2"/>
  <c r="AD436" i="2"/>
  <c r="AC436" i="2"/>
  <c r="AB436" i="2" s="1"/>
  <c r="AA436" i="2"/>
  <c r="Y436" i="2"/>
  <c r="U436" i="2"/>
  <c r="Q436" i="2"/>
  <c r="M436" i="2"/>
  <c r="K436" i="2"/>
  <c r="O436" i="2" s="1"/>
  <c r="AH435" i="2"/>
  <c r="AF435" i="2"/>
  <c r="AG435" i="2" s="1"/>
  <c r="AD435" i="2"/>
  <c r="AC435" i="2"/>
  <c r="AB435" i="2"/>
  <c r="AA435" i="2"/>
  <c r="Y435" i="2"/>
  <c r="U435" i="2"/>
  <c r="Q435" i="2"/>
  <c r="M435" i="2"/>
  <c r="K435" i="2" s="1"/>
  <c r="AH434" i="2"/>
  <c r="AG434" i="2"/>
  <c r="AF434" i="2"/>
  <c r="AE434" i="2"/>
  <c r="AD434" i="2"/>
  <c r="AC434" i="2"/>
  <c r="AB434" i="2"/>
  <c r="AA434" i="2"/>
  <c r="Z434" i="2" s="1"/>
  <c r="D434" i="2" s="1"/>
  <c r="Y434" i="2"/>
  <c r="U434" i="2"/>
  <c r="Q434" i="2"/>
  <c r="M434" i="2"/>
  <c r="K434" i="2" s="1"/>
  <c r="L434" i="2"/>
  <c r="AH433" i="2"/>
  <c r="AF433" i="2"/>
  <c r="AG433" i="2" s="1"/>
  <c r="AE433" i="2"/>
  <c r="AD433" i="2"/>
  <c r="AC433" i="2"/>
  <c r="AB433" i="2"/>
  <c r="AA433" i="2"/>
  <c r="Y433" i="2"/>
  <c r="U433" i="2"/>
  <c r="Q433" i="2"/>
  <c r="M433" i="2"/>
  <c r="K433" i="2"/>
  <c r="AH432" i="2"/>
  <c r="AF432" i="2"/>
  <c r="AG432" i="2" s="1"/>
  <c r="AD432" i="2"/>
  <c r="AC432" i="2"/>
  <c r="AB432" i="2" s="1"/>
  <c r="AA432" i="2"/>
  <c r="Y432" i="2"/>
  <c r="U432" i="2"/>
  <c r="S432" i="2" s="1"/>
  <c r="Q432" i="2"/>
  <c r="P432" i="2"/>
  <c r="O432" i="2"/>
  <c r="N432" i="2"/>
  <c r="M432" i="2"/>
  <c r="K432" i="2"/>
  <c r="L432" i="2" s="1"/>
  <c r="G432" i="2"/>
  <c r="AH431" i="2"/>
  <c r="AG431" i="2"/>
  <c r="AF431" i="2"/>
  <c r="AE431" i="2" s="1"/>
  <c r="AD431" i="2"/>
  <c r="AC431" i="2"/>
  <c r="AB431" i="2" s="1"/>
  <c r="Z431" i="2" s="1"/>
  <c r="D431" i="2" s="1"/>
  <c r="AA431" i="2"/>
  <c r="Y431" i="2"/>
  <c r="U431" i="2"/>
  <c r="Q431" i="2"/>
  <c r="O431" i="2" s="1"/>
  <c r="M431" i="2"/>
  <c r="K431" i="2" s="1"/>
  <c r="AH430" i="2"/>
  <c r="AF430" i="2"/>
  <c r="AG430" i="2" s="1"/>
  <c r="AD430" i="2"/>
  <c r="AC430" i="2"/>
  <c r="AB430" i="2" s="1"/>
  <c r="AA430" i="2"/>
  <c r="Y430" i="2"/>
  <c r="U430" i="2"/>
  <c r="Q430" i="2"/>
  <c r="O430" i="2" s="1"/>
  <c r="M430" i="2"/>
  <c r="K430" i="2"/>
  <c r="L430" i="2" s="1"/>
  <c r="AH429" i="2"/>
  <c r="AF429" i="2"/>
  <c r="AG429" i="2" s="1"/>
  <c r="AD429" i="2"/>
  <c r="AC429" i="2"/>
  <c r="AB429" i="2"/>
  <c r="AA429" i="2"/>
  <c r="Y429" i="2"/>
  <c r="U429" i="2"/>
  <c r="Q429" i="2"/>
  <c r="M429" i="2"/>
  <c r="K429" i="2"/>
  <c r="G429" i="2"/>
  <c r="AH428" i="2"/>
  <c r="AG428" i="2"/>
  <c r="AF428" i="2"/>
  <c r="AE428" i="2"/>
  <c r="AD428" i="2"/>
  <c r="AC428" i="2"/>
  <c r="AB428" i="2" s="1"/>
  <c r="Z428" i="2" s="1"/>
  <c r="D428" i="2" s="1"/>
  <c r="AA428" i="2"/>
  <c r="Y428" i="2"/>
  <c r="U428" i="2"/>
  <c r="Q428" i="2"/>
  <c r="O428" i="2" s="1"/>
  <c r="N428" i="2" s="1"/>
  <c r="M428" i="2"/>
  <c r="K428" i="2" s="1"/>
  <c r="AH427" i="2"/>
  <c r="AG427" i="2"/>
  <c r="AF427" i="2"/>
  <c r="AE427" i="2" s="1"/>
  <c r="AD427" i="2"/>
  <c r="AC427" i="2"/>
  <c r="AB427" i="2" s="1"/>
  <c r="AA427" i="2"/>
  <c r="Y427" i="2"/>
  <c r="U427" i="2"/>
  <c r="Q427" i="2"/>
  <c r="O427" i="2" s="1"/>
  <c r="M427" i="2"/>
  <c r="K427" i="2" s="1"/>
  <c r="AH426" i="2"/>
  <c r="AF426" i="2"/>
  <c r="AD426" i="2"/>
  <c r="AC426" i="2"/>
  <c r="AB426" i="2"/>
  <c r="AA426" i="2"/>
  <c r="Y426" i="2"/>
  <c r="U426" i="2"/>
  <c r="Q426" i="2"/>
  <c r="M426" i="2"/>
  <c r="K426" i="2" s="1"/>
  <c r="AH425" i="2"/>
  <c r="AF425" i="2"/>
  <c r="AG425" i="2" s="1"/>
  <c r="Z425" i="2" s="1"/>
  <c r="D425" i="2" s="1"/>
  <c r="AE425" i="2"/>
  <c r="AD425" i="2"/>
  <c r="AC425" i="2"/>
  <c r="AB425" i="2"/>
  <c r="AA425" i="2"/>
  <c r="Y425" i="2"/>
  <c r="U425" i="2"/>
  <c r="S425" i="2"/>
  <c r="Q425" i="2"/>
  <c r="O425" i="2"/>
  <c r="P425" i="2" s="1"/>
  <c r="M425" i="2"/>
  <c r="L425" i="2"/>
  <c r="K425" i="2"/>
  <c r="G425" i="2"/>
  <c r="AH424" i="2"/>
  <c r="AG424" i="2"/>
  <c r="AF424" i="2"/>
  <c r="AE424" i="2"/>
  <c r="AD424" i="2"/>
  <c r="AC424" i="2"/>
  <c r="AB424" i="2" s="1"/>
  <c r="Z424" i="2" s="1"/>
  <c r="D424" i="2" s="1"/>
  <c r="AA424" i="2"/>
  <c r="Y424" i="2"/>
  <c r="U424" i="2"/>
  <c r="Q424" i="2"/>
  <c r="M424" i="2"/>
  <c r="K424" i="2" s="1"/>
  <c r="AH423" i="2"/>
  <c r="AF423" i="2"/>
  <c r="AG423" i="2" s="1"/>
  <c r="AD423" i="2"/>
  <c r="AC423" i="2"/>
  <c r="AB423" i="2" s="1"/>
  <c r="AA423" i="2"/>
  <c r="Y423" i="2"/>
  <c r="U423" i="2"/>
  <c r="Q423" i="2"/>
  <c r="O423" i="2" s="1"/>
  <c r="M423" i="2"/>
  <c r="K423" i="2" s="1"/>
  <c r="AH422" i="2"/>
  <c r="AF422" i="2"/>
  <c r="AD422" i="2"/>
  <c r="AC422" i="2"/>
  <c r="AB422" i="2"/>
  <c r="AA422" i="2"/>
  <c r="Y422" i="2"/>
  <c r="U422" i="2"/>
  <c r="Q422" i="2"/>
  <c r="O422" i="2" s="1"/>
  <c r="P422" i="2" s="1"/>
  <c r="M422" i="2"/>
  <c r="K422" i="2" s="1"/>
  <c r="G422" i="2" s="1"/>
  <c r="L422" i="2"/>
  <c r="AH421" i="2"/>
  <c r="AF421" i="2"/>
  <c r="AG421" i="2" s="1"/>
  <c r="AE421" i="2"/>
  <c r="AD421" i="2"/>
  <c r="AC421" i="2"/>
  <c r="AB421" i="2"/>
  <c r="AA421" i="2"/>
  <c r="Y421" i="2"/>
  <c r="U421" i="2"/>
  <c r="S421" i="2"/>
  <c r="Q421" i="2"/>
  <c r="O421" i="2"/>
  <c r="M421" i="2"/>
  <c r="K421" i="2"/>
  <c r="L421" i="2" s="1"/>
  <c r="AH420" i="2"/>
  <c r="AF420" i="2"/>
  <c r="AG420" i="2" s="1"/>
  <c r="AE420" i="2"/>
  <c r="AD420" i="2"/>
  <c r="AC420" i="2"/>
  <c r="AB420" i="2" s="1"/>
  <c r="AA420" i="2"/>
  <c r="Y420" i="2"/>
  <c r="U420" i="2"/>
  <c r="Q420" i="2"/>
  <c r="M420" i="2"/>
  <c r="K420" i="2"/>
  <c r="O420" i="2" s="1"/>
  <c r="AH419" i="2"/>
  <c r="AG419" i="2"/>
  <c r="AF419" i="2"/>
  <c r="AE419" i="2" s="1"/>
  <c r="AD419" i="2"/>
  <c r="AC419" i="2"/>
  <c r="AB419" i="2"/>
  <c r="AA419" i="2"/>
  <c r="Y419" i="2"/>
  <c r="U419" i="2"/>
  <c r="Q419" i="2"/>
  <c r="M419" i="2"/>
  <c r="K419" i="2" s="1"/>
  <c r="G419" i="2" s="1"/>
  <c r="L419" i="2"/>
  <c r="AH418" i="2"/>
  <c r="AG418" i="2"/>
  <c r="AF418" i="2"/>
  <c r="AE418" i="2"/>
  <c r="AD418" i="2"/>
  <c r="AC418" i="2"/>
  <c r="AB418" i="2"/>
  <c r="AA418" i="2"/>
  <c r="Y418" i="2"/>
  <c r="U418" i="2"/>
  <c r="Q418" i="2"/>
  <c r="M418" i="2"/>
  <c r="K418" i="2" s="1"/>
  <c r="G418" i="2" s="1"/>
  <c r="AH417" i="2"/>
  <c r="AF417" i="2"/>
  <c r="AG417" i="2" s="1"/>
  <c r="AE417" i="2"/>
  <c r="AD417" i="2"/>
  <c r="AC417" i="2"/>
  <c r="AB417" i="2"/>
  <c r="AA417" i="2"/>
  <c r="Z417" i="2" s="1"/>
  <c r="D417" i="2" s="1"/>
  <c r="Y417" i="2"/>
  <c r="U417" i="2"/>
  <c r="Q417" i="2"/>
  <c r="M417" i="2"/>
  <c r="K417" i="2"/>
  <c r="AH416" i="2"/>
  <c r="AF416" i="2"/>
  <c r="AG416" i="2" s="1"/>
  <c r="AD416" i="2"/>
  <c r="AC416" i="2"/>
  <c r="AB416" i="2"/>
  <c r="AA416" i="2"/>
  <c r="Y416" i="2"/>
  <c r="U416" i="2"/>
  <c r="S416" i="2" s="1"/>
  <c r="Q416" i="2"/>
  <c r="O416" i="2" s="1"/>
  <c r="P416" i="2" s="1"/>
  <c r="N416" i="2"/>
  <c r="M416" i="2"/>
  <c r="K416" i="2"/>
  <c r="L416" i="2" s="1"/>
  <c r="G416" i="2"/>
  <c r="AH415" i="2"/>
  <c r="AG415" i="2"/>
  <c r="AF415" i="2"/>
  <c r="AE415" i="2"/>
  <c r="AD415" i="2"/>
  <c r="AC415" i="2"/>
  <c r="AB415" i="2" s="1"/>
  <c r="Z415" i="2" s="1"/>
  <c r="D415" i="2" s="1"/>
  <c r="AA415" i="2"/>
  <c r="Y415" i="2"/>
  <c r="U415" i="2"/>
  <c r="Q415" i="2"/>
  <c r="O415" i="2" s="1"/>
  <c r="M415" i="2"/>
  <c r="K415" i="2" s="1"/>
  <c r="AH414" i="2"/>
  <c r="AF414" i="2"/>
  <c r="AG414" i="2" s="1"/>
  <c r="AD414" i="2"/>
  <c r="AC414" i="2"/>
  <c r="AB414" i="2" s="1"/>
  <c r="AA414" i="2"/>
  <c r="Y414" i="2"/>
  <c r="U414" i="2"/>
  <c r="Q414" i="2"/>
  <c r="M414" i="2"/>
  <c r="K414" i="2"/>
  <c r="AH413" i="2"/>
  <c r="AF413" i="2"/>
  <c r="AG413" i="2" s="1"/>
  <c r="AD413" i="2"/>
  <c r="AC413" i="2"/>
  <c r="AB413" i="2"/>
  <c r="AA413" i="2"/>
  <c r="Y413" i="2"/>
  <c r="U413" i="2"/>
  <c r="Q413" i="2"/>
  <c r="M413" i="2"/>
  <c r="K413" i="2"/>
  <c r="AH412" i="2"/>
  <c r="AG412" i="2"/>
  <c r="AF412" i="2"/>
  <c r="AE412" i="2"/>
  <c r="AD412" i="2"/>
  <c r="AC412" i="2"/>
  <c r="AB412" i="2"/>
  <c r="AA412" i="2"/>
  <c r="Z412" i="2"/>
  <c r="D412" i="2" s="1"/>
  <c r="Y412" i="2"/>
  <c r="U412" i="2"/>
  <c r="Q412" i="2"/>
  <c r="M412" i="2"/>
  <c r="K412" i="2"/>
  <c r="AH411" i="2"/>
  <c r="AG411" i="2"/>
  <c r="AF411" i="2"/>
  <c r="AE411" i="2"/>
  <c r="AD411" i="2"/>
  <c r="AC411" i="2"/>
  <c r="AB411" i="2" s="1"/>
  <c r="Z411" i="2" s="1"/>
  <c r="D411" i="2" s="1"/>
  <c r="AA411" i="2"/>
  <c r="Y411" i="2"/>
  <c r="U411" i="2"/>
  <c r="Q411" i="2"/>
  <c r="O411" i="2" s="1"/>
  <c r="M411" i="2"/>
  <c r="K411" i="2" s="1"/>
  <c r="AH410" i="2"/>
  <c r="AG410" i="2"/>
  <c r="AF410" i="2"/>
  <c r="AE410" i="2" s="1"/>
  <c r="AD410" i="2"/>
  <c r="AC410" i="2"/>
  <c r="AB410" i="2"/>
  <c r="AA410" i="2"/>
  <c r="Y410" i="2"/>
  <c r="W410" i="2" s="1"/>
  <c r="U410" i="2"/>
  <c r="T410" i="2"/>
  <c r="S410" i="2"/>
  <c r="R410" i="2"/>
  <c r="Q410" i="2"/>
  <c r="O410" i="2" s="1"/>
  <c r="N410" i="2" s="1"/>
  <c r="P410" i="2"/>
  <c r="M410" i="2"/>
  <c r="K410" i="2" s="1"/>
  <c r="G410" i="2" s="1"/>
  <c r="L410" i="2"/>
  <c r="AH409" i="2"/>
  <c r="AF409" i="2"/>
  <c r="AG409" i="2" s="1"/>
  <c r="AE409" i="2"/>
  <c r="AD409" i="2"/>
  <c r="AC409" i="2"/>
  <c r="AB409" i="2"/>
  <c r="Z409" i="2" s="1"/>
  <c r="D409" i="2" s="1"/>
  <c r="AA409" i="2"/>
  <c r="Y409" i="2"/>
  <c r="U409" i="2"/>
  <c r="S409" i="2" s="1"/>
  <c r="Q409" i="2"/>
  <c r="O409" i="2"/>
  <c r="M409" i="2"/>
  <c r="L409" i="2"/>
  <c r="K409" i="2"/>
  <c r="G409" i="2"/>
  <c r="AH408" i="2"/>
  <c r="AG408" i="2"/>
  <c r="AF408" i="2"/>
  <c r="AE408" i="2"/>
  <c r="AD408" i="2"/>
  <c r="AC408" i="2"/>
  <c r="AB408" i="2" s="1"/>
  <c r="AA408" i="2"/>
  <c r="Z408" i="2" s="1"/>
  <c r="D408" i="2" s="1"/>
  <c r="Y408" i="2"/>
  <c r="U408" i="2"/>
  <c r="Q408" i="2"/>
  <c r="O408" i="2" s="1"/>
  <c r="M408" i="2"/>
  <c r="K408" i="2" s="1"/>
  <c r="AH407" i="2"/>
  <c r="AF407" i="2"/>
  <c r="AD407" i="2"/>
  <c r="AC407" i="2"/>
  <c r="AB407" i="2"/>
  <c r="AA407" i="2"/>
  <c r="Y407" i="2"/>
  <c r="U407" i="2"/>
  <c r="Q407" i="2"/>
  <c r="M407" i="2"/>
  <c r="K407" i="2" s="1"/>
  <c r="AH406" i="2"/>
  <c r="AF406" i="2"/>
  <c r="AG406" i="2" s="1"/>
  <c r="AD406" i="2"/>
  <c r="AC406" i="2"/>
  <c r="AB406" i="2"/>
  <c r="AA406" i="2"/>
  <c r="Y406" i="2"/>
  <c r="U406" i="2"/>
  <c r="Q406" i="2"/>
  <c r="O406" i="2" s="1"/>
  <c r="M406" i="2"/>
  <c r="K406" i="2" s="1"/>
  <c r="G406" i="2" s="1"/>
  <c r="L406" i="2"/>
  <c r="AH405" i="2"/>
  <c r="AG405" i="2"/>
  <c r="AF405" i="2"/>
  <c r="AE405" i="2"/>
  <c r="AD405" i="2"/>
  <c r="AC405" i="2"/>
  <c r="AB405" i="2"/>
  <c r="AA405" i="2"/>
  <c r="Z405" i="2"/>
  <c r="D405" i="2" s="1"/>
  <c r="Y405" i="2"/>
  <c r="U405" i="2"/>
  <c r="Q405" i="2"/>
  <c r="M405" i="2"/>
  <c r="K405" i="2"/>
  <c r="G405" i="2" s="1"/>
  <c r="AH404" i="2"/>
  <c r="AF404" i="2"/>
  <c r="AG404" i="2" s="1"/>
  <c r="AE404" i="2"/>
  <c r="AD404" i="2"/>
  <c r="AC404" i="2"/>
  <c r="AB404" i="2" s="1"/>
  <c r="AA404" i="2"/>
  <c r="Y404" i="2"/>
  <c r="U404" i="2"/>
  <c r="Q404" i="2"/>
  <c r="M404" i="2"/>
  <c r="K404" i="2" s="1"/>
  <c r="AH403" i="2"/>
  <c r="AG403" i="2"/>
  <c r="AF403" i="2"/>
  <c r="AE403" i="2" s="1"/>
  <c r="AD403" i="2"/>
  <c r="AC403" i="2"/>
  <c r="AB403" i="2"/>
  <c r="AA403" i="2"/>
  <c r="Y403" i="2"/>
  <c r="U403" i="2"/>
  <c r="Q403" i="2"/>
  <c r="M403" i="2"/>
  <c r="K403" i="2" s="1"/>
  <c r="G403" i="2" s="1"/>
  <c r="AH402" i="2"/>
  <c r="AG402" i="2"/>
  <c r="AF402" i="2"/>
  <c r="AE402" i="2"/>
  <c r="AD402" i="2"/>
  <c r="AC402" i="2"/>
  <c r="AB402" i="2" s="1"/>
  <c r="AA402" i="2"/>
  <c r="Z402" i="2" s="1"/>
  <c r="D402" i="2" s="1"/>
  <c r="Y402" i="2"/>
  <c r="U402" i="2"/>
  <c r="Q402" i="2"/>
  <c r="M402" i="2"/>
  <c r="K402" i="2" s="1"/>
  <c r="AH401" i="2"/>
  <c r="AF401" i="2"/>
  <c r="AG401" i="2" s="1"/>
  <c r="AD401" i="2"/>
  <c r="AC401" i="2"/>
  <c r="AB401" i="2" s="1"/>
  <c r="AA401" i="2"/>
  <c r="Y401" i="2"/>
  <c r="U401" i="2"/>
  <c r="Q401" i="2"/>
  <c r="M401" i="2"/>
  <c r="K401" i="2"/>
  <c r="O401" i="2" s="1"/>
  <c r="AH400" i="2"/>
  <c r="AF400" i="2"/>
  <c r="AG400" i="2" s="1"/>
  <c r="AD400" i="2"/>
  <c r="AC400" i="2"/>
  <c r="AB400" i="2"/>
  <c r="AA400" i="2"/>
  <c r="Y400" i="2"/>
  <c r="U400" i="2"/>
  <c r="Q400" i="2"/>
  <c r="M400" i="2"/>
  <c r="L400" i="2"/>
  <c r="K400" i="2"/>
  <c r="O400" i="2" s="1"/>
  <c r="G400" i="2"/>
  <c r="AH399" i="2"/>
  <c r="AF399" i="2"/>
  <c r="AG399" i="2" s="1"/>
  <c r="AE399" i="2"/>
  <c r="AD399" i="2"/>
  <c r="AC399" i="2"/>
  <c r="AB399" i="2" s="1"/>
  <c r="AA399" i="2"/>
  <c r="Y399" i="2"/>
  <c r="U399" i="2"/>
  <c r="Q399" i="2"/>
  <c r="M399" i="2"/>
  <c r="K399" i="2" s="1"/>
  <c r="AH398" i="2"/>
  <c r="AF398" i="2"/>
  <c r="AG398" i="2" s="1"/>
  <c r="AD398" i="2"/>
  <c r="AC398" i="2"/>
  <c r="AB398" i="2" s="1"/>
  <c r="AA398" i="2"/>
  <c r="Y398" i="2"/>
  <c r="W398" i="2" s="1"/>
  <c r="U398" i="2"/>
  <c r="S398" i="2" s="1"/>
  <c r="Q398" i="2"/>
  <c r="O398" i="2" s="1"/>
  <c r="M398" i="2"/>
  <c r="K398" i="2"/>
  <c r="G398" i="2" s="1"/>
  <c r="AH397" i="2"/>
  <c r="AF397" i="2"/>
  <c r="AG397" i="2" s="1"/>
  <c r="AD397" i="2"/>
  <c r="AC397" i="2"/>
  <c r="AB397" i="2"/>
  <c r="AA397" i="2"/>
  <c r="Y397" i="2"/>
  <c r="U397" i="2"/>
  <c r="Q397" i="2"/>
  <c r="M397" i="2"/>
  <c r="K397" i="2" s="1"/>
  <c r="L397" i="2"/>
  <c r="AH396" i="2"/>
  <c r="AG396" i="2"/>
  <c r="AF396" i="2"/>
  <c r="AE396" i="2"/>
  <c r="AD396" i="2"/>
  <c r="AC396" i="2"/>
  <c r="AB396" i="2"/>
  <c r="AA396" i="2"/>
  <c r="Y396" i="2"/>
  <c r="U396" i="2"/>
  <c r="Q396" i="2"/>
  <c r="O396" i="2"/>
  <c r="M396" i="2"/>
  <c r="L396" i="2"/>
  <c r="K396" i="2"/>
  <c r="G396" i="2"/>
  <c r="AH395" i="2"/>
  <c r="AF395" i="2"/>
  <c r="AG395" i="2" s="1"/>
  <c r="AE395" i="2"/>
  <c r="AD395" i="2"/>
  <c r="AC395" i="2"/>
  <c r="AB395" i="2" s="1"/>
  <c r="AA395" i="2"/>
  <c r="Y395" i="2"/>
  <c r="U395" i="2"/>
  <c r="Q395" i="2"/>
  <c r="M395" i="2"/>
  <c r="K395" i="2"/>
  <c r="O395" i="2" s="1"/>
  <c r="AH394" i="2"/>
  <c r="AG394" i="2"/>
  <c r="AF394" i="2"/>
  <c r="AE394" i="2" s="1"/>
  <c r="AD394" i="2"/>
  <c r="AC394" i="2"/>
  <c r="AB394" i="2"/>
  <c r="AA394" i="2"/>
  <c r="Y394" i="2"/>
  <c r="U394" i="2"/>
  <c r="Q394" i="2"/>
  <c r="O394" i="2" s="1"/>
  <c r="M394" i="2"/>
  <c r="K394" i="2" s="1"/>
  <c r="AH393" i="2"/>
  <c r="AG393" i="2"/>
  <c r="AF393" i="2"/>
  <c r="AE393" i="2"/>
  <c r="AD393" i="2"/>
  <c r="AC393" i="2"/>
  <c r="AB393" i="2"/>
  <c r="AA393" i="2"/>
  <c r="Z393" i="2"/>
  <c r="D393" i="2" s="1"/>
  <c r="Y393" i="2"/>
  <c r="U393" i="2"/>
  <c r="Q393" i="2"/>
  <c r="M393" i="2"/>
  <c r="K393" i="2" s="1"/>
  <c r="AH392" i="2"/>
  <c r="AF392" i="2"/>
  <c r="AG392" i="2" s="1"/>
  <c r="AE392" i="2"/>
  <c r="AD392" i="2"/>
  <c r="AC392" i="2"/>
  <c r="AB392" i="2" s="1"/>
  <c r="AA392" i="2"/>
  <c r="Y392" i="2"/>
  <c r="U392" i="2"/>
  <c r="Q392" i="2"/>
  <c r="M392" i="2"/>
  <c r="K392" i="2"/>
  <c r="AH391" i="2"/>
  <c r="AF391" i="2"/>
  <c r="AG391" i="2" s="1"/>
  <c r="AD391" i="2"/>
  <c r="AC391" i="2"/>
  <c r="AB391" i="2"/>
  <c r="AA391" i="2"/>
  <c r="Y391" i="2"/>
  <c r="U391" i="2"/>
  <c r="Q391" i="2"/>
  <c r="O391" i="2" s="1"/>
  <c r="P391" i="2" s="1"/>
  <c r="N391" i="2"/>
  <c r="M391" i="2"/>
  <c r="K391" i="2"/>
  <c r="L391" i="2" s="1"/>
  <c r="G391" i="2"/>
  <c r="AH390" i="2"/>
  <c r="AG390" i="2"/>
  <c r="AF390" i="2"/>
  <c r="AE390" i="2"/>
  <c r="AD390" i="2"/>
  <c r="AC390" i="2"/>
  <c r="AB390" i="2" s="1"/>
  <c r="Z390" i="2" s="1"/>
  <c r="D390" i="2" s="1"/>
  <c r="AA390" i="2"/>
  <c r="Y390" i="2"/>
  <c r="U390" i="2"/>
  <c r="Q390" i="2"/>
  <c r="O390" i="2" s="1"/>
  <c r="M390" i="2"/>
  <c r="K390" i="2" s="1"/>
  <c r="AH389" i="2"/>
  <c r="AF389" i="2"/>
  <c r="AG389" i="2" s="1"/>
  <c r="AD389" i="2"/>
  <c r="AC389" i="2"/>
  <c r="AB389" i="2" s="1"/>
  <c r="AA389" i="2"/>
  <c r="Y389" i="2"/>
  <c r="U389" i="2"/>
  <c r="Q389" i="2"/>
  <c r="M389" i="2"/>
  <c r="K389" i="2" s="1"/>
  <c r="AH388" i="2"/>
  <c r="AF388" i="2"/>
  <c r="AG388" i="2" s="1"/>
  <c r="AD388" i="2"/>
  <c r="AC388" i="2"/>
  <c r="AB388" i="2"/>
  <c r="AA388" i="2"/>
  <c r="Y388" i="2"/>
  <c r="U388" i="2"/>
  <c r="Q388" i="2"/>
  <c r="M388" i="2"/>
  <c r="K388" i="2"/>
  <c r="O388" i="2" s="1"/>
  <c r="G388" i="2"/>
  <c r="AH387" i="2"/>
  <c r="AG387" i="2"/>
  <c r="AF387" i="2"/>
  <c r="AE387" i="2"/>
  <c r="AD387" i="2"/>
  <c r="AC387" i="2"/>
  <c r="AB387" i="2"/>
  <c r="AA387" i="2"/>
  <c r="Z387" i="2"/>
  <c r="D387" i="2" s="1"/>
  <c r="Y387" i="2"/>
  <c r="U387" i="2"/>
  <c r="Q387" i="2"/>
  <c r="O387" i="2" s="1"/>
  <c r="M387" i="2"/>
  <c r="K387" i="2" s="1"/>
  <c r="AH386" i="2"/>
  <c r="AG386" i="2"/>
  <c r="AF386" i="2"/>
  <c r="AE386" i="2"/>
  <c r="AD386" i="2"/>
  <c r="AC386" i="2"/>
  <c r="AB386" i="2" s="1"/>
  <c r="Z386" i="2" s="1"/>
  <c r="D386" i="2" s="1"/>
  <c r="AA386" i="2"/>
  <c r="Y386" i="2"/>
  <c r="U386" i="2"/>
  <c r="Q386" i="2"/>
  <c r="M386" i="2"/>
  <c r="K386" i="2" s="1"/>
  <c r="AH385" i="2"/>
  <c r="AF385" i="2"/>
  <c r="AD385" i="2"/>
  <c r="AC385" i="2"/>
  <c r="AB385" i="2"/>
  <c r="AA385" i="2"/>
  <c r="Y385" i="2"/>
  <c r="U385" i="2"/>
  <c r="Q385" i="2"/>
  <c r="M385" i="2"/>
  <c r="K385" i="2" s="1"/>
  <c r="AH384" i="2"/>
  <c r="AF384" i="2"/>
  <c r="AG384" i="2" s="1"/>
  <c r="AD384" i="2"/>
  <c r="AC384" i="2"/>
  <c r="AB384" i="2"/>
  <c r="AA384" i="2"/>
  <c r="Y384" i="2"/>
  <c r="U384" i="2"/>
  <c r="S384" i="2" s="1"/>
  <c r="Q384" i="2"/>
  <c r="M384" i="2"/>
  <c r="L384" i="2"/>
  <c r="K384" i="2"/>
  <c r="O384" i="2" s="1"/>
  <c r="G384" i="2"/>
  <c r="AH383" i="2"/>
  <c r="AF383" i="2"/>
  <c r="AG383" i="2" s="1"/>
  <c r="AE383" i="2"/>
  <c r="AD383" i="2"/>
  <c r="AC383" i="2"/>
  <c r="AB383" i="2" s="1"/>
  <c r="AA383" i="2"/>
  <c r="Y383" i="2"/>
  <c r="U383" i="2"/>
  <c r="Q383" i="2"/>
  <c r="M383" i="2"/>
  <c r="K383" i="2" s="1"/>
  <c r="AH382" i="2"/>
  <c r="AF382" i="2"/>
  <c r="AG382" i="2" s="1"/>
  <c r="AD382" i="2"/>
  <c r="AC382" i="2"/>
  <c r="AB382" i="2" s="1"/>
  <c r="AA382" i="2"/>
  <c r="Y382" i="2"/>
  <c r="U382" i="2"/>
  <c r="Q382" i="2"/>
  <c r="M382" i="2"/>
  <c r="K382" i="2"/>
  <c r="AH381" i="2"/>
  <c r="AF381" i="2"/>
  <c r="AG381" i="2" s="1"/>
  <c r="AD381" i="2"/>
  <c r="AC381" i="2"/>
  <c r="AB381" i="2"/>
  <c r="AA381" i="2"/>
  <c r="Y381" i="2"/>
  <c r="U381" i="2"/>
  <c r="Q381" i="2"/>
  <c r="M381" i="2"/>
  <c r="K381" i="2" s="1"/>
  <c r="G381" i="2" s="1"/>
  <c r="L381" i="2"/>
  <c r="AH380" i="2"/>
  <c r="AG380" i="2"/>
  <c r="AF380" i="2"/>
  <c r="AE380" i="2"/>
  <c r="AD380" i="2"/>
  <c r="AC380" i="2"/>
  <c r="AB380" i="2"/>
  <c r="AA380" i="2"/>
  <c r="Z380" i="2" s="1"/>
  <c r="D380" i="2" s="1"/>
  <c r="Y380" i="2"/>
  <c r="U380" i="2"/>
  <c r="Q380" i="2"/>
  <c r="O380" i="2" s="1"/>
  <c r="M380" i="2"/>
  <c r="L380" i="2"/>
  <c r="G380" i="2" s="1"/>
  <c r="K380" i="2"/>
  <c r="AH379" i="2"/>
  <c r="AF379" i="2"/>
  <c r="AG379" i="2" s="1"/>
  <c r="AE379" i="2"/>
  <c r="AD379" i="2"/>
  <c r="AC379" i="2"/>
  <c r="AB379" i="2" s="1"/>
  <c r="AA379" i="2"/>
  <c r="Z379" i="2" s="1"/>
  <c r="D379" i="2" s="1"/>
  <c r="Y379" i="2"/>
  <c r="U379" i="2"/>
  <c r="Q379" i="2"/>
  <c r="M379" i="2"/>
  <c r="K379" i="2"/>
  <c r="AH378" i="2"/>
  <c r="AG378" i="2"/>
  <c r="AF378" i="2"/>
  <c r="AE378" i="2" s="1"/>
  <c r="AD378" i="2"/>
  <c r="AC378" i="2"/>
  <c r="AB378" i="2"/>
  <c r="AA378" i="2"/>
  <c r="Y378" i="2"/>
  <c r="U378" i="2"/>
  <c r="Q378" i="2"/>
  <c r="M378" i="2"/>
  <c r="K378" i="2" s="1"/>
  <c r="G378" i="2" s="1"/>
  <c r="L378" i="2"/>
  <c r="AH377" i="2"/>
  <c r="AG377" i="2"/>
  <c r="AF377" i="2"/>
  <c r="AE377" i="2"/>
  <c r="AD377" i="2"/>
  <c r="AC377" i="2"/>
  <c r="AB377" i="2"/>
  <c r="AA377" i="2"/>
  <c r="Z377" i="2"/>
  <c r="D377" i="2" s="1"/>
  <c r="Y377" i="2"/>
  <c r="U377" i="2"/>
  <c r="Q377" i="2"/>
  <c r="O377" i="2"/>
  <c r="M377" i="2"/>
  <c r="K377" i="2" s="1"/>
  <c r="AH376" i="2"/>
  <c r="AF376" i="2"/>
  <c r="AG376" i="2" s="1"/>
  <c r="AE376" i="2"/>
  <c r="AD376" i="2"/>
  <c r="AC376" i="2"/>
  <c r="AB376" i="2" s="1"/>
  <c r="AA376" i="2"/>
  <c r="Z376" i="2" s="1"/>
  <c r="D376" i="2" s="1"/>
  <c r="Y376" i="2"/>
  <c r="U376" i="2"/>
  <c r="Q376" i="2"/>
  <c r="M376" i="2"/>
  <c r="K376" i="2" s="1"/>
  <c r="AH375" i="2"/>
  <c r="AF375" i="2"/>
  <c r="AD375" i="2"/>
  <c r="AC375" i="2"/>
  <c r="AB375" i="2"/>
  <c r="AA375" i="2"/>
  <c r="Y375" i="2"/>
  <c r="U375" i="2"/>
  <c r="Q375" i="2"/>
  <c r="M375" i="2"/>
  <c r="K375" i="2"/>
  <c r="L375" i="2" s="1"/>
  <c r="G375" i="2"/>
  <c r="AH374" i="2"/>
  <c r="AG374" i="2"/>
  <c r="AF374" i="2"/>
  <c r="AE374" i="2"/>
  <c r="AD374" i="2"/>
  <c r="AC374" i="2"/>
  <c r="AB374" i="2" s="1"/>
  <c r="AA374" i="2"/>
  <c r="Z374" i="2"/>
  <c r="D374" i="2" s="1"/>
  <c r="Y374" i="2"/>
  <c r="U374" i="2"/>
  <c r="Q374" i="2"/>
  <c r="M374" i="2"/>
  <c r="K374" i="2" s="1"/>
  <c r="AH373" i="2"/>
  <c r="AF373" i="2"/>
  <c r="AG373" i="2" s="1"/>
  <c r="AD373" i="2"/>
  <c r="AC373" i="2"/>
  <c r="AB373" i="2" s="1"/>
  <c r="AA373" i="2"/>
  <c r="Y373" i="2"/>
  <c r="U373" i="2"/>
  <c r="Q373" i="2"/>
  <c r="M373" i="2"/>
  <c r="K373" i="2" s="1"/>
  <c r="AH372" i="2"/>
  <c r="AF372" i="2"/>
  <c r="AD372" i="2"/>
  <c r="AC372" i="2"/>
  <c r="AB372" i="2"/>
  <c r="AA372" i="2"/>
  <c r="Y372" i="2"/>
  <c r="U372" i="2"/>
  <c r="Q372" i="2"/>
  <c r="M372" i="2"/>
  <c r="K372" i="2"/>
  <c r="O372" i="2" s="1"/>
  <c r="S372" i="2" s="1"/>
  <c r="AH371" i="2"/>
  <c r="AG371" i="2"/>
  <c r="AF371" i="2"/>
  <c r="AE371" i="2"/>
  <c r="AD371" i="2"/>
  <c r="AC371" i="2"/>
  <c r="AB371" i="2"/>
  <c r="Z371" i="2" s="1"/>
  <c r="D371" i="2" s="1"/>
  <c r="AA371" i="2"/>
  <c r="Y371" i="2"/>
  <c r="U371" i="2"/>
  <c r="S371" i="2"/>
  <c r="Q371" i="2"/>
  <c r="O371" i="2"/>
  <c r="P371" i="2" s="1"/>
  <c r="N371" i="2"/>
  <c r="M371" i="2"/>
  <c r="L371" i="2"/>
  <c r="K371" i="2"/>
  <c r="G371" i="2"/>
  <c r="AH370" i="2"/>
  <c r="AG370" i="2"/>
  <c r="AF370" i="2"/>
  <c r="AE370" i="2"/>
  <c r="AD370" i="2"/>
  <c r="AC370" i="2"/>
  <c r="AB370" i="2" s="1"/>
  <c r="AA370" i="2"/>
  <c r="Z370" i="2"/>
  <c r="D370" i="2" s="1"/>
  <c r="Y370" i="2"/>
  <c r="W370" i="2" s="1"/>
  <c r="U370" i="2"/>
  <c r="S370" i="2" s="1"/>
  <c r="Q370" i="2"/>
  <c r="O370" i="2"/>
  <c r="M370" i="2"/>
  <c r="K370" i="2" s="1"/>
  <c r="AH369" i="2"/>
  <c r="AF369" i="2"/>
  <c r="AD369" i="2"/>
  <c r="AC369" i="2"/>
  <c r="AB369" i="2" s="1"/>
  <c r="AA369" i="2"/>
  <c r="Y369" i="2"/>
  <c r="U369" i="2"/>
  <c r="Q369" i="2"/>
  <c r="M369" i="2"/>
  <c r="K369" i="2" s="1"/>
  <c r="L369" i="2" s="1"/>
  <c r="AH368" i="2"/>
  <c r="AF368" i="2"/>
  <c r="AD368" i="2"/>
  <c r="AC368" i="2"/>
  <c r="AB368" i="2"/>
  <c r="AA368" i="2"/>
  <c r="Y368" i="2"/>
  <c r="U368" i="2"/>
  <c r="S368" i="2"/>
  <c r="Q368" i="2"/>
  <c r="M368" i="2"/>
  <c r="L368" i="2"/>
  <c r="K368" i="2"/>
  <c r="O368" i="2" s="1"/>
  <c r="G368" i="2"/>
  <c r="AH367" i="2"/>
  <c r="AF367" i="2"/>
  <c r="AG367" i="2" s="1"/>
  <c r="AE367" i="2"/>
  <c r="Z367" i="2" s="1"/>
  <c r="D367" i="2" s="1"/>
  <c r="AD367" i="2"/>
  <c r="AC367" i="2"/>
  <c r="AB367" i="2" s="1"/>
  <c r="AA367" i="2"/>
  <c r="Y367" i="2"/>
  <c r="U367" i="2"/>
  <c r="Q367" i="2"/>
  <c r="M367" i="2"/>
  <c r="K367" i="2"/>
  <c r="AH366" i="2"/>
  <c r="AF366" i="2"/>
  <c r="AE366" i="2" s="1"/>
  <c r="AD366" i="2"/>
  <c r="AC366" i="2"/>
  <c r="AB366" i="2"/>
  <c r="AA366" i="2"/>
  <c r="Y366" i="2"/>
  <c r="U366" i="2"/>
  <c r="Q366" i="2"/>
  <c r="M366" i="2"/>
  <c r="K366" i="2"/>
  <c r="L366" i="2" s="1"/>
  <c r="G366" i="2"/>
  <c r="AH365" i="2"/>
  <c r="AF365" i="2"/>
  <c r="AG365" i="2" s="1"/>
  <c r="AD365" i="2"/>
  <c r="AC365" i="2"/>
  <c r="AB365" i="2"/>
  <c r="AA365" i="2"/>
  <c r="Y365" i="2"/>
  <c r="W365" i="2" s="1"/>
  <c r="U365" i="2"/>
  <c r="S365" i="2" s="1"/>
  <c r="Q365" i="2"/>
  <c r="M365" i="2"/>
  <c r="K365" i="2" s="1"/>
  <c r="O365" i="2" s="1"/>
  <c r="AH364" i="2"/>
  <c r="AF364" i="2"/>
  <c r="AG364" i="2" s="1"/>
  <c r="AD364" i="2"/>
  <c r="AC364" i="2"/>
  <c r="AB364" i="2"/>
  <c r="AA364" i="2"/>
  <c r="Y364" i="2"/>
  <c r="U364" i="2"/>
  <c r="Q364" i="2"/>
  <c r="M364" i="2"/>
  <c r="K364" i="2" s="1"/>
  <c r="AH363" i="2"/>
  <c r="AF363" i="2"/>
  <c r="AG363" i="2" s="1"/>
  <c r="AE363" i="2"/>
  <c r="AD363" i="2"/>
  <c r="AC363" i="2"/>
  <c r="AB363" i="2"/>
  <c r="AA363" i="2"/>
  <c r="Z363" i="2" s="1"/>
  <c r="D363" i="2" s="1"/>
  <c r="Y363" i="2"/>
  <c r="U363" i="2"/>
  <c r="Q363" i="2"/>
  <c r="M363" i="2"/>
  <c r="L363" i="2"/>
  <c r="K363" i="2"/>
  <c r="AH362" i="2"/>
  <c r="AG362" i="2"/>
  <c r="AF362" i="2"/>
  <c r="AE362" i="2"/>
  <c r="AD362" i="2"/>
  <c r="AC362" i="2"/>
  <c r="AB362" i="2"/>
  <c r="AA362" i="2"/>
  <c r="Y362" i="2"/>
  <c r="U362" i="2"/>
  <c r="Q362" i="2"/>
  <c r="O362" i="2"/>
  <c r="M362" i="2"/>
  <c r="K362" i="2" s="1"/>
  <c r="G362" i="2" s="1"/>
  <c r="AH361" i="2"/>
  <c r="AG361" i="2"/>
  <c r="AF361" i="2"/>
  <c r="AE361" i="2"/>
  <c r="AD361" i="2"/>
  <c r="AC361" i="2"/>
  <c r="AB361" i="2"/>
  <c r="AA361" i="2"/>
  <c r="Z361" i="2" s="1"/>
  <c r="D361" i="2" s="1"/>
  <c r="Y361" i="2"/>
  <c r="U361" i="2"/>
  <c r="Q361" i="2"/>
  <c r="O361" i="2"/>
  <c r="M361" i="2"/>
  <c r="K361" i="2"/>
  <c r="L361" i="2" s="1"/>
  <c r="AH360" i="2"/>
  <c r="AG360" i="2"/>
  <c r="AF360" i="2"/>
  <c r="AE360" i="2" s="1"/>
  <c r="AD360" i="2"/>
  <c r="AC360" i="2"/>
  <c r="AB360" i="2"/>
  <c r="AA360" i="2"/>
  <c r="Z360" i="2" s="1"/>
  <c r="D360" i="2" s="1"/>
  <c r="Y360" i="2"/>
  <c r="U360" i="2"/>
  <c r="S360" i="2" s="1"/>
  <c r="R360" i="2" s="1"/>
  <c r="Q360" i="2"/>
  <c r="O360" i="2" s="1"/>
  <c r="M360" i="2"/>
  <c r="K360" i="2"/>
  <c r="L360" i="2" s="1"/>
  <c r="AH359" i="2"/>
  <c r="AG359" i="2"/>
  <c r="AF359" i="2"/>
  <c r="AE359" i="2"/>
  <c r="AD359" i="2"/>
  <c r="AC359" i="2"/>
  <c r="AB359" i="2"/>
  <c r="AA359" i="2"/>
  <c r="Z359" i="2" s="1"/>
  <c r="D359" i="2" s="1"/>
  <c r="Y359" i="2"/>
  <c r="U359" i="2"/>
  <c r="Q359" i="2"/>
  <c r="O359" i="2" s="1"/>
  <c r="M359" i="2"/>
  <c r="K359" i="2"/>
  <c r="L359" i="2" s="1"/>
  <c r="G359" i="2"/>
  <c r="AH358" i="2"/>
  <c r="AF358" i="2"/>
  <c r="AG358" i="2" s="1"/>
  <c r="AE358" i="2"/>
  <c r="AD358" i="2"/>
  <c r="AC358" i="2"/>
  <c r="AB358" i="2" s="1"/>
  <c r="AA358" i="2"/>
  <c r="Z358" i="2"/>
  <c r="D358" i="2" s="1"/>
  <c r="Y358" i="2"/>
  <c r="U358" i="2"/>
  <c r="Q358" i="2"/>
  <c r="M358" i="2"/>
  <c r="K358" i="2"/>
  <c r="AH357" i="2"/>
  <c r="AG357" i="2"/>
  <c r="AF357" i="2"/>
  <c r="AE357" i="2" s="1"/>
  <c r="AD357" i="2"/>
  <c r="AC357" i="2"/>
  <c r="AB357" i="2" s="1"/>
  <c r="AA357" i="2"/>
  <c r="Y357" i="2"/>
  <c r="U357" i="2"/>
  <c r="Q357" i="2"/>
  <c r="M357" i="2"/>
  <c r="K357" i="2" s="1"/>
  <c r="AH356" i="2"/>
  <c r="AF356" i="2"/>
  <c r="AE356" i="2" s="1"/>
  <c r="AD356" i="2"/>
  <c r="AC356" i="2"/>
  <c r="AB356" i="2" s="1"/>
  <c r="AA356" i="2"/>
  <c r="Y356" i="2"/>
  <c r="U356" i="2"/>
  <c r="Q356" i="2"/>
  <c r="M356" i="2"/>
  <c r="K356" i="2" s="1"/>
  <c r="AH355" i="2"/>
  <c r="AG355" i="2"/>
  <c r="AF355" i="2"/>
  <c r="AE355" i="2" s="1"/>
  <c r="AD355" i="2"/>
  <c r="AC355" i="2"/>
  <c r="AB355" i="2" s="1"/>
  <c r="AA355" i="2"/>
  <c r="Y355" i="2"/>
  <c r="U355" i="2"/>
  <c r="Q355" i="2"/>
  <c r="O355" i="2" s="1"/>
  <c r="M355" i="2"/>
  <c r="K355" i="2" s="1"/>
  <c r="AH354" i="2"/>
  <c r="AF354" i="2"/>
  <c r="AG354" i="2" s="1"/>
  <c r="AD354" i="2"/>
  <c r="AC354" i="2"/>
  <c r="AB354" i="2" s="1"/>
  <c r="AA354" i="2"/>
  <c r="Y354" i="2"/>
  <c r="U354" i="2"/>
  <c r="Q354" i="2"/>
  <c r="O354" i="2" s="1"/>
  <c r="M354" i="2"/>
  <c r="K354" i="2"/>
  <c r="L354" i="2" s="1"/>
  <c r="G354" i="2"/>
  <c r="AH353" i="2"/>
  <c r="AF353" i="2"/>
  <c r="AG353" i="2" s="1"/>
  <c r="AD353" i="2"/>
  <c r="AC353" i="2"/>
  <c r="AB353" i="2" s="1"/>
  <c r="AA353" i="2"/>
  <c r="Y353" i="2"/>
  <c r="U353" i="2"/>
  <c r="Q353" i="2"/>
  <c r="M353" i="2"/>
  <c r="K353" i="2" s="1"/>
  <c r="L353" i="2" s="1"/>
  <c r="G353" i="2"/>
  <c r="AH352" i="2"/>
  <c r="AF352" i="2"/>
  <c r="AG352" i="2" s="1"/>
  <c r="AD352" i="2"/>
  <c r="AC352" i="2"/>
  <c r="AB352" i="2" s="1"/>
  <c r="AA352" i="2"/>
  <c r="Y352" i="2"/>
  <c r="U352" i="2"/>
  <c r="Q352" i="2"/>
  <c r="M352" i="2"/>
  <c r="K352" i="2" s="1"/>
  <c r="L352" i="2"/>
  <c r="AH351" i="2"/>
  <c r="AF351" i="2"/>
  <c r="AG351" i="2" s="1"/>
  <c r="AE351" i="2"/>
  <c r="AD351" i="2"/>
  <c r="AC351" i="2"/>
  <c r="AB351" i="2" s="1"/>
  <c r="AA351" i="2"/>
  <c r="Z351" i="2" s="1"/>
  <c r="D351" i="2" s="1"/>
  <c r="Y351" i="2"/>
  <c r="U351" i="2"/>
  <c r="Q351" i="2"/>
  <c r="M351" i="2"/>
  <c r="K351" i="2" s="1"/>
  <c r="AH350" i="2"/>
  <c r="AF350" i="2"/>
  <c r="AD350" i="2"/>
  <c r="AC350" i="2"/>
  <c r="AB350" i="2"/>
  <c r="AA350" i="2"/>
  <c r="Y350" i="2"/>
  <c r="U350" i="2"/>
  <c r="S350" i="2"/>
  <c r="Q350" i="2"/>
  <c r="O350" i="2" s="1"/>
  <c r="P350" i="2" s="1"/>
  <c r="M350" i="2"/>
  <c r="K350" i="2" s="1"/>
  <c r="AH349" i="2"/>
  <c r="AF349" i="2"/>
  <c r="AG349" i="2" s="1"/>
  <c r="Z349" i="2" s="1"/>
  <c r="D349" i="2" s="1"/>
  <c r="AE349" i="2"/>
  <c r="AD349" i="2"/>
  <c r="AC349" i="2"/>
  <c r="AB349" i="2"/>
  <c r="AA349" i="2"/>
  <c r="Y349" i="2"/>
  <c r="U349" i="2"/>
  <c r="Q349" i="2"/>
  <c r="M349" i="2"/>
  <c r="K349" i="2" s="1"/>
  <c r="AH348" i="2"/>
  <c r="AF348" i="2"/>
  <c r="AG348" i="2" s="1"/>
  <c r="AE348" i="2"/>
  <c r="AD348" i="2"/>
  <c r="AC348" i="2"/>
  <c r="AB348" i="2"/>
  <c r="AA348" i="2"/>
  <c r="Z348" i="2" s="1"/>
  <c r="D348" i="2" s="1"/>
  <c r="Y348" i="2"/>
  <c r="U348" i="2"/>
  <c r="Q348" i="2"/>
  <c r="M348" i="2"/>
  <c r="K348" i="2" s="1"/>
  <c r="AH347" i="2"/>
  <c r="AF347" i="2"/>
  <c r="AG347" i="2" s="1"/>
  <c r="AE347" i="2"/>
  <c r="AD347" i="2"/>
  <c r="AC347" i="2"/>
  <c r="AB347" i="2"/>
  <c r="AA347" i="2"/>
  <c r="Y347" i="2"/>
  <c r="U347" i="2"/>
  <c r="Q347" i="2"/>
  <c r="M347" i="2"/>
  <c r="K347" i="2"/>
  <c r="AH346" i="2"/>
  <c r="AG346" i="2"/>
  <c r="AF346" i="2"/>
  <c r="AE346" i="2"/>
  <c r="AD346" i="2"/>
  <c r="AC346" i="2"/>
  <c r="AB346" i="2"/>
  <c r="AA346" i="2"/>
  <c r="Z346" i="2" s="1"/>
  <c r="D346" i="2" s="1"/>
  <c r="Y346" i="2"/>
  <c r="U346" i="2"/>
  <c r="Q346" i="2"/>
  <c r="O346" i="2"/>
  <c r="N346" i="2" s="1"/>
  <c r="M346" i="2"/>
  <c r="K346" i="2" s="1"/>
  <c r="L346" i="2"/>
  <c r="AH345" i="2"/>
  <c r="AG345" i="2"/>
  <c r="AF345" i="2"/>
  <c r="AE345" i="2"/>
  <c r="AD345" i="2"/>
  <c r="AC345" i="2"/>
  <c r="AB345" i="2" s="1"/>
  <c r="AA345" i="2"/>
  <c r="Z345" i="2" s="1"/>
  <c r="D345" i="2" s="1"/>
  <c r="Y345" i="2"/>
  <c r="U345" i="2"/>
  <c r="Q345" i="2"/>
  <c r="O345" i="2"/>
  <c r="M345" i="2"/>
  <c r="K345" i="2"/>
  <c r="L345" i="2" s="1"/>
  <c r="AH344" i="2"/>
  <c r="AF344" i="2"/>
  <c r="AG344" i="2" s="1"/>
  <c r="AD344" i="2"/>
  <c r="AC344" i="2"/>
  <c r="AB344" i="2"/>
  <c r="AA344" i="2"/>
  <c r="Y344" i="2"/>
  <c r="W344" i="2" s="1"/>
  <c r="U344" i="2"/>
  <c r="S344" i="2" s="1"/>
  <c r="T344" i="2"/>
  <c r="R344" i="2"/>
  <c r="Q344" i="2"/>
  <c r="O344" i="2" s="1"/>
  <c r="M344" i="2"/>
  <c r="K344" i="2"/>
  <c r="L344" i="2" s="1"/>
  <c r="AH343" i="2"/>
  <c r="AG343" i="2"/>
  <c r="AF343" i="2"/>
  <c r="AE343" i="2"/>
  <c r="AD343" i="2"/>
  <c r="AC343" i="2"/>
  <c r="AB343" i="2"/>
  <c r="AA343" i="2"/>
  <c r="Z343" i="2" s="1"/>
  <c r="D343" i="2" s="1"/>
  <c r="Y343" i="2"/>
  <c r="U343" i="2"/>
  <c r="S343" i="2" s="1"/>
  <c r="Q343" i="2"/>
  <c r="O343" i="2" s="1"/>
  <c r="M343" i="2"/>
  <c r="K343" i="2"/>
  <c r="L343" i="2" s="1"/>
  <c r="G343" i="2"/>
  <c r="AH342" i="2"/>
  <c r="AG342" i="2"/>
  <c r="AF342" i="2"/>
  <c r="AE342" i="2"/>
  <c r="AD342" i="2"/>
  <c r="AC342" i="2"/>
  <c r="AB342" i="2" s="1"/>
  <c r="AA342" i="2"/>
  <c r="Z342" i="2"/>
  <c r="D342" i="2" s="1"/>
  <c r="Y342" i="2"/>
  <c r="U342" i="2"/>
  <c r="Q342" i="2"/>
  <c r="M342" i="2"/>
  <c r="K342" i="2"/>
  <c r="AH341" i="2"/>
  <c r="AG341" i="2"/>
  <c r="AF341" i="2"/>
  <c r="AE341" i="2" s="1"/>
  <c r="AD341" i="2"/>
  <c r="AC341" i="2"/>
  <c r="AB341" i="2" s="1"/>
  <c r="AA341" i="2"/>
  <c r="Y341" i="2"/>
  <c r="U341" i="2"/>
  <c r="Q341" i="2"/>
  <c r="M341" i="2"/>
  <c r="K341" i="2" s="1"/>
  <c r="AH340" i="2"/>
  <c r="AF340" i="2"/>
  <c r="AE340" i="2" s="1"/>
  <c r="AD340" i="2"/>
  <c r="AC340" i="2"/>
  <c r="AB340" i="2"/>
  <c r="AA340" i="2"/>
  <c r="Y340" i="2"/>
  <c r="U340" i="2"/>
  <c r="S340" i="2" s="1"/>
  <c r="Q340" i="2"/>
  <c r="O340" i="2" s="1"/>
  <c r="P340" i="2"/>
  <c r="N340" i="2"/>
  <c r="M340" i="2"/>
  <c r="K340" i="2" s="1"/>
  <c r="AH339" i="2"/>
  <c r="AG339" i="2"/>
  <c r="AF339" i="2"/>
  <c r="AE339" i="2" s="1"/>
  <c r="AD339" i="2"/>
  <c r="AC339" i="2"/>
  <c r="AB339" i="2" s="1"/>
  <c r="Z339" i="2" s="1"/>
  <c r="AA339" i="2"/>
  <c r="Y339" i="2"/>
  <c r="U339" i="2"/>
  <c r="Q339" i="2"/>
  <c r="M339" i="2"/>
  <c r="K339" i="2" s="1"/>
  <c r="D339" i="2"/>
  <c r="AH338" i="2"/>
  <c r="AF338" i="2"/>
  <c r="AG338" i="2" s="1"/>
  <c r="AD338" i="2"/>
  <c r="AC338" i="2"/>
  <c r="AB338" i="2" s="1"/>
  <c r="AA338" i="2"/>
  <c r="Y338" i="2"/>
  <c r="U338" i="2"/>
  <c r="Q338" i="2"/>
  <c r="O338" i="2" s="1"/>
  <c r="M338" i="2"/>
  <c r="K338" i="2"/>
  <c r="L338" i="2" s="1"/>
  <c r="G338" i="2"/>
  <c r="AH337" i="2"/>
  <c r="AF337" i="2"/>
  <c r="AG337" i="2" s="1"/>
  <c r="AD337" i="2"/>
  <c r="AC337" i="2"/>
  <c r="AB337" i="2" s="1"/>
  <c r="AA337" i="2"/>
  <c r="Y337" i="2"/>
  <c r="U337" i="2"/>
  <c r="Q337" i="2"/>
  <c r="M337" i="2"/>
  <c r="K337" i="2" s="1"/>
  <c r="L337" i="2" s="1"/>
  <c r="G337" i="2"/>
  <c r="AH336" i="2"/>
  <c r="AF336" i="2"/>
  <c r="AG336" i="2" s="1"/>
  <c r="AD336" i="2"/>
  <c r="AC336" i="2"/>
  <c r="AB336" i="2" s="1"/>
  <c r="AA336" i="2"/>
  <c r="Y336" i="2"/>
  <c r="U336" i="2"/>
  <c r="Q336" i="2"/>
  <c r="M336" i="2"/>
  <c r="K336" i="2" s="1"/>
  <c r="G336" i="2" s="1"/>
  <c r="L336" i="2"/>
  <c r="AH335" i="2"/>
  <c r="AF335" i="2"/>
  <c r="AG335" i="2" s="1"/>
  <c r="AD335" i="2"/>
  <c r="AC335" i="2"/>
  <c r="AB335" i="2" s="1"/>
  <c r="AA335" i="2"/>
  <c r="Y335" i="2"/>
  <c r="U335" i="2"/>
  <c r="Q335" i="2"/>
  <c r="O335" i="2"/>
  <c r="M335" i="2"/>
  <c r="K335" i="2" s="1"/>
  <c r="AH334" i="2"/>
  <c r="AF334" i="2"/>
  <c r="AD334" i="2"/>
  <c r="AC334" i="2"/>
  <c r="AB334" i="2"/>
  <c r="AA334" i="2"/>
  <c r="Y334" i="2"/>
  <c r="U334" i="2"/>
  <c r="Q334" i="2"/>
  <c r="M334" i="2"/>
  <c r="K334" i="2" s="1"/>
  <c r="AH333" i="2"/>
  <c r="AF333" i="2"/>
  <c r="AG333" i="2" s="1"/>
  <c r="AE333" i="2"/>
  <c r="Z333" i="2" s="1"/>
  <c r="D333" i="2" s="1"/>
  <c r="AD333" i="2"/>
  <c r="AC333" i="2"/>
  <c r="AB333" i="2"/>
  <c r="AA333" i="2"/>
  <c r="Y333" i="2"/>
  <c r="U333" i="2"/>
  <c r="Q333" i="2"/>
  <c r="M333" i="2"/>
  <c r="K333" i="2" s="1"/>
  <c r="AH332" i="2"/>
  <c r="AF332" i="2"/>
  <c r="AG332" i="2" s="1"/>
  <c r="AE332" i="2"/>
  <c r="AD332" i="2"/>
  <c r="AC332" i="2"/>
  <c r="AB332" i="2"/>
  <c r="AA332" i="2"/>
  <c r="Y332" i="2"/>
  <c r="U332" i="2"/>
  <c r="Q332" i="2"/>
  <c r="M332" i="2"/>
  <c r="K332" i="2" s="1"/>
  <c r="L332" i="2" s="1"/>
  <c r="AH331" i="2"/>
  <c r="AF331" i="2"/>
  <c r="AG331" i="2" s="1"/>
  <c r="AD331" i="2"/>
  <c r="AC331" i="2"/>
  <c r="AB331" i="2"/>
  <c r="AA331" i="2"/>
  <c r="Y331" i="2"/>
  <c r="U331" i="2"/>
  <c r="Q331" i="2"/>
  <c r="M331" i="2"/>
  <c r="K331" i="2"/>
  <c r="G331" i="2" s="1"/>
  <c r="AH330" i="2"/>
  <c r="AG330" i="2"/>
  <c r="AF330" i="2"/>
  <c r="AE330" i="2"/>
  <c r="AD330" i="2"/>
  <c r="AC330" i="2"/>
  <c r="AB330" i="2"/>
  <c r="AA330" i="2"/>
  <c r="Y330" i="2"/>
  <c r="U330" i="2"/>
  <c r="Q330" i="2"/>
  <c r="M330" i="2"/>
  <c r="K330" i="2" s="1"/>
  <c r="AH329" i="2"/>
  <c r="AG329" i="2"/>
  <c r="AF329" i="2"/>
  <c r="AE329" i="2"/>
  <c r="AD329" i="2"/>
  <c r="AC329" i="2"/>
  <c r="AB329" i="2" s="1"/>
  <c r="AA329" i="2"/>
  <c r="Z329" i="2" s="1"/>
  <c r="D329" i="2" s="1"/>
  <c r="Y329" i="2"/>
  <c r="U329" i="2"/>
  <c r="Q329" i="2"/>
  <c r="O329" i="2" s="1"/>
  <c r="M329" i="2"/>
  <c r="K329" i="2"/>
  <c r="AH328" i="2"/>
  <c r="AF328" i="2"/>
  <c r="AG328" i="2" s="1"/>
  <c r="AD328" i="2"/>
  <c r="AC328" i="2"/>
  <c r="AB328" i="2"/>
  <c r="AA328" i="2"/>
  <c r="Y328" i="2"/>
  <c r="U328" i="2"/>
  <c r="Q328" i="2"/>
  <c r="O328" i="2" s="1"/>
  <c r="S328" i="2" s="1"/>
  <c r="N328" i="2"/>
  <c r="M328" i="2"/>
  <c r="K328" i="2"/>
  <c r="L328" i="2" s="1"/>
  <c r="G328" i="2"/>
  <c r="AH327" i="2"/>
  <c r="AG327" i="2"/>
  <c r="AF327" i="2"/>
  <c r="AE327" i="2" s="1"/>
  <c r="AD327" i="2"/>
  <c r="AC327" i="2"/>
  <c r="AB327" i="2"/>
  <c r="AA327" i="2"/>
  <c r="Y327" i="2"/>
  <c r="U327" i="2"/>
  <c r="Q327" i="2"/>
  <c r="M327" i="2"/>
  <c r="K327" i="2"/>
  <c r="L327" i="2" s="1"/>
  <c r="AH326" i="2"/>
  <c r="AG326" i="2"/>
  <c r="AF326" i="2"/>
  <c r="AE326" i="2"/>
  <c r="AD326" i="2"/>
  <c r="AC326" i="2"/>
  <c r="AB326" i="2"/>
  <c r="AA326" i="2"/>
  <c r="Z326" i="2"/>
  <c r="D326" i="2" s="1"/>
  <c r="Y326" i="2"/>
  <c r="W326" i="2" s="1"/>
  <c r="U326" i="2"/>
  <c r="S326" i="2" s="1"/>
  <c r="Q326" i="2"/>
  <c r="O326" i="2" s="1"/>
  <c r="M326" i="2"/>
  <c r="L326" i="2"/>
  <c r="K326" i="2"/>
  <c r="G326" i="2"/>
  <c r="AH325" i="2"/>
  <c r="AF325" i="2"/>
  <c r="AG325" i="2" s="1"/>
  <c r="AE325" i="2"/>
  <c r="AD325" i="2"/>
  <c r="AC325" i="2"/>
  <c r="AB325" i="2"/>
  <c r="Z325" i="2" s="1"/>
  <c r="D325" i="2" s="1"/>
  <c r="AA325" i="2"/>
  <c r="Y325" i="2"/>
  <c r="U325" i="2"/>
  <c r="Q325" i="2"/>
  <c r="M325" i="2"/>
  <c r="K325" i="2" s="1"/>
  <c r="L325" i="2" s="1"/>
  <c r="AH324" i="2"/>
  <c r="AF324" i="2"/>
  <c r="AG324" i="2" s="1"/>
  <c r="AE324" i="2"/>
  <c r="AD324" i="2"/>
  <c r="AC324" i="2"/>
  <c r="AB324" i="2" s="1"/>
  <c r="AA324" i="2"/>
  <c r="Y324" i="2"/>
  <c r="U324" i="2"/>
  <c r="Q324" i="2"/>
  <c r="O324" i="2"/>
  <c r="M324" i="2"/>
  <c r="K324" i="2" s="1"/>
  <c r="AH323" i="2"/>
  <c r="AF323" i="2"/>
  <c r="AD323" i="2"/>
  <c r="AC323" i="2"/>
  <c r="AB323" i="2"/>
  <c r="AA323" i="2"/>
  <c r="Y323" i="2"/>
  <c r="U323" i="2"/>
  <c r="S323" i="2"/>
  <c r="R323" i="2"/>
  <c r="Q323" i="2"/>
  <c r="P323" i="2"/>
  <c r="O323" i="2"/>
  <c r="N323" i="2"/>
  <c r="M323" i="2"/>
  <c r="K323" i="2"/>
  <c r="L323" i="2" s="1"/>
  <c r="G323" i="2" s="1"/>
  <c r="AH322" i="2"/>
  <c r="AG322" i="2"/>
  <c r="AF322" i="2"/>
  <c r="AE322" i="2" s="1"/>
  <c r="AD322" i="2"/>
  <c r="AC322" i="2"/>
  <c r="AB322" i="2" s="1"/>
  <c r="AA322" i="2"/>
  <c r="Y322" i="2"/>
  <c r="U322" i="2"/>
  <c r="S322" i="2" s="1"/>
  <c r="Q322" i="2"/>
  <c r="O322" i="2" s="1"/>
  <c r="M322" i="2"/>
  <c r="K322" i="2" s="1"/>
  <c r="AH321" i="2"/>
  <c r="AF321" i="2"/>
  <c r="AG321" i="2" s="1"/>
  <c r="AD321" i="2"/>
  <c r="AC321" i="2"/>
  <c r="AB321" i="2"/>
  <c r="AA321" i="2"/>
  <c r="Y321" i="2"/>
  <c r="U321" i="2"/>
  <c r="S321" i="2" s="1"/>
  <c r="Q321" i="2"/>
  <c r="O321" i="2" s="1"/>
  <c r="M321" i="2"/>
  <c r="K321" i="2"/>
  <c r="L321" i="2" s="1"/>
  <c r="AH320" i="2"/>
  <c r="AF320" i="2"/>
  <c r="AG320" i="2" s="1"/>
  <c r="AE320" i="2"/>
  <c r="AD320" i="2"/>
  <c r="AC320" i="2"/>
  <c r="AB320" i="2"/>
  <c r="AA320" i="2"/>
  <c r="Y320" i="2"/>
  <c r="U320" i="2"/>
  <c r="Q320" i="2"/>
  <c r="M320" i="2"/>
  <c r="L320" i="2"/>
  <c r="K320" i="2"/>
  <c r="AH319" i="2"/>
  <c r="AG319" i="2"/>
  <c r="AF319" i="2"/>
  <c r="AE319" i="2"/>
  <c r="AD319" i="2"/>
  <c r="AC319" i="2"/>
  <c r="AB319" i="2"/>
  <c r="AA319" i="2"/>
  <c r="Y319" i="2"/>
  <c r="U319" i="2"/>
  <c r="Q319" i="2"/>
  <c r="O319" i="2"/>
  <c r="N319" i="2" s="1"/>
  <c r="M319" i="2"/>
  <c r="L319" i="2"/>
  <c r="K319" i="2"/>
  <c r="G319" i="2" s="1"/>
  <c r="AH318" i="2"/>
  <c r="AG318" i="2"/>
  <c r="AF318" i="2"/>
  <c r="AE318" i="2"/>
  <c r="AD318" i="2"/>
  <c r="AC318" i="2"/>
  <c r="AB318" i="2" s="1"/>
  <c r="Z318" i="2" s="1"/>
  <c r="D318" i="2" s="1"/>
  <c r="AA318" i="2"/>
  <c r="Y318" i="2"/>
  <c r="U318" i="2"/>
  <c r="Q318" i="2"/>
  <c r="O318" i="2"/>
  <c r="M318" i="2"/>
  <c r="K318" i="2" s="1"/>
  <c r="AH317" i="2"/>
  <c r="AF317" i="2"/>
  <c r="AG317" i="2" s="1"/>
  <c r="AD317" i="2"/>
  <c r="AC317" i="2"/>
  <c r="AB317" i="2"/>
  <c r="AA317" i="2"/>
  <c r="Y317" i="2"/>
  <c r="U317" i="2"/>
  <c r="Q317" i="2"/>
  <c r="M317" i="2"/>
  <c r="K317" i="2" s="1"/>
  <c r="AH316" i="2"/>
  <c r="AF316" i="2"/>
  <c r="AG316" i="2" s="1"/>
  <c r="Z316" i="2" s="1"/>
  <c r="D316" i="2" s="1"/>
  <c r="AE316" i="2"/>
  <c r="AD316" i="2"/>
  <c r="AC316" i="2"/>
  <c r="AB316" i="2"/>
  <c r="AA316" i="2"/>
  <c r="Y316" i="2"/>
  <c r="U316" i="2"/>
  <c r="Q316" i="2"/>
  <c r="M316" i="2"/>
  <c r="K316" i="2"/>
  <c r="O316" i="2" s="1"/>
  <c r="AH315" i="2"/>
  <c r="AF315" i="2"/>
  <c r="AG315" i="2" s="1"/>
  <c r="AE315" i="2"/>
  <c r="AD315" i="2"/>
  <c r="AC315" i="2"/>
  <c r="AB315" i="2" s="1"/>
  <c r="Z315" i="2" s="1"/>
  <c r="D315" i="2" s="1"/>
  <c r="AA315" i="2"/>
  <c r="Y315" i="2"/>
  <c r="U315" i="2"/>
  <c r="Q315" i="2"/>
  <c r="M315" i="2"/>
  <c r="K315" i="2"/>
  <c r="AH314" i="2"/>
  <c r="AF314" i="2"/>
  <c r="AD314" i="2"/>
  <c r="AC314" i="2"/>
  <c r="AB314" i="2" s="1"/>
  <c r="AA314" i="2"/>
  <c r="Y314" i="2"/>
  <c r="U314" i="2"/>
  <c r="Q314" i="2"/>
  <c r="M314" i="2"/>
  <c r="K314" i="2" s="1"/>
  <c r="AH313" i="2"/>
  <c r="AF313" i="2"/>
  <c r="AE313" i="2" s="1"/>
  <c r="AD313" i="2"/>
  <c r="AC313" i="2"/>
  <c r="AB313" i="2"/>
  <c r="AA313" i="2"/>
  <c r="Y313" i="2"/>
  <c r="U313" i="2"/>
  <c r="Q313" i="2"/>
  <c r="O313" i="2" s="1"/>
  <c r="M313" i="2"/>
  <c r="K313" i="2" s="1"/>
  <c r="AH312" i="2"/>
  <c r="AG312" i="2"/>
  <c r="AF312" i="2"/>
  <c r="AE312" i="2"/>
  <c r="AD312" i="2"/>
  <c r="AC312" i="2"/>
  <c r="AB312" i="2"/>
  <c r="AA312" i="2"/>
  <c r="Z312" i="2" s="1"/>
  <c r="D312" i="2" s="1"/>
  <c r="Y312" i="2"/>
  <c r="U312" i="2"/>
  <c r="S312" i="2"/>
  <c r="Q312" i="2"/>
  <c r="O312" i="2" s="1"/>
  <c r="M312" i="2"/>
  <c r="K312" i="2"/>
  <c r="L312" i="2" s="1"/>
  <c r="G312" i="2"/>
  <c r="AH311" i="2"/>
  <c r="AF311" i="2"/>
  <c r="AG311" i="2" s="1"/>
  <c r="Z311" i="2" s="1"/>
  <c r="D311" i="2" s="1"/>
  <c r="AE311" i="2"/>
  <c r="AD311" i="2"/>
  <c r="AC311" i="2"/>
  <c r="AB311" i="2"/>
  <c r="AA311" i="2"/>
  <c r="Y311" i="2"/>
  <c r="U311" i="2"/>
  <c r="Q311" i="2"/>
  <c r="M311" i="2"/>
  <c r="K311" i="2"/>
  <c r="O311" i="2" s="1"/>
  <c r="G311" i="2"/>
  <c r="AH310" i="2"/>
  <c r="AG310" i="2"/>
  <c r="AF310" i="2"/>
  <c r="AE310" i="2"/>
  <c r="AD310" i="2"/>
  <c r="AC310" i="2"/>
  <c r="AB310" i="2"/>
  <c r="Z310" i="2" s="1"/>
  <c r="D310" i="2" s="1"/>
  <c r="AA310" i="2"/>
  <c r="Y310" i="2"/>
  <c r="U310" i="2"/>
  <c r="Q310" i="2"/>
  <c r="O310" i="2" s="1"/>
  <c r="M310" i="2"/>
  <c r="K310" i="2" s="1"/>
  <c r="L310" i="2"/>
  <c r="G310" i="2"/>
  <c r="AH309" i="2"/>
  <c r="AF309" i="2"/>
  <c r="AG309" i="2" s="1"/>
  <c r="AE309" i="2"/>
  <c r="AD309" i="2"/>
  <c r="AC309" i="2"/>
  <c r="AB309" i="2"/>
  <c r="AA309" i="2"/>
  <c r="Z309" i="2"/>
  <c r="D309" i="2" s="1"/>
  <c r="Y309" i="2"/>
  <c r="U309" i="2"/>
  <c r="Q309" i="2"/>
  <c r="M309" i="2"/>
  <c r="K309" i="2" s="1"/>
  <c r="L309" i="2" s="1"/>
  <c r="AH308" i="2"/>
  <c r="AF308" i="2"/>
  <c r="AG308" i="2" s="1"/>
  <c r="AE308" i="2"/>
  <c r="AD308" i="2"/>
  <c r="AC308" i="2"/>
  <c r="AB308" i="2" s="1"/>
  <c r="AA308" i="2"/>
  <c r="Y308" i="2"/>
  <c r="U308" i="2"/>
  <c r="Q308" i="2"/>
  <c r="O308" i="2"/>
  <c r="M308" i="2"/>
  <c r="K308" i="2" s="1"/>
  <c r="AH307" i="2"/>
  <c r="AF307" i="2"/>
  <c r="AD307" i="2"/>
  <c r="AC307" i="2"/>
  <c r="AB307" i="2" s="1"/>
  <c r="AA307" i="2"/>
  <c r="Y307" i="2"/>
  <c r="U307" i="2"/>
  <c r="S307" i="2"/>
  <c r="R307" i="2" s="1"/>
  <c r="Q307" i="2"/>
  <c r="P307" i="2"/>
  <c r="N307" i="2" s="1"/>
  <c r="O307" i="2"/>
  <c r="M307" i="2"/>
  <c r="K307" i="2"/>
  <c r="L307" i="2" s="1"/>
  <c r="G307" i="2"/>
  <c r="AH306" i="2"/>
  <c r="AG306" i="2"/>
  <c r="AF306" i="2"/>
  <c r="AE306" i="2" s="1"/>
  <c r="AD306" i="2"/>
  <c r="AC306" i="2"/>
  <c r="AB306" i="2" s="1"/>
  <c r="Z306" i="2" s="1"/>
  <c r="D306" i="2" s="1"/>
  <c r="AA306" i="2"/>
  <c r="Y306" i="2"/>
  <c r="U306" i="2"/>
  <c r="Q306" i="2"/>
  <c r="M306" i="2"/>
  <c r="K306" i="2" s="1"/>
  <c r="AH305" i="2"/>
  <c r="AF305" i="2"/>
  <c r="AG305" i="2" s="1"/>
  <c r="AD305" i="2"/>
  <c r="AC305" i="2"/>
  <c r="AB305" i="2"/>
  <c r="AA305" i="2"/>
  <c r="Y305" i="2"/>
  <c r="U305" i="2"/>
  <c r="S305" i="2" s="1"/>
  <c r="Q305" i="2"/>
  <c r="O305" i="2" s="1"/>
  <c r="M305" i="2"/>
  <c r="L305" i="2"/>
  <c r="K305" i="2"/>
  <c r="G305" i="2" s="1"/>
  <c r="AH304" i="2"/>
  <c r="AF304" i="2"/>
  <c r="AG304" i="2" s="1"/>
  <c r="AE304" i="2"/>
  <c r="AD304" i="2"/>
  <c r="AC304" i="2"/>
  <c r="AB304" i="2"/>
  <c r="AA304" i="2"/>
  <c r="Y304" i="2"/>
  <c r="U304" i="2"/>
  <c r="Q304" i="2"/>
  <c r="M304" i="2"/>
  <c r="K304" i="2" s="1"/>
  <c r="AH303" i="2"/>
  <c r="AG303" i="2"/>
  <c r="AF303" i="2"/>
  <c r="AE303" i="2" s="1"/>
  <c r="AD303" i="2"/>
  <c r="AC303" i="2"/>
  <c r="AB303" i="2"/>
  <c r="AA303" i="2"/>
  <c r="Y303" i="2"/>
  <c r="U303" i="2"/>
  <c r="Q303" i="2"/>
  <c r="O303" i="2"/>
  <c r="S303" i="2" s="1"/>
  <c r="M303" i="2"/>
  <c r="L303" i="2"/>
  <c r="K303" i="2"/>
  <c r="G303" i="2" s="1"/>
  <c r="AH302" i="2"/>
  <c r="AG302" i="2"/>
  <c r="AF302" i="2"/>
  <c r="AE302" i="2"/>
  <c r="AD302" i="2"/>
  <c r="AC302" i="2"/>
  <c r="AB302" i="2" s="1"/>
  <c r="Z302" i="2" s="1"/>
  <c r="D302" i="2" s="1"/>
  <c r="AA302" i="2"/>
  <c r="Y302" i="2"/>
  <c r="U302" i="2"/>
  <c r="S302" i="2" s="1"/>
  <c r="Q302" i="2"/>
  <c r="O302" i="2" s="1"/>
  <c r="M302" i="2"/>
  <c r="K302" i="2" s="1"/>
  <c r="AH301" i="2"/>
  <c r="AF301" i="2"/>
  <c r="AD301" i="2"/>
  <c r="AC301" i="2"/>
  <c r="AB301" i="2"/>
  <c r="AA301" i="2"/>
  <c r="Y301" i="2"/>
  <c r="U301" i="2"/>
  <c r="Q301" i="2"/>
  <c r="M301" i="2"/>
  <c r="K301" i="2" s="1"/>
  <c r="L301" i="2" s="1"/>
  <c r="G301" i="2"/>
  <c r="AH300" i="2"/>
  <c r="AF300" i="2"/>
  <c r="AG300" i="2" s="1"/>
  <c r="AE300" i="2"/>
  <c r="AD300" i="2"/>
  <c r="AC300" i="2"/>
  <c r="AB300" i="2"/>
  <c r="AA300" i="2"/>
  <c r="Z300" i="2"/>
  <c r="D300" i="2" s="1"/>
  <c r="Y300" i="2"/>
  <c r="U300" i="2"/>
  <c r="S300" i="2" s="1"/>
  <c r="Q300" i="2"/>
  <c r="M300" i="2"/>
  <c r="L300" i="2"/>
  <c r="K300" i="2"/>
  <c r="O300" i="2" s="1"/>
  <c r="AH299" i="2"/>
  <c r="AF299" i="2"/>
  <c r="AG299" i="2" s="1"/>
  <c r="AE299" i="2"/>
  <c r="AD299" i="2"/>
  <c r="AC299" i="2"/>
  <c r="AB299" i="2" s="1"/>
  <c r="AA299" i="2"/>
  <c r="Y299" i="2"/>
  <c r="U299" i="2"/>
  <c r="Q299" i="2"/>
  <c r="M299" i="2"/>
  <c r="K299" i="2" s="1"/>
  <c r="AH298" i="2"/>
  <c r="AG298" i="2"/>
  <c r="AF298" i="2"/>
  <c r="AE298" i="2"/>
  <c r="AD298" i="2"/>
  <c r="AC298" i="2"/>
  <c r="AB298" i="2" s="1"/>
  <c r="AA298" i="2"/>
  <c r="Y298" i="2"/>
  <c r="U298" i="2"/>
  <c r="Q298" i="2"/>
  <c r="O298" i="2"/>
  <c r="P298" i="2" s="1"/>
  <c r="M298" i="2"/>
  <c r="K298" i="2"/>
  <c r="AH297" i="2"/>
  <c r="AF297" i="2"/>
  <c r="AE297" i="2" s="1"/>
  <c r="AD297" i="2"/>
  <c r="AC297" i="2"/>
  <c r="AB297" i="2"/>
  <c r="AA297" i="2"/>
  <c r="Y297" i="2"/>
  <c r="U297" i="2"/>
  <c r="Q297" i="2"/>
  <c r="M297" i="2"/>
  <c r="K297" i="2" s="1"/>
  <c r="L297" i="2" s="1"/>
  <c r="AH296" i="2"/>
  <c r="AF296" i="2"/>
  <c r="AG296" i="2" s="1"/>
  <c r="AD296" i="2"/>
  <c r="AC296" i="2"/>
  <c r="AB296" i="2"/>
  <c r="AA296" i="2"/>
  <c r="Y296" i="2"/>
  <c r="U296" i="2"/>
  <c r="Q296" i="2"/>
  <c r="O296" i="2" s="1"/>
  <c r="M296" i="2"/>
  <c r="K296" i="2"/>
  <c r="L296" i="2" s="1"/>
  <c r="G296" i="2"/>
  <c r="AH295" i="2"/>
  <c r="AF295" i="2"/>
  <c r="AG295" i="2" s="1"/>
  <c r="AE295" i="2"/>
  <c r="AD295" i="2"/>
  <c r="AC295" i="2"/>
  <c r="AB295" i="2"/>
  <c r="Z295" i="2" s="1"/>
  <c r="D295" i="2" s="1"/>
  <c r="AA295" i="2"/>
  <c r="Y295" i="2"/>
  <c r="U295" i="2"/>
  <c r="Q295" i="2"/>
  <c r="O295" i="2"/>
  <c r="M295" i="2"/>
  <c r="K295" i="2"/>
  <c r="L295" i="2" s="1"/>
  <c r="G295" i="2"/>
  <c r="AH294" i="2"/>
  <c r="AG294" i="2"/>
  <c r="AF294" i="2"/>
  <c r="AE294" i="2"/>
  <c r="AD294" i="2"/>
  <c r="AC294" i="2"/>
  <c r="AB294" i="2" s="1"/>
  <c r="AA294" i="2"/>
  <c r="Y294" i="2"/>
  <c r="U294" i="2"/>
  <c r="Q294" i="2"/>
  <c r="M294" i="2"/>
  <c r="L294" i="2"/>
  <c r="K294" i="2"/>
  <c r="AH293" i="2"/>
  <c r="AG293" i="2"/>
  <c r="AF293" i="2"/>
  <c r="AE293" i="2"/>
  <c r="AD293" i="2"/>
  <c r="AC293" i="2"/>
  <c r="AB293" i="2"/>
  <c r="AA293" i="2"/>
  <c r="Z293" i="2" s="1"/>
  <c r="Y293" i="2"/>
  <c r="U293" i="2"/>
  <c r="Q293" i="2"/>
  <c r="O293" i="2" s="1"/>
  <c r="M293" i="2"/>
  <c r="K293" i="2"/>
  <c r="G293" i="2" s="1"/>
  <c r="D293" i="2"/>
  <c r="AH292" i="2"/>
  <c r="AF292" i="2"/>
  <c r="AG292" i="2" s="1"/>
  <c r="AD292" i="2"/>
  <c r="AC292" i="2"/>
  <c r="AB292" i="2"/>
  <c r="AA292" i="2"/>
  <c r="Y292" i="2"/>
  <c r="U292" i="2"/>
  <c r="S292" i="2" s="1"/>
  <c r="R292" i="2" s="1"/>
  <c r="Q292" i="2"/>
  <c r="M292" i="2"/>
  <c r="L292" i="2"/>
  <c r="K292" i="2"/>
  <c r="O292" i="2" s="1"/>
  <c r="G292" i="2"/>
  <c r="AH291" i="2"/>
  <c r="AF291" i="2"/>
  <c r="AG291" i="2" s="1"/>
  <c r="AD291" i="2"/>
  <c r="AC291" i="2"/>
  <c r="AB291" i="2" s="1"/>
  <c r="AA291" i="2"/>
  <c r="Y291" i="2"/>
  <c r="U291" i="2"/>
  <c r="Q291" i="2"/>
  <c r="M291" i="2"/>
  <c r="K291" i="2" s="1"/>
  <c r="AH290" i="2"/>
  <c r="AF290" i="2"/>
  <c r="AE290" i="2" s="1"/>
  <c r="AD290" i="2"/>
  <c r="AC290" i="2"/>
  <c r="AB290" i="2" s="1"/>
  <c r="AA290" i="2"/>
  <c r="Y290" i="2"/>
  <c r="U290" i="2"/>
  <c r="S290" i="2"/>
  <c r="Q290" i="2"/>
  <c r="O290" i="2" s="1"/>
  <c r="M290" i="2"/>
  <c r="K290" i="2" s="1"/>
  <c r="AH289" i="2"/>
  <c r="AF289" i="2"/>
  <c r="AG289" i="2" s="1"/>
  <c r="AD289" i="2"/>
  <c r="AC289" i="2"/>
  <c r="AB289" i="2"/>
  <c r="AA289" i="2"/>
  <c r="Y289" i="2"/>
  <c r="U289" i="2"/>
  <c r="Q289" i="2"/>
  <c r="O289" i="2" s="1"/>
  <c r="M289" i="2"/>
  <c r="K289" i="2"/>
  <c r="L289" i="2" s="1"/>
  <c r="AH288" i="2"/>
  <c r="AG288" i="2"/>
  <c r="AF288" i="2"/>
  <c r="AE288" i="2"/>
  <c r="AD288" i="2"/>
  <c r="AC288" i="2"/>
  <c r="AB288" i="2"/>
  <c r="AA288" i="2"/>
  <c r="Y288" i="2"/>
  <c r="U288" i="2"/>
  <c r="Q288" i="2"/>
  <c r="M288" i="2"/>
  <c r="K288" i="2"/>
  <c r="AH287" i="2"/>
  <c r="AG287" i="2"/>
  <c r="AF287" i="2"/>
  <c r="AE287" i="2"/>
  <c r="AD287" i="2"/>
  <c r="AC287" i="2"/>
  <c r="AB287" i="2"/>
  <c r="AA287" i="2"/>
  <c r="Y287" i="2"/>
  <c r="U287" i="2"/>
  <c r="Q287" i="2"/>
  <c r="O287" i="2"/>
  <c r="M287" i="2"/>
  <c r="K287" i="2" s="1"/>
  <c r="G287" i="2" s="1"/>
  <c r="L287" i="2"/>
  <c r="AH286" i="2"/>
  <c r="AG286" i="2"/>
  <c r="AF286" i="2"/>
  <c r="AE286" i="2"/>
  <c r="AD286" i="2"/>
  <c r="AC286" i="2"/>
  <c r="AB286" i="2" s="1"/>
  <c r="AA286" i="2"/>
  <c r="Y286" i="2"/>
  <c r="U286" i="2"/>
  <c r="Q286" i="2"/>
  <c r="O286" i="2" s="1"/>
  <c r="M286" i="2"/>
  <c r="K286" i="2" s="1"/>
  <c r="AH285" i="2"/>
  <c r="AF285" i="2"/>
  <c r="AG285" i="2" s="1"/>
  <c r="AD285" i="2"/>
  <c r="AC285" i="2"/>
  <c r="AB285" i="2"/>
  <c r="AA285" i="2"/>
  <c r="Y285" i="2"/>
  <c r="U285" i="2"/>
  <c r="Q285" i="2"/>
  <c r="M285" i="2"/>
  <c r="K285" i="2" s="1"/>
  <c r="AH284" i="2"/>
  <c r="AG284" i="2"/>
  <c r="AF284" i="2"/>
  <c r="AE284" i="2"/>
  <c r="AD284" i="2"/>
  <c r="AC284" i="2"/>
  <c r="AB284" i="2" s="1"/>
  <c r="Z284" i="2" s="1"/>
  <c r="D284" i="2" s="1"/>
  <c r="AA284" i="2"/>
  <c r="Y284" i="2"/>
  <c r="U284" i="2"/>
  <c r="Q284" i="2"/>
  <c r="M284" i="2"/>
  <c r="K284" i="2" s="1"/>
  <c r="AH283" i="2"/>
  <c r="AF283" i="2"/>
  <c r="AG283" i="2" s="1"/>
  <c r="AD283" i="2"/>
  <c r="AC283" i="2"/>
  <c r="AB283" i="2" s="1"/>
  <c r="AA283" i="2"/>
  <c r="Y283" i="2"/>
  <c r="U283" i="2"/>
  <c r="Q283" i="2"/>
  <c r="M283" i="2"/>
  <c r="K283" i="2"/>
  <c r="AH282" i="2"/>
  <c r="AF282" i="2"/>
  <c r="AG282" i="2" s="1"/>
  <c r="AD282" i="2"/>
  <c r="AC282" i="2"/>
  <c r="AB282" i="2" s="1"/>
  <c r="AA282" i="2"/>
  <c r="Y282" i="2"/>
  <c r="U282" i="2"/>
  <c r="S282" i="2" s="1"/>
  <c r="Q282" i="2"/>
  <c r="O282" i="2" s="1"/>
  <c r="P282" i="2" s="1"/>
  <c r="M282" i="2"/>
  <c r="K282" i="2"/>
  <c r="AH281" i="2"/>
  <c r="AG281" i="2"/>
  <c r="AF281" i="2"/>
  <c r="AE281" i="2" s="1"/>
  <c r="AD281" i="2"/>
  <c r="AC281" i="2"/>
  <c r="AB281" i="2"/>
  <c r="AA281" i="2"/>
  <c r="Y281" i="2"/>
  <c r="U281" i="2"/>
  <c r="Q281" i="2"/>
  <c r="O281" i="2" s="1"/>
  <c r="N281" i="2" s="1"/>
  <c r="M281" i="2"/>
  <c r="L281" i="2"/>
  <c r="K281" i="2"/>
  <c r="G281" i="2"/>
  <c r="AH280" i="2"/>
  <c r="AG280" i="2"/>
  <c r="AF280" i="2"/>
  <c r="AE280" i="2"/>
  <c r="AD280" i="2"/>
  <c r="AC280" i="2"/>
  <c r="AB280" i="2" s="1"/>
  <c r="AA280" i="2"/>
  <c r="Z280" i="2" s="1"/>
  <c r="D280" i="2" s="1"/>
  <c r="Y280" i="2"/>
  <c r="U280" i="2"/>
  <c r="T280" i="2"/>
  <c r="S280" i="2"/>
  <c r="Q280" i="2"/>
  <c r="O280" i="2" s="1"/>
  <c r="M280" i="2"/>
  <c r="K280" i="2"/>
  <c r="L280" i="2" s="1"/>
  <c r="AH279" i="2"/>
  <c r="AF279" i="2"/>
  <c r="AG279" i="2" s="1"/>
  <c r="AD279" i="2"/>
  <c r="AC279" i="2"/>
  <c r="AB279" i="2"/>
  <c r="AA279" i="2"/>
  <c r="Y279" i="2"/>
  <c r="U279" i="2"/>
  <c r="Q279" i="2"/>
  <c r="M279" i="2"/>
  <c r="L279" i="2"/>
  <c r="K279" i="2"/>
  <c r="O279" i="2" s="1"/>
  <c r="G279" i="2"/>
  <c r="AH278" i="2"/>
  <c r="AG278" i="2"/>
  <c r="AF278" i="2"/>
  <c r="AE278" i="2"/>
  <c r="AD278" i="2"/>
  <c r="AC278" i="2"/>
  <c r="AB278" i="2"/>
  <c r="AA278" i="2"/>
  <c r="Z278" i="2"/>
  <c r="D278" i="2" s="1"/>
  <c r="Y278" i="2"/>
  <c r="U278" i="2"/>
  <c r="Q278" i="2"/>
  <c r="O278" i="2" s="1"/>
  <c r="M278" i="2"/>
  <c r="K278" i="2" s="1"/>
  <c r="L278" i="2"/>
  <c r="G278" i="2"/>
  <c r="AH277" i="2"/>
  <c r="AF277" i="2"/>
  <c r="AG277" i="2" s="1"/>
  <c r="AE277" i="2"/>
  <c r="AD277" i="2"/>
  <c r="AC277" i="2"/>
  <c r="AB277" i="2" s="1"/>
  <c r="Z277" i="2" s="1"/>
  <c r="D277" i="2" s="1"/>
  <c r="AA277" i="2"/>
  <c r="Y277" i="2"/>
  <c r="U277" i="2"/>
  <c r="Q277" i="2"/>
  <c r="M277" i="2"/>
  <c r="K277" i="2" s="1"/>
  <c r="G277" i="2" s="1"/>
  <c r="AH276" i="2"/>
  <c r="AF276" i="2"/>
  <c r="AD276" i="2"/>
  <c r="AC276" i="2"/>
  <c r="AB276" i="2" s="1"/>
  <c r="AA276" i="2"/>
  <c r="Y276" i="2"/>
  <c r="U276" i="2"/>
  <c r="Q276" i="2"/>
  <c r="O276" i="2"/>
  <c r="M276" i="2"/>
  <c r="K276" i="2" s="1"/>
  <c r="AH275" i="2"/>
  <c r="AF275" i="2"/>
  <c r="AD275" i="2"/>
  <c r="AC275" i="2"/>
  <c r="AB275" i="2"/>
  <c r="AA275" i="2"/>
  <c r="Y275" i="2"/>
  <c r="U275" i="2"/>
  <c r="S275" i="2" s="1"/>
  <c r="Q275" i="2"/>
  <c r="O275" i="2" s="1"/>
  <c r="P275" i="2"/>
  <c r="M275" i="2"/>
  <c r="L275" i="2"/>
  <c r="K275" i="2"/>
  <c r="G275" i="2"/>
  <c r="AH274" i="2"/>
  <c r="AG274" i="2"/>
  <c r="AF274" i="2"/>
  <c r="AE274" i="2"/>
  <c r="AD274" i="2"/>
  <c r="AC274" i="2"/>
  <c r="AB274" i="2" s="1"/>
  <c r="AA274" i="2"/>
  <c r="Z274" i="2" s="1"/>
  <c r="D274" i="2" s="1"/>
  <c r="Y274" i="2"/>
  <c r="U274" i="2"/>
  <c r="Q274" i="2"/>
  <c r="O274" i="2" s="1"/>
  <c r="M274" i="2"/>
  <c r="K274" i="2" s="1"/>
  <c r="AH273" i="2"/>
  <c r="AF273" i="2"/>
  <c r="AD273" i="2"/>
  <c r="AC273" i="2"/>
  <c r="AB273" i="2"/>
  <c r="AA273" i="2"/>
  <c r="Y273" i="2"/>
  <c r="U273" i="2"/>
  <c r="Q273" i="2"/>
  <c r="M273" i="2"/>
  <c r="K273" i="2"/>
  <c r="AH272" i="2"/>
  <c r="AG272" i="2"/>
  <c r="AF272" i="2"/>
  <c r="AE272" i="2"/>
  <c r="AD272" i="2"/>
  <c r="AC272" i="2"/>
  <c r="AB272" i="2"/>
  <c r="AA272" i="2"/>
  <c r="Z272" i="2" s="1"/>
  <c r="D272" i="2" s="1"/>
  <c r="Y272" i="2"/>
  <c r="U272" i="2"/>
  <c r="Q272" i="2"/>
  <c r="O272" i="2" s="1"/>
  <c r="M272" i="2"/>
  <c r="L272" i="2"/>
  <c r="K272" i="2"/>
  <c r="G272" i="2" s="1"/>
  <c r="AH271" i="2"/>
  <c r="AG271" i="2"/>
  <c r="AF271" i="2"/>
  <c r="AE271" i="2"/>
  <c r="AD271" i="2"/>
  <c r="AC271" i="2"/>
  <c r="AB271" i="2"/>
  <c r="AA271" i="2"/>
  <c r="Y271" i="2"/>
  <c r="U271" i="2"/>
  <c r="Q271" i="2"/>
  <c r="M271" i="2"/>
  <c r="K271" i="2" s="1"/>
  <c r="AH270" i="2"/>
  <c r="AG270" i="2"/>
  <c r="AF270" i="2"/>
  <c r="AE270" i="2"/>
  <c r="AD270" i="2"/>
  <c r="AC270" i="2"/>
  <c r="AB270" i="2" s="1"/>
  <c r="AA270" i="2"/>
  <c r="Y270" i="2"/>
  <c r="U270" i="2"/>
  <c r="Q270" i="2"/>
  <c r="O270" i="2" s="1"/>
  <c r="M270" i="2"/>
  <c r="K270" i="2" s="1"/>
  <c r="L270" i="2" s="1"/>
  <c r="G270" i="2"/>
  <c r="AH269" i="2"/>
  <c r="AF269" i="2"/>
  <c r="AG269" i="2" s="1"/>
  <c r="AD269" i="2"/>
  <c r="AC269" i="2"/>
  <c r="AB269" i="2"/>
  <c r="AA269" i="2"/>
  <c r="Y269" i="2"/>
  <c r="U269" i="2"/>
  <c r="S269" i="2" s="1"/>
  <c r="W269" i="2" s="1"/>
  <c r="Q269" i="2"/>
  <c r="O269" i="2" s="1"/>
  <c r="M269" i="2"/>
  <c r="L269" i="2"/>
  <c r="K269" i="2"/>
  <c r="G269" i="2"/>
  <c r="AH268" i="2"/>
  <c r="AG268" i="2"/>
  <c r="AF268" i="2"/>
  <c r="AE268" i="2"/>
  <c r="AD268" i="2"/>
  <c r="AC268" i="2"/>
  <c r="AB268" i="2"/>
  <c r="Z268" i="2" s="1"/>
  <c r="D268" i="2" s="1"/>
  <c r="AA268" i="2"/>
  <c r="Y268" i="2"/>
  <c r="U268" i="2"/>
  <c r="Q268" i="2"/>
  <c r="M268" i="2"/>
  <c r="K268" i="2" s="1"/>
  <c r="AH267" i="2"/>
  <c r="AF267" i="2"/>
  <c r="AG267" i="2" s="1"/>
  <c r="AD267" i="2"/>
  <c r="AC267" i="2"/>
  <c r="AB267" i="2" s="1"/>
  <c r="AA267" i="2"/>
  <c r="Y267" i="2"/>
  <c r="U267" i="2"/>
  <c r="Q267" i="2"/>
  <c r="M267" i="2"/>
  <c r="K267" i="2" s="1"/>
  <c r="AH266" i="2"/>
  <c r="AG266" i="2"/>
  <c r="AF266" i="2"/>
  <c r="AE266" i="2" s="1"/>
  <c r="AD266" i="2"/>
  <c r="AC266" i="2"/>
  <c r="AB266" i="2" s="1"/>
  <c r="AA266" i="2"/>
  <c r="Z266" i="2" s="1"/>
  <c r="D266" i="2" s="1"/>
  <c r="Y266" i="2"/>
  <c r="U266" i="2"/>
  <c r="Q266" i="2"/>
  <c r="O266" i="2" s="1"/>
  <c r="M266" i="2"/>
  <c r="K266" i="2"/>
  <c r="L266" i="2" s="1"/>
  <c r="G266" i="2"/>
  <c r="AH265" i="2"/>
  <c r="AF265" i="2"/>
  <c r="AE265" i="2" s="1"/>
  <c r="AD265" i="2"/>
  <c r="AC265" i="2"/>
  <c r="AB265" i="2"/>
  <c r="AA265" i="2"/>
  <c r="Y265" i="2"/>
  <c r="U265" i="2"/>
  <c r="T265" i="2"/>
  <c r="S265" i="2"/>
  <c r="W265" i="2" s="1"/>
  <c r="F265" i="2" s="1"/>
  <c r="R265" i="2"/>
  <c r="Q265" i="2"/>
  <c r="O265" i="2" s="1"/>
  <c r="P265" i="2"/>
  <c r="N265" i="2"/>
  <c r="M265" i="2"/>
  <c r="L265" i="2"/>
  <c r="K265" i="2"/>
  <c r="G265" i="2"/>
  <c r="AH264" i="2"/>
  <c r="AG264" i="2"/>
  <c r="AF264" i="2"/>
  <c r="AE264" i="2"/>
  <c r="AD264" i="2"/>
  <c r="AC264" i="2"/>
  <c r="AB264" i="2" s="1"/>
  <c r="AA264" i="2"/>
  <c r="Y264" i="2"/>
  <c r="U264" i="2"/>
  <c r="Q264" i="2"/>
  <c r="O264" i="2" s="1"/>
  <c r="M264" i="2"/>
  <c r="K264" i="2"/>
  <c r="L264" i="2" s="1"/>
  <c r="G264" i="2"/>
  <c r="AH263" i="2"/>
  <c r="AF263" i="2"/>
  <c r="AD263" i="2"/>
  <c r="AC263" i="2"/>
  <c r="AB263" i="2"/>
  <c r="AA263" i="2"/>
  <c r="Y263" i="2"/>
  <c r="U263" i="2"/>
  <c r="Q263" i="2"/>
  <c r="M263" i="2"/>
  <c r="K263" i="2"/>
  <c r="L263" i="2" s="1"/>
  <c r="G263" i="2"/>
  <c r="AH262" i="2"/>
  <c r="AG262" i="2"/>
  <c r="AF262" i="2"/>
  <c r="AE262" i="2"/>
  <c r="AD262" i="2"/>
  <c r="AC262" i="2"/>
  <c r="AB262" i="2"/>
  <c r="Z262" i="2" s="1"/>
  <c r="D262" i="2" s="1"/>
  <c r="AA262" i="2"/>
  <c r="Y262" i="2"/>
  <c r="U262" i="2"/>
  <c r="Q262" i="2"/>
  <c r="O262" i="2" s="1"/>
  <c r="M262" i="2"/>
  <c r="L262" i="2"/>
  <c r="K262" i="2"/>
  <c r="G262" i="2"/>
  <c r="AH261" i="2"/>
  <c r="AG261" i="2"/>
  <c r="AF261" i="2"/>
  <c r="AE261" i="2" s="1"/>
  <c r="AD261" i="2"/>
  <c r="AC261" i="2"/>
  <c r="AB261" i="2" s="1"/>
  <c r="AA261" i="2"/>
  <c r="Y261" i="2"/>
  <c r="U261" i="2"/>
  <c r="Q261" i="2"/>
  <c r="O261" i="2" s="1"/>
  <c r="M261" i="2"/>
  <c r="K261" i="2"/>
  <c r="G261" i="2" s="1"/>
  <c r="AH260" i="2"/>
  <c r="AF260" i="2"/>
  <c r="AE260" i="2" s="1"/>
  <c r="AD260" i="2"/>
  <c r="AC260" i="2"/>
  <c r="AB260" i="2" s="1"/>
  <c r="AA260" i="2"/>
  <c r="Y260" i="2"/>
  <c r="U260" i="2"/>
  <c r="Q260" i="2"/>
  <c r="M260" i="2"/>
  <c r="K260" i="2"/>
  <c r="L260" i="2" s="1"/>
  <c r="G260" i="2"/>
  <c r="AH259" i="2"/>
  <c r="AF259" i="2"/>
  <c r="AE259" i="2" s="1"/>
  <c r="AD259" i="2"/>
  <c r="AC259" i="2"/>
  <c r="AB259" i="2"/>
  <c r="AA259" i="2"/>
  <c r="Y259" i="2"/>
  <c r="U259" i="2"/>
  <c r="Q259" i="2"/>
  <c r="M259" i="2"/>
  <c r="K259" i="2" s="1"/>
  <c r="L259" i="2" s="1"/>
  <c r="G259" i="2"/>
  <c r="AH258" i="2"/>
  <c r="AG258" i="2"/>
  <c r="AF258" i="2"/>
  <c r="AE258" i="2"/>
  <c r="AD258" i="2"/>
  <c r="AC258" i="2"/>
  <c r="AB258" i="2" s="1"/>
  <c r="AA258" i="2"/>
  <c r="Z258" i="2"/>
  <c r="D258" i="2" s="1"/>
  <c r="Y258" i="2"/>
  <c r="U258" i="2"/>
  <c r="Q258" i="2"/>
  <c r="M258" i="2"/>
  <c r="K258" i="2"/>
  <c r="L258" i="2" s="1"/>
  <c r="G258" i="2"/>
  <c r="AH257" i="2"/>
  <c r="AF257" i="2"/>
  <c r="AD257" i="2"/>
  <c r="AC257" i="2"/>
  <c r="AB257" i="2"/>
  <c r="AA257" i="2"/>
  <c r="Y257" i="2"/>
  <c r="U257" i="2"/>
  <c r="Q257" i="2"/>
  <c r="M257" i="2"/>
  <c r="K257" i="2" s="1"/>
  <c r="AH256" i="2"/>
  <c r="AF256" i="2"/>
  <c r="AD256" i="2"/>
  <c r="AC256" i="2"/>
  <c r="AB256" i="2"/>
  <c r="AA256" i="2"/>
  <c r="Y256" i="2"/>
  <c r="U256" i="2"/>
  <c r="Q256" i="2"/>
  <c r="M256" i="2"/>
  <c r="K256" i="2" s="1"/>
  <c r="AH255" i="2"/>
  <c r="AF255" i="2"/>
  <c r="AG255" i="2" s="1"/>
  <c r="AE255" i="2"/>
  <c r="AD255" i="2"/>
  <c r="AC255" i="2"/>
  <c r="AB255" i="2" s="1"/>
  <c r="AA255" i="2"/>
  <c r="Y255" i="2"/>
  <c r="U255" i="2"/>
  <c r="Q255" i="2"/>
  <c r="O255" i="2"/>
  <c r="N255" i="2"/>
  <c r="M255" i="2"/>
  <c r="K255" i="2" s="1"/>
  <c r="G255" i="2" s="1"/>
  <c r="L255" i="2"/>
  <c r="AH254" i="2"/>
  <c r="AF254" i="2"/>
  <c r="AG254" i="2" s="1"/>
  <c r="AE254" i="2"/>
  <c r="AD254" i="2"/>
  <c r="AC254" i="2"/>
  <c r="AB254" i="2" s="1"/>
  <c r="AA254" i="2"/>
  <c r="Y254" i="2"/>
  <c r="U254" i="2"/>
  <c r="Q254" i="2"/>
  <c r="M254" i="2"/>
  <c r="K254" i="2"/>
  <c r="L254" i="2" s="1"/>
  <c r="AH253" i="2"/>
  <c r="AF253" i="2"/>
  <c r="AG253" i="2" s="1"/>
  <c r="AD253" i="2"/>
  <c r="AC253" i="2"/>
  <c r="AB253" i="2"/>
  <c r="AA253" i="2"/>
  <c r="Y253" i="2"/>
  <c r="U253" i="2"/>
  <c r="Q253" i="2"/>
  <c r="M253" i="2"/>
  <c r="K253" i="2"/>
  <c r="AH252" i="2"/>
  <c r="AF252" i="2"/>
  <c r="AG252" i="2" s="1"/>
  <c r="AE252" i="2"/>
  <c r="AD252" i="2"/>
  <c r="AC252" i="2"/>
  <c r="AB252" i="2"/>
  <c r="AA252" i="2"/>
  <c r="Z252" i="2" s="1"/>
  <c r="D252" i="2" s="1"/>
  <c r="Y252" i="2"/>
  <c r="U252" i="2"/>
  <c r="Q252" i="2"/>
  <c r="O252" i="2"/>
  <c r="N252" i="2"/>
  <c r="M252" i="2"/>
  <c r="K252" i="2" s="1"/>
  <c r="L252" i="2"/>
  <c r="AH251" i="2"/>
  <c r="AG251" i="2"/>
  <c r="AF251" i="2"/>
  <c r="AE251" i="2"/>
  <c r="AD251" i="2"/>
  <c r="AC251" i="2"/>
  <c r="AB251" i="2" s="1"/>
  <c r="AA251" i="2"/>
  <c r="Z251" i="2" s="1"/>
  <c r="D251" i="2" s="1"/>
  <c r="Y251" i="2"/>
  <c r="U251" i="2"/>
  <c r="Q251" i="2"/>
  <c r="O251" i="2"/>
  <c r="M251" i="2"/>
  <c r="K251" i="2"/>
  <c r="L251" i="2" s="1"/>
  <c r="G251" i="2"/>
  <c r="AH250" i="2"/>
  <c r="AG250" i="2"/>
  <c r="AF250" i="2"/>
  <c r="AE250" i="2" s="1"/>
  <c r="Z250" i="2" s="1"/>
  <c r="AD250" i="2"/>
  <c r="AC250" i="2"/>
  <c r="AB250" i="2"/>
  <c r="AA250" i="2"/>
  <c r="Y250" i="2"/>
  <c r="W250" i="2" s="1"/>
  <c r="U250" i="2"/>
  <c r="S250" i="2" s="1"/>
  <c r="T250" i="2"/>
  <c r="R250" i="2" s="1"/>
  <c r="Q250" i="2"/>
  <c r="O250" i="2" s="1"/>
  <c r="M250" i="2"/>
  <c r="K250" i="2"/>
  <c r="L250" i="2" s="1"/>
  <c r="D250" i="2"/>
  <c r="AH249" i="2"/>
  <c r="AG249" i="2"/>
  <c r="AF249" i="2"/>
  <c r="AE249" i="2"/>
  <c r="AD249" i="2"/>
  <c r="AC249" i="2"/>
  <c r="AB249" i="2"/>
  <c r="AA249" i="2"/>
  <c r="Z249" i="2" s="1"/>
  <c r="D249" i="2" s="1"/>
  <c r="Y249" i="2"/>
  <c r="U249" i="2"/>
  <c r="S249" i="2" s="1"/>
  <c r="Q249" i="2"/>
  <c r="M249" i="2"/>
  <c r="L249" i="2"/>
  <c r="K249" i="2"/>
  <c r="O249" i="2" s="1"/>
  <c r="G249" i="2"/>
  <c r="AH248" i="2"/>
  <c r="AF248" i="2"/>
  <c r="AG248" i="2" s="1"/>
  <c r="AE248" i="2"/>
  <c r="AD248" i="2"/>
  <c r="AC248" i="2"/>
  <c r="AB248" i="2"/>
  <c r="AA248" i="2"/>
  <c r="Z248" i="2" s="1"/>
  <c r="D248" i="2" s="1"/>
  <c r="Y248" i="2"/>
  <c r="U248" i="2"/>
  <c r="Q248" i="2"/>
  <c r="M248" i="2"/>
  <c r="K248" i="2"/>
  <c r="AH247" i="2"/>
  <c r="AG247" i="2"/>
  <c r="AF247" i="2"/>
  <c r="AE247" i="2"/>
  <c r="AD247" i="2"/>
  <c r="AC247" i="2"/>
  <c r="AB247" i="2" s="1"/>
  <c r="AA247" i="2"/>
  <c r="Z247" i="2" s="1"/>
  <c r="D247" i="2" s="1"/>
  <c r="Y247" i="2"/>
  <c r="U247" i="2"/>
  <c r="Q247" i="2"/>
  <c r="M247" i="2"/>
  <c r="K247" i="2" s="1"/>
  <c r="AH246" i="2"/>
  <c r="AG246" i="2"/>
  <c r="AF246" i="2"/>
  <c r="AE246" i="2" s="1"/>
  <c r="AD246" i="2"/>
  <c r="AC246" i="2"/>
  <c r="AB246" i="2" s="1"/>
  <c r="Z246" i="2" s="1"/>
  <c r="D246" i="2" s="1"/>
  <c r="AA246" i="2"/>
  <c r="Y246" i="2"/>
  <c r="U246" i="2"/>
  <c r="Q246" i="2"/>
  <c r="O246" i="2" s="1"/>
  <c r="P246" i="2"/>
  <c r="M246" i="2"/>
  <c r="K246" i="2" s="1"/>
  <c r="AH245" i="2"/>
  <c r="AG245" i="2"/>
  <c r="AF245" i="2"/>
  <c r="AE245" i="2" s="1"/>
  <c r="AD245" i="2"/>
  <c r="AC245" i="2"/>
  <c r="AB245" i="2" s="1"/>
  <c r="AA245" i="2"/>
  <c r="Y245" i="2"/>
  <c r="U245" i="2"/>
  <c r="Q245" i="2"/>
  <c r="O245" i="2" s="1"/>
  <c r="M245" i="2"/>
  <c r="K245" i="2"/>
  <c r="L245" i="2" s="1"/>
  <c r="G245" i="2"/>
  <c r="AH244" i="2"/>
  <c r="AF244" i="2"/>
  <c r="AG244" i="2" s="1"/>
  <c r="AD244" i="2"/>
  <c r="AC244" i="2"/>
  <c r="AB244" i="2" s="1"/>
  <c r="AA244" i="2"/>
  <c r="Y244" i="2"/>
  <c r="U244" i="2"/>
  <c r="Q244" i="2"/>
  <c r="O244" i="2" s="1"/>
  <c r="M244" i="2"/>
  <c r="K244" i="2"/>
  <c r="L244" i="2" s="1"/>
  <c r="G244" i="2"/>
  <c r="AH243" i="2"/>
  <c r="AF243" i="2"/>
  <c r="AG243" i="2" s="1"/>
  <c r="AD243" i="2"/>
  <c r="AC243" i="2"/>
  <c r="AB243" i="2" s="1"/>
  <c r="AA243" i="2"/>
  <c r="Y243" i="2"/>
  <c r="U243" i="2"/>
  <c r="Q243" i="2"/>
  <c r="M243" i="2"/>
  <c r="K243" i="2" s="1"/>
  <c r="AH242" i="2"/>
  <c r="AF242" i="2"/>
  <c r="AG242" i="2" s="1"/>
  <c r="AD242" i="2"/>
  <c r="AC242" i="2"/>
  <c r="AB242" i="2" s="1"/>
  <c r="AA242" i="2"/>
  <c r="Y242" i="2"/>
  <c r="U242" i="2"/>
  <c r="Q242" i="2"/>
  <c r="M242" i="2"/>
  <c r="K242" i="2" s="1"/>
  <c r="L242" i="2"/>
  <c r="AH241" i="2"/>
  <c r="AF241" i="2"/>
  <c r="AD241" i="2"/>
  <c r="AC241" i="2"/>
  <c r="AB241" i="2" s="1"/>
  <c r="AA241" i="2"/>
  <c r="Y241" i="2"/>
  <c r="U241" i="2"/>
  <c r="Q241" i="2"/>
  <c r="O241" i="2"/>
  <c r="M241" i="2"/>
  <c r="K241" i="2" s="1"/>
  <c r="AH240" i="2"/>
  <c r="AF240" i="2"/>
  <c r="AD240" i="2"/>
  <c r="AC240" i="2"/>
  <c r="AB240" i="2"/>
  <c r="AA240" i="2"/>
  <c r="Y240" i="2"/>
  <c r="U240" i="2"/>
  <c r="Q240" i="2"/>
  <c r="M240" i="2"/>
  <c r="K240" i="2" s="1"/>
  <c r="AH239" i="2"/>
  <c r="AG239" i="2"/>
  <c r="AF239" i="2"/>
  <c r="AE239" i="2"/>
  <c r="AD239" i="2"/>
  <c r="AC239" i="2"/>
  <c r="AB239" i="2"/>
  <c r="AA239" i="2"/>
  <c r="Z239" i="2"/>
  <c r="D239" i="2" s="1"/>
  <c r="Y239" i="2"/>
  <c r="U239" i="2"/>
  <c r="Q239" i="2"/>
  <c r="M239" i="2"/>
  <c r="K239" i="2" s="1"/>
  <c r="AH238" i="2"/>
  <c r="AF238" i="2"/>
  <c r="AG238" i="2" s="1"/>
  <c r="AE238" i="2"/>
  <c r="AD238" i="2"/>
  <c r="AC238" i="2"/>
  <c r="AB238" i="2" s="1"/>
  <c r="AA238" i="2"/>
  <c r="Y238" i="2"/>
  <c r="U238" i="2"/>
  <c r="Q238" i="2"/>
  <c r="M238" i="2"/>
  <c r="K238" i="2" s="1"/>
  <c r="AH237" i="2"/>
  <c r="AF237" i="2"/>
  <c r="AD237" i="2"/>
  <c r="AC237" i="2"/>
  <c r="AB237" i="2"/>
  <c r="AA237" i="2"/>
  <c r="Y237" i="2"/>
  <c r="U237" i="2"/>
  <c r="Q237" i="2"/>
  <c r="M237" i="2"/>
  <c r="K237" i="2"/>
  <c r="AH236" i="2"/>
  <c r="AF236" i="2"/>
  <c r="AG236" i="2" s="1"/>
  <c r="AE236" i="2"/>
  <c r="AD236" i="2"/>
  <c r="AC236" i="2"/>
  <c r="AB236" i="2"/>
  <c r="AA236" i="2"/>
  <c r="Y236" i="2"/>
  <c r="U236" i="2"/>
  <c r="S236" i="2"/>
  <c r="T236" i="2" s="1"/>
  <c r="Q236" i="2"/>
  <c r="O236" i="2"/>
  <c r="P236" i="2" s="1"/>
  <c r="N236" i="2"/>
  <c r="M236" i="2"/>
  <c r="L236" i="2"/>
  <c r="K236" i="2"/>
  <c r="G236" i="2" s="1"/>
  <c r="AH235" i="2"/>
  <c r="AG235" i="2"/>
  <c r="AF235" i="2"/>
  <c r="AE235" i="2"/>
  <c r="AD235" i="2"/>
  <c r="AC235" i="2"/>
  <c r="AB235" i="2" s="1"/>
  <c r="AA235" i="2"/>
  <c r="Y235" i="2"/>
  <c r="U235" i="2"/>
  <c r="Q235" i="2"/>
  <c r="O235" i="2"/>
  <c r="M235" i="2"/>
  <c r="K235" i="2"/>
  <c r="L235" i="2" s="1"/>
  <c r="G235" i="2"/>
  <c r="AH234" i="2"/>
  <c r="AG234" i="2"/>
  <c r="AF234" i="2"/>
  <c r="AE234" i="2" s="1"/>
  <c r="AD234" i="2"/>
  <c r="AC234" i="2"/>
  <c r="AB234" i="2"/>
  <c r="AA234" i="2"/>
  <c r="Z234" i="2" s="1"/>
  <c r="D234" i="2" s="1"/>
  <c r="Y234" i="2"/>
  <c r="U234" i="2"/>
  <c r="S234" i="2" s="1"/>
  <c r="T234" i="2"/>
  <c r="R234" i="2"/>
  <c r="Q234" i="2"/>
  <c r="O234" i="2" s="1"/>
  <c r="M234" i="2"/>
  <c r="K234" i="2"/>
  <c r="L234" i="2" s="1"/>
  <c r="AH233" i="2"/>
  <c r="AG233" i="2"/>
  <c r="AF233" i="2"/>
  <c r="AE233" i="2"/>
  <c r="AD233" i="2"/>
  <c r="AC233" i="2"/>
  <c r="AB233" i="2"/>
  <c r="AA233" i="2"/>
  <c r="Z233" i="2" s="1"/>
  <c r="D233" i="2" s="1"/>
  <c r="Y233" i="2"/>
  <c r="U233" i="2"/>
  <c r="S233" i="2" s="1"/>
  <c r="Q233" i="2"/>
  <c r="M233" i="2"/>
  <c r="L233" i="2"/>
  <c r="K233" i="2"/>
  <c r="O233" i="2" s="1"/>
  <c r="G233" i="2"/>
  <c r="AH232" i="2"/>
  <c r="AF232" i="2"/>
  <c r="AG232" i="2" s="1"/>
  <c r="AE232" i="2"/>
  <c r="AD232" i="2"/>
  <c r="AC232" i="2"/>
  <c r="AB232" i="2"/>
  <c r="AA232" i="2"/>
  <c r="Z232" i="2" s="1"/>
  <c r="D232" i="2" s="1"/>
  <c r="Y232" i="2"/>
  <c r="U232" i="2"/>
  <c r="Q232" i="2"/>
  <c r="M232" i="2"/>
  <c r="K232" i="2"/>
  <c r="G232" i="2" s="1"/>
  <c r="AH231" i="2"/>
  <c r="AG231" i="2"/>
  <c r="AF231" i="2"/>
  <c r="AE231" i="2"/>
  <c r="AD231" i="2"/>
  <c r="AC231" i="2"/>
  <c r="AB231" i="2" s="1"/>
  <c r="AA231" i="2"/>
  <c r="Y231" i="2"/>
  <c r="U231" i="2"/>
  <c r="Q231" i="2"/>
  <c r="M231" i="2"/>
  <c r="K231" i="2"/>
  <c r="AH230" i="2"/>
  <c r="AG230" i="2"/>
  <c r="AF230" i="2"/>
  <c r="AE230" i="2" s="1"/>
  <c r="AD230" i="2"/>
  <c r="AC230" i="2"/>
  <c r="AB230" i="2" s="1"/>
  <c r="Z230" i="2" s="1"/>
  <c r="AA230" i="2"/>
  <c r="Y230" i="2"/>
  <c r="U230" i="2"/>
  <c r="Q230" i="2"/>
  <c r="M230" i="2"/>
  <c r="K230" i="2" s="1"/>
  <c r="L230" i="2" s="1"/>
  <c r="D230" i="2"/>
  <c r="AJ229" i="2"/>
  <c r="AH229" i="2"/>
  <c r="AF229" i="2"/>
  <c r="AD229" i="2"/>
  <c r="AC229" i="2"/>
  <c r="AB229" i="2" s="1"/>
  <c r="AA229" i="2"/>
  <c r="Y229" i="2"/>
  <c r="W229" i="2" s="1"/>
  <c r="U229" i="2"/>
  <c r="S229" i="2" s="1"/>
  <c r="Q229" i="2"/>
  <c r="O229" i="2" s="1"/>
  <c r="N229" i="2" s="1"/>
  <c r="P229" i="2"/>
  <c r="M229" i="2"/>
  <c r="K229" i="2"/>
  <c r="L229" i="2" s="1"/>
  <c r="AH228" i="2"/>
  <c r="AF228" i="2"/>
  <c r="AG228" i="2" s="1"/>
  <c r="AD228" i="2"/>
  <c r="AC228" i="2"/>
  <c r="AB228" i="2"/>
  <c r="AA228" i="2"/>
  <c r="Y228" i="2"/>
  <c r="U228" i="2"/>
  <c r="Q228" i="2"/>
  <c r="M228" i="2"/>
  <c r="K228" i="2"/>
  <c r="L228" i="2" s="1"/>
  <c r="G228" i="2"/>
  <c r="AH227" i="2"/>
  <c r="AG227" i="2"/>
  <c r="AF227" i="2"/>
  <c r="AE227" i="2" s="1"/>
  <c r="AD227" i="2"/>
  <c r="AC227" i="2"/>
  <c r="AB227" i="2" s="1"/>
  <c r="AA227" i="2"/>
  <c r="Y227" i="2"/>
  <c r="U227" i="2"/>
  <c r="Q227" i="2"/>
  <c r="M227" i="2"/>
  <c r="K227" i="2" s="1"/>
  <c r="AH226" i="2"/>
  <c r="AF226" i="2"/>
  <c r="AD226" i="2"/>
  <c r="AC226" i="2"/>
  <c r="AB226" i="2" s="1"/>
  <c r="AA226" i="2"/>
  <c r="Y226" i="2"/>
  <c r="U226" i="2"/>
  <c r="Q226" i="2"/>
  <c r="M226" i="2"/>
  <c r="K226" i="2" s="1"/>
  <c r="AH225" i="2"/>
  <c r="AF225" i="2"/>
  <c r="AG225" i="2" s="1"/>
  <c r="AE225" i="2"/>
  <c r="AD225" i="2"/>
  <c r="AC225" i="2"/>
  <c r="AB225" i="2" s="1"/>
  <c r="AA225" i="2"/>
  <c r="Y225" i="2"/>
  <c r="U225" i="2"/>
  <c r="Q225" i="2"/>
  <c r="O225" i="2" s="1"/>
  <c r="M225" i="2"/>
  <c r="K225" i="2" s="1"/>
  <c r="L225" i="2"/>
  <c r="G225" i="2"/>
  <c r="AH224" i="2"/>
  <c r="AF224" i="2"/>
  <c r="AG224" i="2" s="1"/>
  <c r="AD224" i="2"/>
  <c r="AC224" i="2"/>
  <c r="AB224" i="2"/>
  <c r="AA224" i="2"/>
  <c r="Y224" i="2"/>
  <c r="U224" i="2"/>
  <c r="Q224" i="2"/>
  <c r="M224" i="2"/>
  <c r="K224" i="2" s="1"/>
  <c r="L224" i="2" s="1"/>
  <c r="G224" i="2"/>
  <c r="AH223" i="2"/>
  <c r="AG223" i="2"/>
  <c r="AF223" i="2"/>
  <c r="AE223" i="2"/>
  <c r="AD223" i="2"/>
  <c r="AC223" i="2"/>
  <c r="AB223" i="2" s="1"/>
  <c r="Z223" i="2" s="1"/>
  <c r="D223" i="2" s="1"/>
  <c r="AA223" i="2"/>
  <c r="Y223" i="2"/>
  <c r="U223" i="2"/>
  <c r="Q223" i="2"/>
  <c r="M223" i="2"/>
  <c r="K223" i="2"/>
  <c r="O223" i="2" s="1"/>
  <c r="AH222" i="2"/>
  <c r="AF222" i="2"/>
  <c r="AG222" i="2" s="1"/>
  <c r="AD222" i="2"/>
  <c r="AC222" i="2"/>
  <c r="AB222" i="2" s="1"/>
  <c r="AA222" i="2"/>
  <c r="Y222" i="2"/>
  <c r="U222" i="2"/>
  <c r="Q222" i="2"/>
  <c r="M222" i="2"/>
  <c r="K222" i="2"/>
  <c r="O222" i="2" s="1"/>
  <c r="N222" i="2" s="1"/>
  <c r="AH221" i="2"/>
  <c r="AG221" i="2"/>
  <c r="AF221" i="2"/>
  <c r="AE221" i="2"/>
  <c r="Z221" i="2" s="1"/>
  <c r="D221" i="2" s="1"/>
  <c r="AD221" i="2"/>
  <c r="AC221" i="2"/>
  <c r="AB221" i="2"/>
  <c r="AA221" i="2"/>
  <c r="Y221" i="2"/>
  <c r="U221" i="2"/>
  <c r="Q221" i="2"/>
  <c r="M221" i="2"/>
  <c r="K221" i="2" s="1"/>
  <c r="G221" i="2" s="1"/>
  <c r="L221" i="2"/>
  <c r="AH220" i="2"/>
  <c r="AF220" i="2"/>
  <c r="AG220" i="2" s="1"/>
  <c r="AE220" i="2"/>
  <c r="AD220" i="2"/>
  <c r="AC220" i="2"/>
  <c r="AB220" i="2"/>
  <c r="AA220" i="2"/>
  <c r="Y220" i="2"/>
  <c r="U220" i="2"/>
  <c r="Q220" i="2"/>
  <c r="O220" i="2" s="1"/>
  <c r="M220" i="2"/>
  <c r="K220" i="2" s="1"/>
  <c r="G220" i="2" s="1"/>
  <c r="L220" i="2"/>
  <c r="AH219" i="2"/>
  <c r="AG219" i="2"/>
  <c r="AF219" i="2"/>
  <c r="AE219" i="2"/>
  <c r="AD219" i="2"/>
  <c r="AC219" i="2"/>
  <c r="AB219" i="2" s="1"/>
  <c r="AA219" i="2"/>
  <c r="Y219" i="2"/>
  <c r="U219" i="2"/>
  <c r="Q219" i="2"/>
  <c r="M219" i="2"/>
  <c r="K219" i="2"/>
  <c r="L219" i="2" s="1"/>
  <c r="AH218" i="2"/>
  <c r="AG218" i="2"/>
  <c r="AF218" i="2"/>
  <c r="AE218" i="2" s="1"/>
  <c r="AD218" i="2"/>
  <c r="AC218" i="2"/>
  <c r="AB218" i="2"/>
  <c r="AA218" i="2"/>
  <c r="Z218" i="2"/>
  <c r="D218" i="2" s="1"/>
  <c r="Y218" i="2"/>
  <c r="U218" i="2"/>
  <c r="Q218" i="2"/>
  <c r="M218" i="2"/>
  <c r="K218" i="2"/>
  <c r="L218" i="2" s="1"/>
  <c r="AH217" i="2"/>
  <c r="AG217" i="2"/>
  <c r="AF217" i="2"/>
  <c r="AE217" i="2"/>
  <c r="AD217" i="2"/>
  <c r="AC217" i="2"/>
  <c r="AB217" i="2"/>
  <c r="AA217" i="2"/>
  <c r="Z217" i="2" s="1"/>
  <c r="D217" i="2" s="1"/>
  <c r="Y217" i="2"/>
  <c r="U217" i="2"/>
  <c r="Q217" i="2"/>
  <c r="M217" i="2"/>
  <c r="K217" i="2"/>
  <c r="O217" i="2" s="1"/>
  <c r="G217" i="2"/>
  <c r="AH216" i="2"/>
  <c r="AF216" i="2"/>
  <c r="AG216" i="2" s="1"/>
  <c r="AE216" i="2"/>
  <c r="AD216" i="2"/>
  <c r="AC216" i="2"/>
  <c r="AB216" i="2"/>
  <c r="AA216" i="2"/>
  <c r="Z216" i="2"/>
  <c r="D216" i="2" s="1"/>
  <c r="Y216" i="2"/>
  <c r="U216" i="2"/>
  <c r="Q216" i="2"/>
  <c r="M216" i="2"/>
  <c r="K216" i="2"/>
  <c r="O216" i="2" s="1"/>
  <c r="AH215" i="2"/>
  <c r="AF215" i="2"/>
  <c r="AG215" i="2" s="1"/>
  <c r="AE215" i="2"/>
  <c r="AD215" i="2"/>
  <c r="AC215" i="2"/>
  <c r="AB215" i="2"/>
  <c r="AA215" i="2"/>
  <c r="Z215" i="2" s="1"/>
  <c r="D215" i="2" s="1"/>
  <c r="Y215" i="2"/>
  <c r="U215" i="2"/>
  <c r="Q215" i="2"/>
  <c r="M215" i="2"/>
  <c r="K215" i="2" s="1"/>
  <c r="L215" i="2" s="1"/>
  <c r="AH214" i="2"/>
  <c r="AG214" i="2"/>
  <c r="AF214" i="2"/>
  <c r="AE214" i="2"/>
  <c r="AD214" i="2"/>
  <c r="AC214" i="2"/>
  <c r="AB214" i="2"/>
  <c r="AA214" i="2"/>
  <c r="Z214" i="2"/>
  <c r="D214" i="2" s="1"/>
  <c r="Y214" i="2"/>
  <c r="U214" i="2"/>
  <c r="Q214" i="2"/>
  <c r="M214" i="2"/>
  <c r="K214" i="2" s="1"/>
  <c r="O214" i="2" s="1"/>
  <c r="L214" i="2"/>
  <c r="G214" i="2"/>
  <c r="AH213" i="2"/>
  <c r="AF213" i="2"/>
  <c r="AG213" i="2" s="1"/>
  <c r="AE213" i="2"/>
  <c r="AD213" i="2"/>
  <c r="AC213" i="2"/>
  <c r="AB213" i="2" s="1"/>
  <c r="AA213" i="2"/>
  <c r="Z213" i="2"/>
  <c r="D213" i="2" s="1"/>
  <c r="Y213" i="2"/>
  <c r="U213" i="2"/>
  <c r="Q213" i="2"/>
  <c r="M213" i="2"/>
  <c r="K213" i="2"/>
  <c r="L213" i="2" s="1"/>
  <c r="AH212" i="2"/>
  <c r="AF212" i="2"/>
  <c r="AG212" i="2" s="1"/>
  <c r="AD212" i="2"/>
  <c r="AC212" i="2"/>
  <c r="AB212" i="2"/>
  <c r="AA212" i="2"/>
  <c r="Y212" i="2"/>
  <c r="U212" i="2"/>
  <c r="Q212" i="2"/>
  <c r="M212" i="2"/>
  <c r="L212" i="2"/>
  <c r="K212" i="2"/>
  <c r="AH211" i="2"/>
  <c r="AF211" i="2"/>
  <c r="AG211" i="2" s="1"/>
  <c r="AE211" i="2"/>
  <c r="AD211" i="2"/>
  <c r="AC211" i="2"/>
  <c r="AB211" i="2"/>
  <c r="AA211" i="2"/>
  <c r="Z211" i="2" s="1"/>
  <c r="D211" i="2" s="1"/>
  <c r="Y211" i="2"/>
  <c r="U211" i="2"/>
  <c r="Q211" i="2"/>
  <c r="M211" i="2"/>
  <c r="K211" i="2" s="1"/>
  <c r="L211" i="2"/>
  <c r="AH210" i="2"/>
  <c r="AG210" i="2"/>
  <c r="AF210" i="2"/>
  <c r="AE210" i="2"/>
  <c r="Z210" i="2" s="1"/>
  <c r="D210" i="2" s="1"/>
  <c r="AD210" i="2"/>
  <c r="AC210" i="2"/>
  <c r="AB210" i="2"/>
  <c r="AA210" i="2"/>
  <c r="Y210" i="2"/>
  <c r="U210" i="2"/>
  <c r="Q210" i="2"/>
  <c r="O210" i="2" s="1"/>
  <c r="M210" i="2"/>
  <c r="L210" i="2"/>
  <c r="K210" i="2"/>
  <c r="G210" i="2"/>
  <c r="AH209" i="2"/>
  <c r="AG209" i="2"/>
  <c r="AF209" i="2"/>
  <c r="AE209" i="2"/>
  <c r="AD209" i="2"/>
  <c r="AC209" i="2"/>
  <c r="AB209" i="2" s="1"/>
  <c r="Z209" i="2" s="1"/>
  <c r="D209" i="2" s="1"/>
  <c r="AA209" i="2"/>
  <c r="Y209" i="2"/>
  <c r="U209" i="2"/>
  <c r="Q209" i="2"/>
  <c r="M209" i="2"/>
  <c r="K209" i="2" s="1"/>
  <c r="AH208" i="2"/>
  <c r="AF208" i="2"/>
  <c r="AG208" i="2" s="1"/>
  <c r="AD208" i="2"/>
  <c r="AC208" i="2"/>
  <c r="AB208" i="2"/>
  <c r="AA208" i="2"/>
  <c r="Y208" i="2"/>
  <c r="W208" i="2" s="1"/>
  <c r="U208" i="2"/>
  <c r="S208" i="2" s="1"/>
  <c r="Q208" i="2"/>
  <c r="M208" i="2"/>
  <c r="L208" i="2"/>
  <c r="K208" i="2"/>
  <c r="O208" i="2" s="1"/>
  <c r="G208" i="2"/>
  <c r="AH207" i="2"/>
  <c r="AF207" i="2"/>
  <c r="AG207" i="2" s="1"/>
  <c r="AE207" i="2"/>
  <c r="AD207" i="2"/>
  <c r="AC207" i="2"/>
  <c r="AB207" i="2"/>
  <c r="AA207" i="2"/>
  <c r="Z207" i="2" s="1"/>
  <c r="D207" i="2" s="1"/>
  <c r="Y207" i="2"/>
  <c r="U207" i="2"/>
  <c r="Q207" i="2"/>
  <c r="M207" i="2"/>
  <c r="K207" i="2"/>
  <c r="AH206" i="2"/>
  <c r="AF206" i="2"/>
  <c r="AG206" i="2" s="1"/>
  <c r="AE206" i="2"/>
  <c r="AD206" i="2"/>
  <c r="AC206" i="2"/>
  <c r="AB206" i="2" s="1"/>
  <c r="AA206" i="2"/>
  <c r="Y206" i="2"/>
  <c r="U206" i="2"/>
  <c r="Q206" i="2"/>
  <c r="M206" i="2"/>
  <c r="K206" i="2"/>
  <c r="AH205" i="2"/>
  <c r="AF205" i="2"/>
  <c r="AE205" i="2" s="1"/>
  <c r="AD205" i="2"/>
  <c r="AC205" i="2"/>
  <c r="AB205" i="2" s="1"/>
  <c r="AA205" i="2"/>
  <c r="Y205" i="2"/>
  <c r="W205" i="2" s="1"/>
  <c r="U205" i="2"/>
  <c r="S205" i="2" s="1"/>
  <c r="T205" i="2" s="1"/>
  <c r="Q205" i="2"/>
  <c r="O205" i="2" s="1"/>
  <c r="N205" i="2" s="1"/>
  <c r="P205" i="2"/>
  <c r="M205" i="2"/>
  <c r="K205" i="2"/>
  <c r="L205" i="2" s="1"/>
  <c r="AH204" i="2"/>
  <c r="AG204" i="2"/>
  <c r="AF204" i="2"/>
  <c r="AE204" i="2" s="1"/>
  <c r="AD204" i="2"/>
  <c r="AC204" i="2"/>
  <c r="AB204" i="2"/>
  <c r="AA204" i="2"/>
  <c r="Y204" i="2"/>
  <c r="U204" i="2"/>
  <c r="Q204" i="2"/>
  <c r="O204" i="2" s="1"/>
  <c r="M204" i="2"/>
  <c r="L204" i="2"/>
  <c r="K204" i="2"/>
  <c r="G204" i="2"/>
  <c r="AH203" i="2"/>
  <c r="AG203" i="2"/>
  <c r="AF203" i="2"/>
  <c r="AE203" i="2"/>
  <c r="AD203" i="2"/>
  <c r="AC203" i="2"/>
  <c r="AB203" i="2"/>
  <c r="AA203" i="2"/>
  <c r="Z203" i="2" s="1"/>
  <c r="D203" i="2" s="1"/>
  <c r="Y203" i="2"/>
  <c r="U203" i="2"/>
  <c r="Q203" i="2"/>
  <c r="M203" i="2"/>
  <c r="K203" i="2"/>
  <c r="G203" i="2"/>
  <c r="AH202" i="2"/>
  <c r="AG202" i="2"/>
  <c r="AF202" i="2"/>
  <c r="AE202" i="2"/>
  <c r="AD202" i="2"/>
  <c r="AC202" i="2"/>
  <c r="AB202" i="2" s="1"/>
  <c r="AA202" i="2"/>
  <c r="Z202" i="2"/>
  <c r="D202" i="2" s="1"/>
  <c r="Y202" i="2"/>
  <c r="U202" i="2"/>
  <c r="Q202" i="2"/>
  <c r="M202" i="2"/>
  <c r="K202" i="2"/>
  <c r="G202" i="2"/>
  <c r="AH201" i="2"/>
  <c r="AG201" i="2"/>
  <c r="AF201" i="2"/>
  <c r="AE201" i="2" s="1"/>
  <c r="AD201" i="2"/>
  <c r="AC201" i="2"/>
  <c r="AB201" i="2"/>
  <c r="Z201" i="2" s="1"/>
  <c r="D201" i="2" s="1"/>
  <c r="AA201" i="2"/>
  <c r="Y201" i="2"/>
  <c r="U201" i="2"/>
  <c r="Q201" i="2"/>
  <c r="M201" i="2"/>
  <c r="K201" i="2" s="1"/>
  <c r="G201" i="2" s="1"/>
  <c r="AH200" i="2"/>
  <c r="AF200" i="2"/>
  <c r="AG200" i="2" s="1"/>
  <c r="AE200" i="2"/>
  <c r="AD200" i="2"/>
  <c r="AC200" i="2"/>
  <c r="AB200" i="2" s="1"/>
  <c r="AA200" i="2"/>
  <c r="Y200" i="2"/>
  <c r="U200" i="2"/>
  <c r="Q200" i="2"/>
  <c r="O200" i="2"/>
  <c r="M200" i="2"/>
  <c r="K200" i="2" s="1"/>
  <c r="AH199" i="2"/>
  <c r="AF199" i="2"/>
  <c r="AD199" i="2"/>
  <c r="AC199" i="2"/>
  <c r="AB199" i="2" s="1"/>
  <c r="AA199" i="2"/>
  <c r="Y199" i="2"/>
  <c r="U199" i="2"/>
  <c r="Q199" i="2"/>
  <c r="O199" i="2" s="1"/>
  <c r="P199" i="2"/>
  <c r="M199" i="2"/>
  <c r="K199" i="2"/>
  <c r="L199" i="2" s="1"/>
  <c r="G199" i="2"/>
  <c r="AH198" i="2"/>
  <c r="AF198" i="2"/>
  <c r="AG198" i="2" s="1"/>
  <c r="AD198" i="2"/>
  <c r="AC198" i="2"/>
  <c r="AB198" i="2" s="1"/>
  <c r="AA198" i="2"/>
  <c r="Y198" i="2"/>
  <c r="U198" i="2"/>
  <c r="S198" i="2"/>
  <c r="Q198" i="2"/>
  <c r="M198" i="2"/>
  <c r="K198" i="2"/>
  <c r="O198" i="2" s="1"/>
  <c r="G198" i="2"/>
  <c r="AH197" i="2"/>
  <c r="AG197" i="2"/>
  <c r="AF197" i="2"/>
  <c r="AE197" i="2" s="1"/>
  <c r="AD197" i="2"/>
  <c r="AC197" i="2"/>
  <c r="AB197" i="2"/>
  <c r="AA197" i="2"/>
  <c r="Z197" i="2" s="1"/>
  <c r="D197" i="2" s="1"/>
  <c r="Y197" i="2"/>
  <c r="U197" i="2"/>
  <c r="Q197" i="2"/>
  <c r="M197" i="2"/>
  <c r="K197" i="2" s="1"/>
  <c r="AH196" i="2"/>
  <c r="AF196" i="2"/>
  <c r="AD196" i="2"/>
  <c r="AC196" i="2"/>
  <c r="AB196" i="2" s="1"/>
  <c r="AA196" i="2"/>
  <c r="Y196" i="2"/>
  <c r="U196" i="2"/>
  <c r="Q196" i="2"/>
  <c r="M196" i="2"/>
  <c r="K196" i="2"/>
  <c r="AH195" i="2"/>
  <c r="AF195" i="2"/>
  <c r="AG195" i="2" s="1"/>
  <c r="AD195" i="2"/>
  <c r="AC195" i="2"/>
  <c r="AB195" i="2"/>
  <c r="AA195" i="2"/>
  <c r="Y195" i="2"/>
  <c r="U195" i="2"/>
  <c r="Q195" i="2"/>
  <c r="O195" i="2" s="1"/>
  <c r="M195" i="2"/>
  <c r="K195" i="2" s="1"/>
  <c r="L195" i="2" s="1"/>
  <c r="AH194" i="2"/>
  <c r="AG194" i="2"/>
  <c r="AF194" i="2"/>
  <c r="AE194" i="2"/>
  <c r="Z194" i="2" s="1"/>
  <c r="D194" i="2" s="1"/>
  <c r="AD194" i="2"/>
  <c r="AC194" i="2"/>
  <c r="AB194" i="2"/>
  <c r="AA194" i="2"/>
  <c r="Y194" i="2"/>
  <c r="U194" i="2"/>
  <c r="S194" i="2" s="1"/>
  <c r="Q194" i="2"/>
  <c r="O194" i="2"/>
  <c r="M194" i="2"/>
  <c r="L194" i="2"/>
  <c r="K194" i="2"/>
  <c r="G194" i="2"/>
  <c r="AH193" i="2"/>
  <c r="AG193" i="2"/>
  <c r="AF193" i="2"/>
  <c r="AE193" i="2"/>
  <c r="AD193" i="2"/>
  <c r="AC193" i="2"/>
  <c r="AB193" i="2" s="1"/>
  <c r="AA193" i="2"/>
  <c r="Z193" i="2"/>
  <c r="D193" i="2" s="1"/>
  <c r="Y193" i="2"/>
  <c r="U193" i="2"/>
  <c r="Q193" i="2"/>
  <c r="O193" i="2"/>
  <c r="M193" i="2"/>
  <c r="K193" i="2" s="1"/>
  <c r="L193" i="2" s="1"/>
  <c r="G193" i="2"/>
  <c r="AH192" i="2"/>
  <c r="AF192" i="2"/>
  <c r="AD192" i="2"/>
  <c r="AC192" i="2"/>
  <c r="AB192" i="2"/>
  <c r="AA192" i="2"/>
  <c r="Y192" i="2"/>
  <c r="U192" i="2"/>
  <c r="S192" i="2" s="1"/>
  <c r="Q192" i="2"/>
  <c r="M192" i="2"/>
  <c r="K192" i="2"/>
  <c r="O192" i="2" s="1"/>
  <c r="N192" i="2" s="1"/>
  <c r="G192" i="2"/>
  <c r="AH191" i="2"/>
  <c r="AF191" i="2"/>
  <c r="AD191" i="2"/>
  <c r="AC191" i="2"/>
  <c r="AB191" i="2" s="1"/>
  <c r="AA191" i="2"/>
  <c r="Y191" i="2"/>
  <c r="U191" i="2"/>
  <c r="Q191" i="2"/>
  <c r="M191" i="2"/>
  <c r="K191" i="2"/>
  <c r="AH190" i="2"/>
  <c r="AG190" i="2"/>
  <c r="AF190" i="2"/>
  <c r="AE190" i="2"/>
  <c r="AD190" i="2"/>
  <c r="AC190" i="2"/>
  <c r="AB190" i="2"/>
  <c r="AA190" i="2"/>
  <c r="Y190" i="2"/>
  <c r="U190" i="2"/>
  <c r="Q190" i="2"/>
  <c r="O190" i="2"/>
  <c r="S190" i="2" s="1"/>
  <c r="M190" i="2"/>
  <c r="K190" i="2"/>
  <c r="G190" i="2" s="1"/>
  <c r="AH189" i="2"/>
  <c r="AG189" i="2"/>
  <c r="AF189" i="2"/>
  <c r="AE189" i="2"/>
  <c r="AD189" i="2"/>
  <c r="AC189" i="2"/>
  <c r="AB189" i="2" s="1"/>
  <c r="AA189" i="2"/>
  <c r="Y189" i="2"/>
  <c r="U189" i="2"/>
  <c r="S189" i="2"/>
  <c r="Q189" i="2"/>
  <c r="O189" i="2"/>
  <c r="P189" i="2" s="1"/>
  <c r="M189" i="2"/>
  <c r="K189" i="2"/>
  <c r="AH188" i="2"/>
  <c r="AF188" i="2"/>
  <c r="AE188" i="2" s="1"/>
  <c r="AD188" i="2"/>
  <c r="AC188" i="2"/>
  <c r="AB188" i="2"/>
  <c r="AA188" i="2"/>
  <c r="Y188" i="2"/>
  <c r="U188" i="2"/>
  <c r="Q188" i="2"/>
  <c r="O188" i="2" s="1"/>
  <c r="M188" i="2"/>
  <c r="L188" i="2"/>
  <c r="K188" i="2"/>
  <c r="G188" i="2"/>
  <c r="AH187" i="2"/>
  <c r="AG187" i="2"/>
  <c r="AF187" i="2"/>
  <c r="AE187" i="2"/>
  <c r="AD187" i="2"/>
  <c r="AC187" i="2"/>
  <c r="AB187" i="2"/>
  <c r="AA187" i="2"/>
  <c r="Z187" i="2"/>
  <c r="D187" i="2" s="1"/>
  <c r="Y187" i="2"/>
  <c r="U187" i="2"/>
  <c r="Q187" i="2"/>
  <c r="O187" i="2" s="1"/>
  <c r="M187" i="2"/>
  <c r="L187" i="2"/>
  <c r="K187" i="2"/>
  <c r="G187" i="2"/>
  <c r="AH186" i="2"/>
  <c r="AG186" i="2"/>
  <c r="AF186" i="2"/>
  <c r="AE186" i="2"/>
  <c r="AD186" i="2"/>
  <c r="AC186" i="2"/>
  <c r="AB186" i="2" s="1"/>
  <c r="AA186" i="2"/>
  <c r="Y186" i="2"/>
  <c r="U186" i="2"/>
  <c r="S186" i="2"/>
  <c r="Q186" i="2"/>
  <c r="O186" i="2" s="1"/>
  <c r="M186" i="2"/>
  <c r="K186" i="2" s="1"/>
  <c r="AJ185" i="2"/>
  <c r="I185" i="2" s="1"/>
  <c r="J185" i="2" s="1"/>
  <c r="AH185" i="2"/>
  <c r="AF185" i="2"/>
  <c r="AG185" i="2" s="1"/>
  <c r="AE185" i="2"/>
  <c r="AD185" i="2"/>
  <c r="AC185" i="2"/>
  <c r="AB185" i="2"/>
  <c r="AA185" i="2"/>
  <c r="Y185" i="2"/>
  <c r="U185" i="2"/>
  <c r="S185" i="2" s="1"/>
  <c r="W185" i="2" s="1"/>
  <c r="T185" i="2"/>
  <c r="R185" i="2"/>
  <c r="Q185" i="2"/>
  <c r="O185" i="2"/>
  <c r="P185" i="2" s="1"/>
  <c r="N185" i="2"/>
  <c r="M185" i="2"/>
  <c r="K185" i="2"/>
  <c r="L185" i="2" s="1"/>
  <c r="G185" i="2"/>
  <c r="AH184" i="2"/>
  <c r="AF184" i="2"/>
  <c r="AG184" i="2" s="1"/>
  <c r="AD184" i="2"/>
  <c r="AC184" i="2"/>
  <c r="AB184" i="2"/>
  <c r="AA184" i="2"/>
  <c r="Y184" i="2"/>
  <c r="U184" i="2"/>
  <c r="S184" i="2" s="1"/>
  <c r="Q184" i="2"/>
  <c r="O184" i="2" s="1"/>
  <c r="M184" i="2"/>
  <c r="L184" i="2"/>
  <c r="K184" i="2"/>
  <c r="G184" i="2"/>
  <c r="AH183" i="2"/>
  <c r="AF183" i="2"/>
  <c r="AG183" i="2" s="1"/>
  <c r="AE183" i="2"/>
  <c r="AD183" i="2"/>
  <c r="AC183" i="2"/>
  <c r="AB183" i="2"/>
  <c r="AA183" i="2"/>
  <c r="Z183" i="2"/>
  <c r="D183" i="2" s="1"/>
  <c r="Y183" i="2"/>
  <c r="W183" i="2"/>
  <c r="U183" i="2"/>
  <c r="Q183" i="2"/>
  <c r="O183" i="2"/>
  <c r="S183" i="2" s="1"/>
  <c r="M183" i="2"/>
  <c r="K183" i="2"/>
  <c r="L183" i="2" s="1"/>
  <c r="G183" i="2"/>
  <c r="AH182" i="2"/>
  <c r="AG182" i="2"/>
  <c r="AF182" i="2"/>
  <c r="AE182" i="2"/>
  <c r="AD182" i="2"/>
  <c r="AC182" i="2"/>
  <c r="AB182" i="2" s="1"/>
  <c r="Z182" i="2" s="1"/>
  <c r="D182" i="2" s="1"/>
  <c r="AA182" i="2"/>
  <c r="Y182" i="2"/>
  <c r="U182" i="2"/>
  <c r="Q182" i="2"/>
  <c r="M182" i="2"/>
  <c r="K182" i="2" s="1"/>
  <c r="L182" i="2" s="1"/>
  <c r="AH181" i="2"/>
  <c r="AF181" i="2"/>
  <c r="AG181" i="2" s="1"/>
  <c r="AE181" i="2"/>
  <c r="AD181" i="2"/>
  <c r="AC181" i="2"/>
  <c r="AB181" i="2" s="1"/>
  <c r="Z181" i="2" s="1"/>
  <c r="D181" i="2" s="1"/>
  <c r="AA181" i="2"/>
  <c r="Y181" i="2"/>
  <c r="U181" i="2"/>
  <c r="Q181" i="2"/>
  <c r="O181" i="2"/>
  <c r="M181" i="2"/>
  <c r="K181" i="2" s="1"/>
  <c r="AH180" i="2"/>
  <c r="AF180" i="2"/>
  <c r="AD180" i="2"/>
  <c r="AC180" i="2"/>
  <c r="AB180" i="2"/>
  <c r="AA180" i="2"/>
  <c r="Y180" i="2"/>
  <c r="U180" i="2"/>
  <c r="S180" i="2"/>
  <c r="Q180" i="2"/>
  <c r="O180" i="2" s="1"/>
  <c r="P180" i="2"/>
  <c r="M180" i="2"/>
  <c r="K180" i="2" s="1"/>
  <c r="AH179" i="2"/>
  <c r="AF179" i="2"/>
  <c r="AG179" i="2" s="1"/>
  <c r="AE179" i="2"/>
  <c r="AD179" i="2"/>
  <c r="AC179" i="2"/>
  <c r="AB179" i="2"/>
  <c r="AA179" i="2"/>
  <c r="Z179" i="2" s="1"/>
  <c r="D179" i="2" s="1"/>
  <c r="Y179" i="2"/>
  <c r="U179" i="2"/>
  <c r="S179" i="2" s="1"/>
  <c r="Q179" i="2"/>
  <c r="M179" i="2"/>
  <c r="K179" i="2"/>
  <c r="O179" i="2" s="1"/>
  <c r="AH178" i="2"/>
  <c r="AG178" i="2"/>
  <c r="AF178" i="2"/>
  <c r="AE178" i="2"/>
  <c r="AD178" i="2"/>
  <c r="AC178" i="2"/>
  <c r="AB178" i="2" s="1"/>
  <c r="Z178" i="2" s="1"/>
  <c r="D178" i="2" s="1"/>
  <c r="AA178" i="2"/>
  <c r="Y178" i="2"/>
  <c r="U178" i="2"/>
  <c r="Q178" i="2"/>
  <c r="M178" i="2"/>
  <c r="K178" i="2"/>
  <c r="O178" i="2" s="1"/>
  <c r="AH177" i="2"/>
  <c r="AG177" i="2"/>
  <c r="AF177" i="2"/>
  <c r="AE177" i="2" s="1"/>
  <c r="AD177" i="2"/>
  <c r="AC177" i="2"/>
  <c r="AB177" i="2"/>
  <c r="AA177" i="2"/>
  <c r="Y177" i="2"/>
  <c r="U177" i="2"/>
  <c r="Q177" i="2"/>
  <c r="O177" i="2" s="1"/>
  <c r="M177" i="2"/>
  <c r="L177" i="2"/>
  <c r="K177" i="2"/>
  <c r="G177" i="2" s="1"/>
  <c r="AH176" i="2"/>
  <c r="AF176" i="2"/>
  <c r="AG176" i="2" s="1"/>
  <c r="AE176" i="2"/>
  <c r="AD176" i="2"/>
  <c r="AC176" i="2"/>
  <c r="AB176" i="2"/>
  <c r="AA176" i="2"/>
  <c r="Z176" i="2" s="1"/>
  <c r="D176" i="2" s="1"/>
  <c r="Y176" i="2"/>
  <c r="U176" i="2"/>
  <c r="Q176" i="2"/>
  <c r="O176" i="2"/>
  <c r="M176" i="2"/>
  <c r="K176" i="2" s="1"/>
  <c r="G176" i="2" s="1"/>
  <c r="L176" i="2"/>
  <c r="AH175" i="2"/>
  <c r="AG175" i="2"/>
  <c r="AF175" i="2"/>
  <c r="AE175" i="2"/>
  <c r="AD175" i="2"/>
  <c r="AC175" i="2"/>
  <c r="AB175" i="2"/>
  <c r="AA175" i="2"/>
  <c r="Z175" i="2" s="1"/>
  <c r="D175" i="2" s="1"/>
  <c r="Y175" i="2"/>
  <c r="U175" i="2"/>
  <c r="Q175" i="2"/>
  <c r="O175" i="2" s="1"/>
  <c r="M175" i="2"/>
  <c r="K175" i="2"/>
  <c r="L175" i="2" s="1"/>
  <c r="G175" i="2"/>
  <c r="AH174" i="2"/>
  <c r="AG174" i="2"/>
  <c r="AF174" i="2"/>
  <c r="AE174" i="2"/>
  <c r="AD174" i="2"/>
  <c r="AC174" i="2"/>
  <c r="AB174" i="2" s="1"/>
  <c r="Z174" i="2" s="1"/>
  <c r="D174" i="2" s="1"/>
  <c r="AA174" i="2"/>
  <c r="Y174" i="2"/>
  <c r="U174" i="2"/>
  <c r="Q174" i="2"/>
  <c r="M174" i="2"/>
  <c r="K174" i="2"/>
  <c r="O174" i="2" s="1"/>
  <c r="AH173" i="2"/>
  <c r="AG173" i="2"/>
  <c r="AF173" i="2"/>
  <c r="AE173" i="2" s="1"/>
  <c r="AD173" i="2"/>
  <c r="AC173" i="2"/>
  <c r="AB173" i="2" s="1"/>
  <c r="Z173" i="2" s="1"/>
  <c r="D173" i="2" s="1"/>
  <c r="AA173" i="2"/>
  <c r="Y173" i="2"/>
  <c r="U173" i="2"/>
  <c r="Q173" i="2"/>
  <c r="O173" i="2" s="1"/>
  <c r="M173" i="2"/>
  <c r="K173" i="2" s="1"/>
  <c r="L173" i="2" s="1"/>
  <c r="G173" i="2"/>
  <c r="AH172" i="2"/>
  <c r="AF172" i="2"/>
  <c r="AG172" i="2" s="1"/>
  <c r="AD172" i="2"/>
  <c r="AC172" i="2"/>
  <c r="AB172" i="2"/>
  <c r="AA172" i="2"/>
  <c r="Y172" i="2"/>
  <c r="U172" i="2"/>
  <c r="Q172" i="2"/>
  <c r="M172" i="2"/>
  <c r="K172" i="2"/>
  <c r="AH171" i="2"/>
  <c r="AF171" i="2"/>
  <c r="AG171" i="2" s="1"/>
  <c r="AE171" i="2"/>
  <c r="AD171" i="2"/>
  <c r="AC171" i="2"/>
  <c r="AB171" i="2" s="1"/>
  <c r="AA171" i="2"/>
  <c r="Z171" i="2" s="1"/>
  <c r="D171" i="2" s="1"/>
  <c r="Y171" i="2"/>
  <c r="U171" i="2"/>
  <c r="Q171" i="2"/>
  <c r="M171" i="2"/>
  <c r="K171" i="2" s="1"/>
  <c r="AH170" i="2"/>
  <c r="AF170" i="2"/>
  <c r="AD170" i="2"/>
  <c r="AC170" i="2"/>
  <c r="AB170" i="2"/>
  <c r="AA170" i="2"/>
  <c r="Y170" i="2"/>
  <c r="U170" i="2"/>
  <c r="Q170" i="2"/>
  <c r="O170" i="2" s="1"/>
  <c r="S170" i="2" s="1"/>
  <c r="P170" i="2"/>
  <c r="N170" i="2"/>
  <c r="M170" i="2"/>
  <c r="K170" i="2"/>
  <c r="L170" i="2" s="1"/>
  <c r="G170" i="2"/>
  <c r="AH169" i="2"/>
  <c r="AG169" i="2"/>
  <c r="AF169" i="2"/>
  <c r="AE169" i="2"/>
  <c r="AD169" i="2"/>
  <c r="AC169" i="2"/>
  <c r="AB169" i="2" s="1"/>
  <c r="AA169" i="2"/>
  <c r="Y169" i="2"/>
  <c r="U169" i="2"/>
  <c r="S169" i="2"/>
  <c r="R169" i="2" s="1"/>
  <c r="Q169" i="2"/>
  <c r="O169" i="2" s="1"/>
  <c r="M169" i="2"/>
  <c r="K169" i="2" s="1"/>
  <c r="AH168" i="2"/>
  <c r="AF168" i="2"/>
  <c r="AG168" i="2" s="1"/>
  <c r="AD168" i="2"/>
  <c r="AC168" i="2"/>
  <c r="AB168" i="2"/>
  <c r="AA168" i="2"/>
  <c r="Y168" i="2"/>
  <c r="U168" i="2"/>
  <c r="Q168" i="2"/>
  <c r="O168" i="2" s="1"/>
  <c r="M168" i="2"/>
  <c r="L168" i="2"/>
  <c r="K168" i="2"/>
  <c r="G168" i="2"/>
  <c r="AH167" i="2"/>
  <c r="AF167" i="2"/>
  <c r="AG167" i="2" s="1"/>
  <c r="AE167" i="2"/>
  <c r="AD167" i="2"/>
  <c r="AC167" i="2"/>
  <c r="AB167" i="2"/>
  <c r="AA167" i="2"/>
  <c r="Z167" i="2"/>
  <c r="D167" i="2" s="1"/>
  <c r="Y167" i="2"/>
  <c r="U167" i="2"/>
  <c r="Q167" i="2"/>
  <c r="O167" i="2"/>
  <c r="M167" i="2"/>
  <c r="K167" i="2"/>
  <c r="L167" i="2" s="1"/>
  <c r="G167" i="2"/>
  <c r="AH166" i="2"/>
  <c r="AG166" i="2"/>
  <c r="AF166" i="2"/>
  <c r="AE166" i="2"/>
  <c r="AD166" i="2"/>
  <c r="AC166" i="2"/>
  <c r="AB166" i="2"/>
  <c r="Z166" i="2" s="1"/>
  <c r="D166" i="2" s="1"/>
  <c r="AA166" i="2"/>
  <c r="Y166" i="2"/>
  <c r="U166" i="2"/>
  <c r="Q166" i="2"/>
  <c r="M166" i="2"/>
  <c r="K166" i="2" s="1"/>
  <c r="AH165" i="2"/>
  <c r="AF165" i="2"/>
  <c r="AG165" i="2" s="1"/>
  <c r="AD165" i="2"/>
  <c r="AC165" i="2"/>
  <c r="AB165" i="2" s="1"/>
  <c r="AA165" i="2"/>
  <c r="Y165" i="2"/>
  <c r="U165" i="2"/>
  <c r="Q165" i="2"/>
  <c r="O165" i="2" s="1"/>
  <c r="M165" i="2"/>
  <c r="K165" i="2" s="1"/>
  <c r="AH164" i="2"/>
  <c r="AF164" i="2"/>
  <c r="AD164" i="2"/>
  <c r="AC164" i="2"/>
  <c r="AB164" i="2"/>
  <c r="AA164" i="2"/>
  <c r="Y164" i="2"/>
  <c r="U164" i="2"/>
  <c r="Q164" i="2"/>
  <c r="O164" i="2" s="1"/>
  <c r="M164" i="2"/>
  <c r="K164" i="2" s="1"/>
  <c r="G164" i="2" s="1"/>
  <c r="L164" i="2"/>
  <c r="AH163" i="2"/>
  <c r="AG163" i="2"/>
  <c r="AF163" i="2"/>
  <c r="AE163" i="2"/>
  <c r="AD163" i="2"/>
  <c r="AC163" i="2"/>
  <c r="AB163" i="2"/>
  <c r="AA163" i="2"/>
  <c r="Z163" i="2" s="1"/>
  <c r="D163" i="2" s="1"/>
  <c r="Y163" i="2"/>
  <c r="U163" i="2"/>
  <c r="Q163" i="2"/>
  <c r="O163" i="2"/>
  <c r="M163" i="2"/>
  <c r="K163" i="2"/>
  <c r="L163" i="2" s="1"/>
  <c r="AH162" i="2"/>
  <c r="AG162" i="2"/>
  <c r="AF162" i="2"/>
  <c r="AE162" i="2"/>
  <c r="AD162" i="2"/>
  <c r="AC162" i="2"/>
  <c r="AB162" i="2" s="1"/>
  <c r="AA162" i="2"/>
  <c r="Z162" i="2"/>
  <c r="D162" i="2" s="1"/>
  <c r="Y162" i="2"/>
  <c r="U162" i="2"/>
  <c r="Q162" i="2"/>
  <c r="M162" i="2"/>
  <c r="K162" i="2"/>
  <c r="AH161" i="2"/>
  <c r="AG161" i="2"/>
  <c r="AF161" i="2"/>
  <c r="AE161" i="2" s="1"/>
  <c r="AD161" i="2"/>
  <c r="AC161" i="2"/>
  <c r="AB161" i="2"/>
  <c r="AA161" i="2"/>
  <c r="Y161" i="2"/>
  <c r="U161" i="2"/>
  <c r="Q161" i="2"/>
  <c r="O161" i="2" s="1"/>
  <c r="M161" i="2"/>
  <c r="K161" i="2"/>
  <c r="G161" i="2" s="1"/>
  <c r="AH160" i="2"/>
  <c r="AG160" i="2"/>
  <c r="AF160" i="2"/>
  <c r="AE160" i="2"/>
  <c r="AD160" i="2"/>
  <c r="AC160" i="2"/>
  <c r="AB160" i="2"/>
  <c r="AA160" i="2"/>
  <c r="Y160" i="2"/>
  <c r="U160" i="2"/>
  <c r="Q160" i="2"/>
  <c r="M160" i="2"/>
  <c r="K160" i="2" s="1"/>
  <c r="AH159" i="2"/>
  <c r="AG159" i="2"/>
  <c r="AF159" i="2"/>
  <c r="AE159" i="2"/>
  <c r="AD159" i="2"/>
  <c r="AC159" i="2"/>
  <c r="AB159" i="2" s="1"/>
  <c r="AA159" i="2"/>
  <c r="Z159" i="2" s="1"/>
  <c r="Y159" i="2"/>
  <c r="U159" i="2"/>
  <c r="Q159" i="2"/>
  <c r="O159" i="2" s="1"/>
  <c r="M159" i="2"/>
  <c r="K159" i="2"/>
  <c r="L159" i="2" s="1"/>
  <c r="D159" i="2"/>
  <c r="AH158" i="2"/>
  <c r="AF158" i="2"/>
  <c r="AG158" i="2" s="1"/>
  <c r="AD158" i="2"/>
  <c r="AC158" i="2"/>
  <c r="AB158" i="2" s="1"/>
  <c r="AA158" i="2"/>
  <c r="Y158" i="2"/>
  <c r="U158" i="2"/>
  <c r="Q158" i="2"/>
  <c r="M158" i="2"/>
  <c r="K158" i="2"/>
  <c r="AH157" i="2"/>
  <c r="AG157" i="2"/>
  <c r="AF157" i="2"/>
  <c r="AE157" i="2" s="1"/>
  <c r="AD157" i="2"/>
  <c r="AC157" i="2"/>
  <c r="AB157" i="2"/>
  <c r="AA157" i="2"/>
  <c r="Z157" i="2" s="1"/>
  <c r="D157" i="2" s="1"/>
  <c r="Y157" i="2"/>
  <c r="U157" i="2"/>
  <c r="Q157" i="2"/>
  <c r="O157" i="2" s="1"/>
  <c r="M157" i="2"/>
  <c r="K157" i="2"/>
  <c r="L157" i="2" s="1"/>
  <c r="G157" i="2" s="1"/>
  <c r="AH156" i="2"/>
  <c r="AF156" i="2"/>
  <c r="AG156" i="2" s="1"/>
  <c r="AD156" i="2"/>
  <c r="AC156" i="2"/>
  <c r="AB156" i="2" s="1"/>
  <c r="AA156" i="2"/>
  <c r="Y156" i="2"/>
  <c r="U156" i="2"/>
  <c r="Q156" i="2"/>
  <c r="M156" i="2"/>
  <c r="K156" i="2"/>
  <c r="AH155" i="2"/>
  <c r="AG155" i="2"/>
  <c r="AF155" i="2"/>
  <c r="AE155" i="2"/>
  <c r="AD155" i="2"/>
  <c r="AC155" i="2"/>
  <c r="AB155" i="2" s="1"/>
  <c r="AA155" i="2"/>
  <c r="Y155" i="2"/>
  <c r="U155" i="2"/>
  <c r="Q155" i="2"/>
  <c r="M155" i="2"/>
  <c r="K155" i="2" s="1"/>
  <c r="L155" i="2"/>
  <c r="AH154" i="2"/>
  <c r="AF154" i="2"/>
  <c r="AG154" i="2" s="1"/>
  <c r="AE154" i="2"/>
  <c r="AD154" i="2"/>
  <c r="AC154" i="2"/>
  <c r="AB154" i="2"/>
  <c r="AA154" i="2"/>
  <c r="Y154" i="2"/>
  <c r="U154" i="2"/>
  <c r="Q154" i="2"/>
  <c r="M154" i="2"/>
  <c r="K154" i="2"/>
  <c r="G154" i="2" s="1"/>
  <c r="AH153" i="2"/>
  <c r="AF153" i="2"/>
  <c r="AE153" i="2" s="1"/>
  <c r="AD153" i="2"/>
  <c r="AC153" i="2"/>
  <c r="AB153" i="2"/>
  <c r="AA153" i="2"/>
  <c r="Y153" i="2"/>
  <c r="U153" i="2"/>
  <c r="Q153" i="2"/>
  <c r="M153" i="2"/>
  <c r="K153" i="2" s="1"/>
  <c r="G153" i="2" s="1"/>
  <c r="L153" i="2"/>
  <c r="AH152" i="2"/>
  <c r="AG152" i="2"/>
  <c r="AF152" i="2"/>
  <c r="AE152" i="2"/>
  <c r="AD152" i="2"/>
  <c r="AC152" i="2"/>
  <c r="AB152" i="2" s="1"/>
  <c r="AA152" i="2"/>
  <c r="Y152" i="2"/>
  <c r="U152" i="2"/>
  <c r="Q152" i="2"/>
  <c r="O152" i="2" s="1"/>
  <c r="M152" i="2"/>
  <c r="K152" i="2" s="1"/>
  <c r="AH151" i="2"/>
  <c r="AF151" i="2"/>
  <c r="AD151" i="2"/>
  <c r="AC151" i="2"/>
  <c r="AB151" i="2" s="1"/>
  <c r="AA151" i="2"/>
  <c r="Y151" i="2"/>
  <c r="U151" i="2"/>
  <c r="Q151" i="2"/>
  <c r="M151" i="2"/>
  <c r="K151" i="2" s="1"/>
  <c r="G151" i="2"/>
  <c r="AH150" i="2"/>
  <c r="AF150" i="2"/>
  <c r="AG150" i="2" s="1"/>
  <c r="AD150" i="2"/>
  <c r="AC150" i="2"/>
  <c r="AB150" i="2"/>
  <c r="AA150" i="2"/>
  <c r="Y150" i="2"/>
  <c r="U150" i="2"/>
  <c r="Q150" i="2"/>
  <c r="M150" i="2"/>
  <c r="K150" i="2"/>
  <c r="G150" i="2" s="1"/>
  <c r="AH149" i="2"/>
  <c r="AG149" i="2"/>
  <c r="AF149" i="2"/>
  <c r="AE149" i="2"/>
  <c r="AD149" i="2"/>
  <c r="AC149" i="2"/>
  <c r="AB149" i="2" s="1"/>
  <c r="Z149" i="2" s="1"/>
  <c r="D149" i="2" s="1"/>
  <c r="AA149" i="2"/>
  <c r="Y149" i="2"/>
  <c r="U149" i="2"/>
  <c r="Q149" i="2"/>
  <c r="M149" i="2"/>
  <c r="K149" i="2" s="1"/>
  <c r="L149" i="2"/>
  <c r="AH148" i="2"/>
  <c r="AG148" i="2"/>
  <c r="AF148" i="2"/>
  <c r="AE148" i="2"/>
  <c r="AD148" i="2"/>
  <c r="AC148" i="2"/>
  <c r="AB148" i="2" s="1"/>
  <c r="AA148" i="2"/>
  <c r="Y148" i="2"/>
  <c r="U148" i="2"/>
  <c r="Q148" i="2"/>
  <c r="M148" i="2"/>
  <c r="K148" i="2" s="1"/>
  <c r="AH147" i="2"/>
  <c r="AF147" i="2"/>
  <c r="AD147" i="2"/>
  <c r="AC147" i="2"/>
  <c r="AB147" i="2"/>
  <c r="AA147" i="2"/>
  <c r="Y147" i="2"/>
  <c r="U147" i="2"/>
  <c r="Q147" i="2"/>
  <c r="O147" i="2" s="1"/>
  <c r="N147" i="2"/>
  <c r="M147" i="2"/>
  <c r="L147" i="2"/>
  <c r="K147" i="2"/>
  <c r="G147" i="2"/>
  <c r="AH146" i="2"/>
  <c r="AG146" i="2"/>
  <c r="AF146" i="2"/>
  <c r="AE146" i="2"/>
  <c r="AD146" i="2"/>
  <c r="AC146" i="2"/>
  <c r="AB146" i="2"/>
  <c r="AA146" i="2"/>
  <c r="Z146" i="2" s="1"/>
  <c r="D146" i="2" s="1"/>
  <c r="Y146" i="2"/>
  <c r="U146" i="2"/>
  <c r="Q146" i="2"/>
  <c r="O146" i="2"/>
  <c r="M146" i="2"/>
  <c r="L146" i="2"/>
  <c r="K146" i="2"/>
  <c r="G146" i="2"/>
  <c r="AH145" i="2"/>
  <c r="AG145" i="2"/>
  <c r="AF145" i="2"/>
  <c r="AE145" i="2"/>
  <c r="AD145" i="2"/>
  <c r="AC145" i="2"/>
  <c r="AB145" i="2" s="1"/>
  <c r="AA145" i="2"/>
  <c r="Z145" i="2"/>
  <c r="D145" i="2" s="1"/>
  <c r="Y145" i="2"/>
  <c r="U145" i="2"/>
  <c r="Q145" i="2"/>
  <c r="M145" i="2"/>
  <c r="K145" i="2"/>
  <c r="O145" i="2" s="1"/>
  <c r="AH144" i="2"/>
  <c r="AF144" i="2"/>
  <c r="AG144" i="2" s="1"/>
  <c r="AD144" i="2"/>
  <c r="AC144" i="2"/>
  <c r="AB144" i="2" s="1"/>
  <c r="AA144" i="2"/>
  <c r="Y144" i="2"/>
  <c r="U144" i="2"/>
  <c r="S144" i="2" s="1"/>
  <c r="Q144" i="2"/>
  <c r="O144" i="2" s="1"/>
  <c r="M144" i="2"/>
  <c r="L144" i="2"/>
  <c r="K144" i="2"/>
  <c r="G144" i="2" s="1"/>
  <c r="AH143" i="2"/>
  <c r="AF143" i="2"/>
  <c r="AG143" i="2" s="1"/>
  <c r="AD143" i="2"/>
  <c r="AC143" i="2"/>
  <c r="AB143" i="2"/>
  <c r="AA143" i="2"/>
  <c r="Y143" i="2"/>
  <c r="U143" i="2"/>
  <c r="Q143" i="2"/>
  <c r="M143" i="2"/>
  <c r="K143" i="2" s="1"/>
  <c r="G143" i="2" s="1"/>
  <c r="L143" i="2"/>
  <c r="AH142" i="2"/>
  <c r="AG142" i="2"/>
  <c r="AF142" i="2"/>
  <c r="AE142" i="2"/>
  <c r="AD142" i="2"/>
  <c r="AC142" i="2"/>
  <c r="AB142" i="2" s="1"/>
  <c r="AA142" i="2"/>
  <c r="Y142" i="2"/>
  <c r="U142" i="2"/>
  <c r="Q142" i="2"/>
  <c r="M142" i="2"/>
  <c r="K142" i="2" s="1"/>
  <c r="AH141" i="2"/>
  <c r="AF141" i="2"/>
  <c r="AD141" i="2"/>
  <c r="AC141" i="2"/>
  <c r="AB141" i="2" s="1"/>
  <c r="AA141" i="2"/>
  <c r="Y141" i="2"/>
  <c r="U141" i="2"/>
  <c r="Q141" i="2"/>
  <c r="O141" i="2" s="1"/>
  <c r="P141" i="2" s="1"/>
  <c r="M141" i="2"/>
  <c r="K141" i="2"/>
  <c r="L141" i="2" s="1"/>
  <c r="G141" i="2"/>
  <c r="AH140" i="2"/>
  <c r="AG140" i="2"/>
  <c r="AF140" i="2"/>
  <c r="AE140" i="2" s="1"/>
  <c r="AD140" i="2"/>
  <c r="AC140" i="2"/>
  <c r="AB140" i="2" s="1"/>
  <c r="AA140" i="2"/>
  <c r="Y140" i="2"/>
  <c r="U140" i="2"/>
  <c r="Q140" i="2"/>
  <c r="M140" i="2"/>
  <c r="K140" i="2" s="1"/>
  <c r="AH139" i="2"/>
  <c r="AG139" i="2"/>
  <c r="AF139" i="2"/>
  <c r="AE139" i="2" s="1"/>
  <c r="Z139" i="2" s="1"/>
  <c r="D139" i="2" s="1"/>
  <c r="AD139" i="2"/>
  <c r="AC139" i="2"/>
  <c r="AB139" i="2"/>
  <c r="AA139" i="2"/>
  <c r="Y139" i="2"/>
  <c r="U139" i="2"/>
  <c r="Q139" i="2"/>
  <c r="O139" i="2" s="1"/>
  <c r="M139" i="2"/>
  <c r="K139" i="2"/>
  <c r="G139" i="2" s="1"/>
  <c r="AH138" i="2"/>
  <c r="AF138" i="2"/>
  <c r="AG138" i="2" s="1"/>
  <c r="AE138" i="2"/>
  <c r="AD138" i="2"/>
  <c r="AC138" i="2"/>
  <c r="AB138" i="2" s="1"/>
  <c r="AA138" i="2"/>
  <c r="Y138" i="2"/>
  <c r="U138" i="2"/>
  <c r="Q138" i="2"/>
  <c r="M138" i="2"/>
  <c r="K138" i="2"/>
  <c r="L138" i="2" s="1"/>
  <c r="AH137" i="2"/>
  <c r="AF137" i="2"/>
  <c r="AE137" i="2" s="1"/>
  <c r="AD137" i="2"/>
  <c r="AC137" i="2"/>
  <c r="AB137" i="2"/>
  <c r="AA137" i="2"/>
  <c r="Y137" i="2"/>
  <c r="U137" i="2"/>
  <c r="Q137" i="2"/>
  <c r="M137" i="2"/>
  <c r="K137" i="2" s="1"/>
  <c r="G137" i="2" s="1"/>
  <c r="AH136" i="2"/>
  <c r="AG136" i="2"/>
  <c r="AF136" i="2"/>
  <c r="AE136" i="2"/>
  <c r="AD136" i="2"/>
  <c r="AC136" i="2"/>
  <c r="AB136" i="2" s="1"/>
  <c r="AA136" i="2"/>
  <c r="Y136" i="2"/>
  <c r="U136" i="2"/>
  <c r="Q136" i="2"/>
  <c r="O136" i="2"/>
  <c r="M136" i="2"/>
  <c r="K136" i="2" s="1"/>
  <c r="AH135" i="2"/>
  <c r="AF135" i="2"/>
  <c r="AD135" i="2"/>
  <c r="AC135" i="2"/>
  <c r="AB135" i="2" s="1"/>
  <c r="AA135" i="2"/>
  <c r="Y135" i="2"/>
  <c r="U135" i="2"/>
  <c r="Q135" i="2"/>
  <c r="M135" i="2"/>
  <c r="K135" i="2" s="1"/>
  <c r="G135" i="2" s="1"/>
  <c r="AH134" i="2"/>
  <c r="AF134" i="2"/>
  <c r="AG134" i="2" s="1"/>
  <c r="AD134" i="2"/>
  <c r="AC134" i="2"/>
  <c r="AB134" i="2"/>
  <c r="AA134" i="2"/>
  <c r="Y134" i="2"/>
  <c r="U134" i="2"/>
  <c r="Q134" i="2"/>
  <c r="M134" i="2"/>
  <c r="K134" i="2"/>
  <c r="AH133" i="2"/>
  <c r="AG133" i="2"/>
  <c r="AF133" i="2"/>
  <c r="AE133" i="2"/>
  <c r="AD133" i="2"/>
  <c r="AC133" i="2"/>
  <c r="AB133" i="2"/>
  <c r="Z133" i="2" s="1"/>
  <c r="D133" i="2" s="1"/>
  <c r="AA133" i="2"/>
  <c r="Y133" i="2"/>
  <c r="U133" i="2"/>
  <c r="Q133" i="2"/>
  <c r="M133" i="2"/>
  <c r="K133" i="2" s="1"/>
  <c r="L133" i="2" s="1"/>
  <c r="AH132" i="2"/>
  <c r="AF132" i="2"/>
  <c r="AD132" i="2"/>
  <c r="AC132" i="2"/>
  <c r="AB132" i="2" s="1"/>
  <c r="AA132" i="2"/>
  <c r="Y132" i="2"/>
  <c r="U132" i="2"/>
  <c r="Q132" i="2"/>
  <c r="O132" i="2" s="1"/>
  <c r="M132" i="2"/>
  <c r="K132" i="2" s="1"/>
  <c r="AH131" i="2"/>
  <c r="AF131" i="2"/>
  <c r="AD131" i="2"/>
  <c r="AC131" i="2"/>
  <c r="AB131" i="2"/>
  <c r="AA131" i="2"/>
  <c r="Y131" i="2"/>
  <c r="U131" i="2"/>
  <c r="S131" i="2" s="1"/>
  <c r="Q131" i="2"/>
  <c r="O131" i="2" s="1"/>
  <c r="P131" i="2"/>
  <c r="N131" i="2"/>
  <c r="M131" i="2"/>
  <c r="L131" i="2"/>
  <c r="K131" i="2"/>
  <c r="G131" i="2"/>
  <c r="AH130" i="2"/>
  <c r="AG130" i="2"/>
  <c r="AF130" i="2"/>
  <c r="AE130" i="2"/>
  <c r="AD130" i="2"/>
  <c r="AC130" i="2"/>
  <c r="AB130" i="2"/>
  <c r="AA130" i="2"/>
  <c r="Z130" i="2" s="1"/>
  <c r="D130" i="2" s="1"/>
  <c r="Y130" i="2"/>
  <c r="U130" i="2"/>
  <c r="S130" i="2" s="1"/>
  <c r="Q130" i="2"/>
  <c r="O130" i="2"/>
  <c r="M130" i="2"/>
  <c r="L130" i="2"/>
  <c r="K130" i="2"/>
  <c r="G130" i="2"/>
  <c r="AH129" i="2"/>
  <c r="AG129" i="2"/>
  <c r="AF129" i="2"/>
  <c r="AE129" i="2"/>
  <c r="AD129" i="2"/>
  <c r="AC129" i="2"/>
  <c r="AB129" i="2" s="1"/>
  <c r="AA129" i="2"/>
  <c r="Z129" i="2"/>
  <c r="D129" i="2" s="1"/>
  <c r="Y129" i="2"/>
  <c r="U129" i="2"/>
  <c r="Q129" i="2"/>
  <c r="O129" i="2"/>
  <c r="M129" i="2"/>
  <c r="K129" i="2"/>
  <c r="AH128" i="2"/>
  <c r="AG128" i="2"/>
  <c r="AF128" i="2"/>
  <c r="AE128" i="2" s="1"/>
  <c r="AD128" i="2"/>
  <c r="AC128" i="2"/>
  <c r="AB128" i="2"/>
  <c r="AA128" i="2"/>
  <c r="Z128" i="2" s="1"/>
  <c r="D128" i="2" s="1"/>
  <c r="Y128" i="2"/>
  <c r="U128" i="2"/>
  <c r="Q128" i="2"/>
  <c r="M128" i="2"/>
  <c r="K128" i="2"/>
  <c r="L128" i="2" s="1"/>
  <c r="AH127" i="2"/>
  <c r="AF127" i="2"/>
  <c r="AG127" i="2" s="1"/>
  <c r="AD127" i="2"/>
  <c r="AC127" i="2"/>
  <c r="AB127" i="2"/>
  <c r="AA127" i="2"/>
  <c r="Y127" i="2"/>
  <c r="U127" i="2"/>
  <c r="Q127" i="2"/>
  <c r="M127" i="2"/>
  <c r="K127" i="2" s="1"/>
  <c r="G127" i="2" s="1"/>
  <c r="L127" i="2"/>
  <c r="AH126" i="2"/>
  <c r="AG126" i="2"/>
  <c r="AF126" i="2"/>
  <c r="AE126" i="2"/>
  <c r="AD126" i="2"/>
  <c r="AC126" i="2"/>
  <c r="AB126" i="2" s="1"/>
  <c r="AA126" i="2"/>
  <c r="Y126" i="2"/>
  <c r="U126" i="2"/>
  <c r="Q126" i="2"/>
  <c r="O126" i="2" s="1"/>
  <c r="M126" i="2"/>
  <c r="K126" i="2"/>
  <c r="AH125" i="2"/>
  <c r="AF125" i="2"/>
  <c r="AD125" i="2"/>
  <c r="AC125" i="2"/>
  <c r="AB125" i="2" s="1"/>
  <c r="AA125" i="2"/>
  <c r="Y125" i="2"/>
  <c r="U125" i="2"/>
  <c r="Q125" i="2"/>
  <c r="M125" i="2"/>
  <c r="K125" i="2"/>
  <c r="L125" i="2" s="1"/>
  <c r="AH124" i="2"/>
  <c r="AG124" i="2"/>
  <c r="AF124" i="2"/>
  <c r="AE124" i="2" s="1"/>
  <c r="AD124" i="2"/>
  <c r="AC124" i="2"/>
  <c r="AB124" i="2" s="1"/>
  <c r="Z124" i="2" s="1"/>
  <c r="D124" i="2" s="1"/>
  <c r="AA124" i="2"/>
  <c r="Y124" i="2"/>
  <c r="U124" i="2"/>
  <c r="Q124" i="2"/>
  <c r="M124" i="2"/>
  <c r="K124" i="2" s="1"/>
  <c r="AH123" i="2"/>
  <c r="AG123" i="2"/>
  <c r="AF123" i="2"/>
  <c r="AE123" i="2" s="1"/>
  <c r="Z123" i="2" s="1"/>
  <c r="D123" i="2" s="1"/>
  <c r="AD123" i="2"/>
  <c r="AC123" i="2"/>
  <c r="AB123" i="2"/>
  <c r="AA123" i="2"/>
  <c r="Y123" i="2"/>
  <c r="U123" i="2"/>
  <c r="Q123" i="2"/>
  <c r="M123" i="2"/>
  <c r="K123" i="2" s="1"/>
  <c r="AH122" i="2"/>
  <c r="AF122" i="2"/>
  <c r="AG122" i="2" s="1"/>
  <c r="AE122" i="2"/>
  <c r="AD122" i="2"/>
  <c r="AC122" i="2"/>
  <c r="AB122" i="2" s="1"/>
  <c r="AA122" i="2"/>
  <c r="Z122" i="2" s="1"/>
  <c r="Y122" i="2"/>
  <c r="U122" i="2"/>
  <c r="Q122" i="2"/>
  <c r="M122" i="2"/>
  <c r="K122" i="2" s="1"/>
  <c r="G122" i="2"/>
  <c r="D122" i="2"/>
  <c r="AH121" i="2"/>
  <c r="AF121" i="2"/>
  <c r="AE121" i="2" s="1"/>
  <c r="AD121" i="2"/>
  <c r="AC121" i="2"/>
  <c r="AB121" i="2"/>
  <c r="AA121" i="2"/>
  <c r="Y121" i="2"/>
  <c r="U121" i="2"/>
  <c r="S121" i="2"/>
  <c r="R121" i="2" s="1"/>
  <c r="Q121" i="2"/>
  <c r="O121" i="2" s="1"/>
  <c r="P121" i="2"/>
  <c r="M121" i="2"/>
  <c r="K121" i="2" s="1"/>
  <c r="G121" i="2" s="1"/>
  <c r="L121" i="2"/>
  <c r="AH120" i="2"/>
  <c r="AG120" i="2"/>
  <c r="AF120" i="2"/>
  <c r="AE120" i="2"/>
  <c r="AD120" i="2"/>
  <c r="AC120" i="2"/>
  <c r="AB120" i="2" s="1"/>
  <c r="AA120" i="2"/>
  <c r="Y120" i="2"/>
  <c r="U120" i="2"/>
  <c r="Q120" i="2"/>
  <c r="O120" i="2" s="1"/>
  <c r="M120" i="2"/>
  <c r="K120" i="2" s="1"/>
  <c r="AH119" i="2"/>
  <c r="AF119" i="2"/>
  <c r="AD119" i="2"/>
  <c r="AC119" i="2"/>
  <c r="AB119" i="2"/>
  <c r="AA119" i="2"/>
  <c r="Y119" i="2"/>
  <c r="U119" i="2"/>
  <c r="Q119" i="2"/>
  <c r="O119" i="2" s="1"/>
  <c r="P119" i="2" s="1"/>
  <c r="M119" i="2"/>
  <c r="K119" i="2"/>
  <c r="L119" i="2" s="1"/>
  <c r="AH118" i="2"/>
  <c r="AF118" i="2"/>
  <c r="AG118" i="2" s="1"/>
  <c r="AE118" i="2"/>
  <c r="AD118" i="2"/>
  <c r="AC118" i="2"/>
  <c r="AB118" i="2"/>
  <c r="AA118" i="2"/>
  <c r="Y118" i="2"/>
  <c r="U118" i="2"/>
  <c r="Q118" i="2"/>
  <c r="M118" i="2"/>
  <c r="K118" i="2"/>
  <c r="G118" i="2"/>
  <c r="AH117" i="2"/>
  <c r="AF117" i="2"/>
  <c r="AG117" i="2" s="1"/>
  <c r="AE117" i="2"/>
  <c r="Z117" i="2" s="1"/>
  <c r="D117" i="2" s="1"/>
  <c r="AD117" i="2"/>
  <c r="AC117" i="2"/>
  <c r="AB117" i="2"/>
  <c r="AA117" i="2"/>
  <c r="Y117" i="2"/>
  <c r="U117" i="2"/>
  <c r="Q117" i="2"/>
  <c r="O117" i="2" s="1"/>
  <c r="M117" i="2"/>
  <c r="K117" i="2" s="1"/>
  <c r="AH116" i="2"/>
  <c r="AF116" i="2"/>
  <c r="AG116" i="2" s="1"/>
  <c r="AD116" i="2"/>
  <c r="AC116" i="2"/>
  <c r="AB116" i="2" s="1"/>
  <c r="AA116" i="2"/>
  <c r="Y116" i="2"/>
  <c r="U116" i="2"/>
  <c r="Q116" i="2"/>
  <c r="M116" i="2"/>
  <c r="K116" i="2" s="1"/>
  <c r="AH115" i="2"/>
  <c r="AF115" i="2"/>
  <c r="AE115" i="2" s="1"/>
  <c r="AD115" i="2"/>
  <c r="AC115" i="2"/>
  <c r="AB115" i="2"/>
  <c r="AA115" i="2"/>
  <c r="Y115" i="2"/>
  <c r="U115" i="2"/>
  <c r="Q115" i="2"/>
  <c r="M115" i="2"/>
  <c r="K115" i="2" s="1"/>
  <c r="AH114" i="2"/>
  <c r="AG114" i="2"/>
  <c r="AF114" i="2"/>
  <c r="AE114" i="2"/>
  <c r="AD114" i="2"/>
  <c r="AC114" i="2"/>
  <c r="AB114" i="2"/>
  <c r="AA114" i="2"/>
  <c r="Y114" i="2"/>
  <c r="U114" i="2"/>
  <c r="Q114" i="2"/>
  <c r="O114" i="2" s="1"/>
  <c r="M114" i="2"/>
  <c r="K114" i="2"/>
  <c r="L114" i="2" s="1"/>
  <c r="AH113" i="2"/>
  <c r="AF113" i="2"/>
  <c r="AG113" i="2" s="1"/>
  <c r="AE113" i="2"/>
  <c r="AD113" i="2"/>
  <c r="AC113" i="2"/>
  <c r="AB113" i="2" s="1"/>
  <c r="AA113" i="2"/>
  <c r="Y113" i="2"/>
  <c r="U113" i="2"/>
  <c r="Q113" i="2"/>
  <c r="M113" i="2"/>
  <c r="K113" i="2" s="1"/>
  <c r="AH112" i="2"/>
  <c r="AG112" i="2"/>
  <c r="AF112" i="2"/>
  <c r="AE112" i="2" s="1"/>
  <c r="AD112" i="2"/>
  <c r="AC112" i="2"/>
  <c r="AB112" i="2"/>
  <c r="AA112" i="2"/>
  <c r="Z112" i="2" s="1"/>
  <c r="D112" i="2" s="1"/>
  <c r="Y112" i="2"/>
  <c r="U112" i="2"/>
  <c r="S112" i="2" s="1"/>
  <c r="Q112" i="2"/>
  <c r="O112" i="2" s="1"/>
  <c r="M112" i="2"/>
  <c r="K112" i="2"/>
  <c r="L112" i="2" s="1"/>
  <c r="G112" i="2"/>
  <c r="AH111" i="2"/>
  <c r="AG111" i="2"/>
  <c r="AF111" i="2"/>
  <c r="AE111" i="2"/>
  <c r="AD111" i="2"/>
  <c r="AC111" i="2"/>
  <c r="AB111" i="2"/>
  <c r="AA111" i="2"/>
  <c r="Y111" i="2"/>
  <c r="U111" i="2"/>
  <c r="Q111" i="2"/>
  <c r="M111" i="2"/>
  <c r="K111" i="2"/>
  <c r="AH110" i="2"/>
  <c r="AF110" i="2"/>
  <c r="AG110" i="2" s="1"/>
  <c r="AE110" i="2"/>
  <c r="AD110" i="2"/>
  <c r="AC110" i="2"/>
  <c r="AB110" i="2" s="1"/>
  <c r="AA110" i="2"/>
  <c r="Y110" i="2"/>
  <c r="U110" i="2"/>
  <c r="Q110" i="2"/>
  <c r="M110" i="2"/>
  <c r="K110" i="2" s="1"/>
  <c r="AH109" i="2"/>
  <c r="AF109" i="2"/>
  <c r="AD109" i="2"/>
  <c r="AC109" i="2"/>
  <c r="AB109" i="2" s="1"/>
  <c r="AA109" i="2"/>
  <c r="Y109" i="2"/>
  <c r="U109" i="2"/>
  <c r="Q109" i="2"/>
  <c r="O109" i="2" s="1"/>
  <c r="S109" i="2" s="1"/>
  <c r="P109" i="2"/>
  <c r="N109" i="2"/>
  <c r="M109" i="2"/>
  <c r="K109" i="2"/>
  <c r="L109" i="2" s="1"/>
  <c r="G109" i="2"/>
  <c r="AH108" i="2"/>
  <c r="AG108" i="2"/>
  <c r="AF108" i="2"/>
  <c r="AE108" i="2" s="1"/>
  <c r="AD108" i="2"/>
  <c r="AC108" i="2"/>
  <c r="AB108" i="2" s="1"/>
  <c r="Z108" i="2" s="1"/>
  <c r="D108" i="2" s="1"/>
  <c r="AA108" i="2"/>
  <c r="Y108" i="2"/>
  <c r="U108" i="2"/>
  <c r="Q108" i="2"/>
  <c r="M108" i="2"/>
  <c r="K108" i="2" s="1"/>
  <c r="AH107" i="2"/>
  <c r="AF107" i="2"/>
  <c r="AD107" i="2"/>
  <c r="AC107" i="2"/>
  <c r="AB107" i="2" s="1"/>
  <c r="AA107" i="2"/>
  <c r="Y107" i="2"/>
  <c r="U107" i="2"/>
  <c r="Q107" i="2"/>
  <c r="M107" i="2"/>
  <c r="K107" i="2"/>
  <c r="G107" i="2" s="1"/>
  <c r="AH106" i="2"/>
  <c r="AF106" i="2"/>
  <c r="AG106" i="2" s="1"/>
  <c r="AD106" i="2"/>
  <c r="AC106" i="2"/>
  <c r="AB106" i="2" s="1"/>
  <c r="AA106" i="2"/>
  <c r="Y106" i="2"/>
  <c r="U106" i="2"/>
  <c r="Q106" i="2"/>
  <c r="M106" i="2"/>
  <c r="K106" i="2"/>
  <c r="AH105" i="2"/>
  <c r="AF105" i="2"/>
  <c r="AG105" i="2" s="1"/>
  <c r="AD105" i="2"/>
  <c r="AC105" i="2"/>
  <c r="AB105" i="2" s="1"/>
  <c r="AA105" i="2"/>
  <c r="Y105" i="2"/>
  <c r="U105" i="2"/>
  <c r="Q105" i="2"/>
  <c r="O105" i="2" s="1"/>
  <c r="P105" i="2"/>
  <c r="M105" i="2"/>
  <c r="K105" i="2" s="1"/>
  <c r="G105" i="2" s="1"/>
  <c r="L105" i="2"/>
  <c r="AH104" i="2"/>
  <c r="AF104" i="2"/>
  <c r="AG104" i="2" s="1"/>
  <c r="AE104" i="2"/>
  <c r="AD104" i="2"/>
  <c r="AC104" i="2"/>
  <c r="AB104" i="2" s="1"/>
  <c r="Z104" i="2" s="1"/>
  <c r="D104" i="2" s="1"/>
  <c r="AA104" i="2"/>
  <c r="Y104" i="2"/>
  <c r="U104" i="2"/>
  <c r="Q104" i="2"/>
  <c r="O104" i="2"/>
  <c r="N104" i="2" s="1"/>
  <c r="M104" i="2"/>
  <c r="K104" i="2" s="1"/>
  <c r="AH103" i="2"/>
  <c r="AF103" i="2"/>
  <c r="AD103" i="2"/>
  <c r="AC103" i="2"/>
  <c r="AB103" i="2"/>
  <c r="AA103" i="2"/>
  <c r="Y103" i="2"/>
  <c r="U103" i="2"/>
  <c r="S103" i="2" s="1"/>
  <c r="Q103" i="2"/>
  <c r="O103" i="2" s="1"/>
  <c r="N103" i="2" s="1"/>
  <c r="P103" i="2"/>
  <c r="M103" i="2"/>
  <c r="L103" i="2"/>
  <c r="K103" i="2"/>
  <c r="G103" i="2"/>
  <c r="AH102" i="2"/>
  <c r="AF102" i="2"/>
  <c r="AG102" i="2" s="1"/>
  <c r="AE102" i="2"/>
  <c r="AD102" i="2"/>
  <c r="AC102" i="2"/>
  <c r="AB102" i="2"/>
  <c r="AA102" i="2"/>
  <c r="Z102" i="2"/>
  <c r="D102" i="2" s="1"/>
  <c r="Y102" i="2"/>
  <c r="U102" i="2"/>
  <c r="Q102" i="2"/>
  <c r="O102" i="2"/>
  <c r="M102" i="2"/>
  <c r="L102" i="2"/>
  <c r="K102" i="2"/>
  <c r="G102" i="2"/>
  <c r="AH101" i="2"/>
  <c r="AG101" i="2"/>
  <c r="AF101" i="2"/>
  <c r="AE101" i="2"/>
  <c r="AD101" i="2"/>
  <c r="AC101" i="2"/>
  <c r="AB101" i="2" s="1"/>
  <c r="AA101" i="2"/>
  <c r="Z101" i="2" s="1"/>
  <c r="D101" i="2" s="1"/>
  <c r="Y101" i="2"/>
  <c r="U101" i="2"/>
  <c r="Q101" i="2"/>
  <c r="M101" i="2"/>
  <c r="L101" i="2"/>
  <c r="K101" i="2"/>
  <c r="AH100" i="2"/>
  <c r="AF100" i="2"/>
  <c r="AG100" i="2" s="1"/>
  <c r="AE100" i="2"/>
  <c r="AD100" i="2"/>
  <c r="AC100" i="2"/>
  <c r="AB100" i="2" s="1"/>
  <c r="AA100" i="2"/>
  <c r="Y100" i="2"/>
  <c r="U100" i="2"/>
  <c r="Q100" i="2"/>
  <c r="M100" i="2"/>
  <c r="L100" i="2"/>
  <c r="K100" i="2"/>
  <c r="G100" i="2" s="1"/>
  <c r="AH99" i="2"/>
  <c r="AG99" i="2"/>
  <c r="AF99" i="2"/>
  <c r="AE99" i="2" s="1"/>
  <c r="AD99" i="2"/>
  <c r="AC99" i="2"/>
  <c r="AB99" i="2"/>
  <c r="AA99" i="2"/>
  <c r="Y99" i="2"/>
  <c r="U99" i="2"/>
  <c r="Q99" i="2"/>
  <c r="M99" i="2"/>
  <c r="K99" i="2" s="1"/>
  <c r="L99" i="2"/>
  <c r="AH98" i="2"/>
  <c r="AF98" i="2"/>
  <c r="AG98" i="2" s="1"/>
  <c r="AD98" i="2"/>
  <c r="AC98" i="2"/>
  <c r="AB98" i="2"/>
  <c r="AA98" i="2"/>
  <c r="Y98" i="2"/>
  <c r="U98" i="2"/>
  <c r="Q98" i="2"/>
  <c r="M98" i="2"/>
  <c r="K98" i="2"/>
  <c r="AH97" i="2"/>
  <c r="AF97" i="2"/>
  <c r="AG97" i="2" s="1"/>
  <c r="AE97" i="2"/>
  <c r="AD97" i="2"/>
  <c r="AC97" i="2"/>
  <c r="AB97" i="2" s="1"/>
  <c r="AA97" i="2"/>
  <c r="Y97" i="2"/>
  <c r="U97" i="2"/>
  <c r="Q97" i="2"/>
  <c r="M97" i="2"/>
  <c r="K97" i="2"/>
  <c r="G97" i="2"/>
  <c r="AH96" i="2"/>
  <c r="AG96" i="2"/>
  <c r="AF96" i="2"/>
  <c r="AE96" i="2" s="1"/>
  <c r="AD96" i="2"/>
  <c r="AC96" i="2"/>
  <c r="AB96" i="2"/>
  <c r="AA96" i="2"/>
  <c r="Y96" i="2"/>
  <c r="U96" i="2"/>
  <c r="Q96" i="2"/>
  <c r="M96" i="2"/>
  <c r="K96" i="2"/>
  <c r="L96" i="2" s="1"/>
  <c r="G96" i="2"/>
  <c r="AH95" i="2"/>
  <c r="AG95" i="2"/>
  <c r="AF95" i="2"/>
  <c r="AE95" i="2"/>
  <c r="AD95" i="2"/>
  <c r="AC95" i="2"/>
  <c r="AB95" i="2" s="1"/>
  <c r="Z95" i="2" s="1"/>
  <c r="D95" i="2" s="1"/>
  <c r="AA95" i="2"/>
  <c r="Y95" i="2"/>
  <c r="U95" i="2"/>
  <c r="Q95" i="2"/>
  <c r="M95" i="2"/>
  <c r="K95" i="2" s="1"/>
  <c r="AH94" i="2"/>
  <c r="AG94" i="2"/>
  <c r="AF94" i="2"/>
  <c r="AE94" i="2" s="1"/>
  <c r="AD94" i="2"/>
  <c r="AC94" i="2"/>
  <c r="AB94" i="2"/>
  <c r="AA94" i="2"/>
  <c r="Y94" i="2"/>
  <c r="U94" i="2"/>
  <c r="Q94" i="2"/>
  <c r="M94" i="2"/>
  <c r="K94" i="2" s="1"/>
  <c r="O94" i="2" s="1"/>
  <c r="AH93" i="2"/>
  <c r="AG93" i="2"/>
  <c r="AF93" i="2"/>
  <c r="AE93" i="2" s="1"/>
  <c r="AD93" i="2"/>
  <c r="AC93" i="2"/>
  <c r="AB93" i="2"/>
  <c r="AA93" i="2"/>
  <c r="Z93" i="2"/>
  <c r="D93" i="2" s="1"/>
  <c r="Y93" i="2"/>
  <c r="U93" i="2"/>
  <c r="S93" i="2" s="1"/>
  <c r="Q93" i="2"/>
  <c r="O93" i="2"/>
  <c r="P93" i="2" s="1"/>
  <c r="M93" i="2"/>
  <c r="K93" i="2"/>
  <c r="L93" i="2" s="1"/>
  <c r="G93" i="2"/>
  <c r="AH92" i="2"/>
  <c r="AG92" i="2"/>
  <c r="AF92" i="2"/>
  <c r="AE92" i="2" s="1"/>
  <c r="AD92" i="2"/>
  <c r="AC92" i="2"/>
  <c r="AB92" i="2" s="1"/>
  <c r="Z92" i="2" s="1"/>
  <c r="D92" i="2" s="1"/>
  <c r="AA92" i="2"/>
  <c r="Y92" i="2"/>
  <c r="U92" i="2"/>
  <c r="Q92" i="2"/>
  <c r="M92" i="2"/>
  <c r="K92" i="2" s="1"/>
  <c r="G92" i="2" s="1"/>
  <c r="L92" i="2"/>
  <c r="AH91" i="2"/>
  <c r="AG91" i="2"/>
  <c r="AF91" i="2"/>
  <c r="AE91" i="2"/>
  <c r="AD91" i="2"/>
  <c r="AC91" i="2"/>
  <c r="AB91" i="2"/>
  <c r="AA91" i="2"/>
  <c r="Z91" i="2" s="1"/>
  <c r="D91" i="2" s="1"/>
  <c r="Y91" i="2"/>
  <c r="U91" i="2"/>
  <c r="Q91" i="2"/>
  <c r="O91" i="2" s="1"/>
  <c r="M91" i="2"/>
  <c r="K91" i="2"/>
  <c r="L91" i="2" s="1"/>
  <c r="AH90" i="2"/>
  <c r="AF90" i="2"/>
  <c r="AD90" i="2"/>
  <c r="AC90" i="2"/>
  <c r="AB90" i="2"/>
  <c r="AA90" i="2"/>
  <c r="Y90" i="2"/>
  <c r="U90" i="2"/>
  <c r="Q90" i="2"/>
  <c r="M90" i="2"/>
  <c r="K90" i="2" s="1"/>
  <c r="AH89" i="2"/>
  <c r="AG89" i="2"/>
  <c r="AF89" i="2"/>
  <c r="AE89" i="2"/>
  <c r="AD89" i="2"/>
  <c r="AC89" i="2"/>
  <c r="AB89" i="2" s="1"/>
  <c r="AA89" i="2"/>
  <c r="Y89" i="2"/>
  <c r="U89" i="2"/>
  <c r="Q89" i="2"/>
  <c r="M89" i="2"/>
  <c r="K89" i="2" s="1"/>
  <c r="AH88" i="2"/>
  <c r="AF88" i="2"/>
  <c r="AG88" i="2" s="1"/>
  <c r="AE88" i="2"/>
  <c r="AD88" i="2"/>
  <c r="AC88" i="2"/>
  <c r="AB88" i="2" s="1"/>
  <c r="AA88" i="2"/>
  <c r="Y88" i="2"/>
  <c r="U88" i="2"/>
  <c r="Q88" i="2"/>
  <c r="M88" i="2"/>
  <c r="K88" i="2" s="1"/>
  <c r="AH87" i="2"/>
  <c r="AF87" i="2"/>
  <c r="AD87" i="2"/>
  <c r="AC87" i="2"/>
  <c r="AB87" i="2" s="1"/>
  <c r="AA87" i="2"/>
  <c r="Y87" i="2"/>
  <c r="U87" i="2"/>
  <c r="Q87" i="2"/>
  <c r="O87" i="2"/>
  <c r="N87" i="2" s="1"/>
  <c r="M87" i="2"/>
  <c r="K87" i="2" s="1"/>
  <c r="AH86" i="2"/>
  <c r="AF86" i="2"/>
  <c r="AD86" i="2"/>
  <c r="AC86" i="2"/>
  <c r="AB86" i="2"/>
  <c r="AA86" i="2"/>
  <c r="Y86" i="2"/>
  <c r="U86" i="2"/>
  <c r="Q86" i="2"/>
  <c r="O86" i="2" s="1"/>
  <c r="N86" i="2" s="1"/>
  <c r="M86" i="2"/>
  <c r="K86" i="2"/>
  <c r="L86" i="2" s="1"/>
  <c r="AH85" i="2"/>
  <c r="AG85" i="2"/>
  <c r="AF85" i="2"/>
  <c r="AE85" i="2"/>
  <c r="AD85" i="2"/>
  <c r="AC85" i="2"/>
  <c r="AB85" i="2"/>
  <c r="AA85" i="2"/>
  <c r="Z85" i="2" s="1"/>
  <c r="D85" i="2" s="1"/>
  <c r="Y85" i="2"/>
  <c r="U85" i="2"/>
  <c r="Q85" i="2"/>
  <c r="O85" i="2" s="1"/>
  <c r="M85" i="2"/>
  <c r="L85" i="2"/>
  <c r="K85" i="2"/>
  <c r="G85" i="2"/>
  <c r="AH84" i="2"/>
  <c r="AG84" i="2"/>
  <c r="AF84" i="2"/>
  <c r="AE84" i="2"/>
  <c r="AD84" i="2"/>
  <c r="AC84" i="2"/>
  <c r="AB84" i="2" s="1"/>
  <c r="Z84" i="2" s="1"/>
  <c r="D84" i="2" s="1"/>
  <c r="AA84" i="2"/>
  <c r="Y84" i="2"/>
  <c r="U84" i="2"/>
  <c r="S84" i="2" s="1"/>
  <c r="Q84" i="2"/>
  <c r="O84" i="2"/>
  <c r="P84" i="2" s="1"/>
  <c r="M84" i="2"/>
  <c r="K84" i="2"/>
  <c r="L84" i="2" s="1"/>
  <c r="AH83" i="2"/>
  <c r="AG83" i="2"/>
  <c r="AF83" i="2"/>
  <c r="AE83" i="2" s="1"/>
  <c r="AD83" i="2"/>
  <c r="AC83" i="2"/>
  <c r="AB83" i="2"/>
  <c r="AA83" i="2"/>
  <c r="Z83" i="2" s="1"/>
  <c r="D83" i="2" s="1"/>
  <c r="Y83" i="2"/>
  <c r="U83" i="2"/>
  <c r="Q83" i="2"/>
  <c r="M83" i="2"/>
  <c r="L83" i="2"/>
  <c r="K83" i="2"/>
  <c r="G83" i="2" s="1"/>
  <c r="AH82" i="2"/>
  <c r="AF82" i="2"/>
  <c r="AG82" i="2" s="1"/>
  <c r="AE82" i="2"/>
  <c r="AD82" i="2"/>
  <c r="AC82" i="2"/>
  <c r="AB82" i="2"/>
  <c r="AA82" i="2"/>
  <c r="Y82" i="2"/>
  <c r="U82" i="2"/>
  <c r="S82" i="2" s="1"/>
  <c r="Q82" i="2"/>
  <c r="O82" i="2"/>
  <c r="P82" i="2" s="1"/>
  <c r="M82" i="2"/>
  <c r="K82" i="2" s="1"/>
  <c r="G82" i="2" s="1"/>
  <c r="L82" i="2"/>
  <c r="AH81" i="2"/>
  <c r="AG81" i="2"/>
  <c r="AF81" i="2"/>
  <c r="AE81" i="2"/>
  <c r="AD81" i="2"/>
  <c r="AC81" i="2"/>
  <c r="AB81" i="2" s="1"/>
  <c r="AA81" i="2"/>
  <c r="Y81" i="2"/>
  <c r="U81" i="2"/>
  <c r="Q81" i="2"/>
  <c r="O81" i="2" s="1"/>
  <c r="M81" i="2"/>
  <c r="K81" i="2"/>
  <c r="L81" i="2" s="1"/>
  <c r="G81" i="2" s="1"/>
  <c r="AH80" i="2"/>
  <c r="AF80" i="2"/>
  <c r="AG80" i="2" s="1"/>
  <c r="AD80" i="2"/>
  <c r="AC80" i="2"/>
  <c r="AB80" i="2" s="1"/>
  <c r="AA80" i="2"/>
  <c r="Y80" i="2"/>
  <c r="U80" i="2"/>
  <c r="S80" i="2" s="1"/>
  <c r="W80" i="2" s="1"/>
  <c r="Q80" i="2"/>
  <c r="O80" i="2" s="1"/>
  <c r="M80" i="2"/>
  <c r="K80" i="2"/>
  <c r="L80" i="2" s="1"/>
  <c r="AH79" i="2"/>
  <c r="AF79" i="2"/>
  <c r="AG79" i="2" s="1"/>
  <c r="AD79" i="2"/>
  <c r="AC79" i="2"/>
  <c r="AB79" i="2" s="1"/>
  <c r="AA79" i="2"/>
  <c r="Y79" i="2"/>
  <c r="U79" i="2"/>
  <c r="Q79" i="2"/>
  <c r="M79" i="2"/>
  <c r="K79" i="2" s="1"/>
  <c r="L79" i="2" s="1"/>
  <c r="AH78" i="2"/>
  <c r="AG78" i="2"/>
  <c r="AF78" i="2"/>
  <c r="AE78" i="2" s="1"/>
  <c r="AD78" i="2"/>
  <c r="AC78" i="2"/>
  <c r="AB78" i="2"/>
  <c r="AA78" i="2"/>
  <c r="Z78" i="2" s="1"/>
  <c r="D78" i="2" s="1"/>
  <c r="Y78" i="2"/>
  <c r="U78" i="2"/>
  <c r="Q78" i="2"/>
  <c r="M78" i="2"/>
  <c r="K78" i="2"/>
  <c r="AH77" i="2"/>
  <c r="AF77" i="2"/>
  <c r="AG77" i="2" s="1"/>
  <c r="AE77" i="2"/>
  <c r="AD77" i="2"/>
  <c r="AC77" i="2"/>
  <c r="AB77" i="2" s="1"/>
  <c r="AA77" i="2"/>
  <c r="Y77" i="2"/>
  <c r="U77" i="2"/>
  <c r="Q77" i="2"/>
  <c r="M77" i="2"/>
  <c r="K77" i="2" s="1"/>
  <c r="AH76" i="2"/>
  <c r="AG76" i="2"/>
  <c r="AF76" i="2"/>
  <c r="AE76" i="2" s="1"/>
  <c r="AD76" i="2"/>
  <c r="AC76" i="2"/>
  <c r="AB76" i="2"/>
  <c r="AA76" i="2"/>
  <c r="Y76" i="2"/>
  <c r="U76" i="2"/>
  <c r="Q76" i="2"/>
  <c r="O76" i="2" s="1"/>
  <c r="S76" i="2" s="1"/>
  <c r="P76" i="2"/>
  <c r="M76" i="2"/>
  <c r="K76" i="2" s="1"/>
  <c r="AH75" i="2"/>
  <c r="AG75" i="2"/>
  <c r="Z75" i="2" s="1"/>
  <c r="AF75" i="2"/>
  <c r="AE75" i="2"/>
  <c r="AD75" i="2"/>
  <c r="AC75" i="2"/>
  <c r="AB75" i="2"/>
  <c r="AA75" i="2"/>
  <c r="Y75" i="2"/>
  <c r="U75" i="2"/>
  <c r="Q75" i="2"/>
  <c r="M75" i="2"/>
  <c r="K75" i="2" s="1"/>
  <c r="D75" i="2"/>
  <c r="AH74" i="2"/>
  <c r="AF74" i="2"/>
  <c r="AG74" i="2" s="1"/>
  <c r="AD74" i="2"/>
  <c r="AC74" i="2"/>
  <c r="AB74" i="2" s="1"/>
  <c r="AA74" i="2"/>
  <c r="Y74" i="2"/>
  <c r="U74" i="2"/>
  <c r="Q74" i="2"/>
  <c r="M74" i="2"/>
  <c r="K74" i="2" s="1"/>
  <c r="AH73" i="2"/>
  <c r="AF73" i="2"/>
  <c r="AG73" i="2" s="1"/>
  <c r="AD73" i="2"/>
  <c r="AC73" i="2"/>
  <c r="AB73" i="2"/>
  <c r="AA73" i="2"/>
  <c r="Y73" i="2"/>
  <c r="U73" i="2"/>
  <c r="Q73" i="2"/>
  <c r="M73" i="2"/>
  <c r="K73" i="2"/>
  <c r="O73" i="2" s="1"/>
  <c r="G73" i="2"/>
  <c r="AH72" i="2"/>
  <c r="AG72" i="2"/>
  <c r="AF72" i="2"/>
  <c r="AE72" i="2"/>
  <c r="AD72" i="2"/>
  <c r="AC72" i="2"/>
  <c r="AB72" i="2" s="1"/>
  <c r="Z72" i="2" s="1"/>
  <c r="D72" i="2" s="1"/>
  <c r="AA72" i="2"/>
  <c r="Y72" i="2"/>
  <c r="U72" i="2"/>
  <c r="Q72" i="2"/>
  <c r="M72" i="2"/>
  <c r="K72" i="2" s="1"/>
  <c r="L72" i="2"/>
  <c r="AH71" i="2"/>
  <c r="AF71" i="2"/>
  <c r="AG71" i="2" s="1"/>
  <c r="AE71" i="2"/>
  <c r="AD71" i="2"/>
  <c r="AC71" i="2"/>
  <c r="AB71" i="2" s="1"/>
  <c r="AA71" i="2"/>
  <c r="Z71" i="2" s="1"/>
  <c r="D71" i="2" s="1"/>
  <c r="Y71" i="2"/>
  <c r="U71" i="2"/>
  <c r="Q71" i="2"/>
  <c r="P71" i="2"/>
  <c r="O71" i="2"/>
  <c r="M71" i="2"/>
  <c r="K71" i="2" s="1"/>
  <c r="AJ70" i="2"/>
  <c r="I70" i="2" s="1"/>
  <c r="AH70" i="2"/>
  <c r="AF70" i="2"/>
  <c r="AD70" i="2"/>
  <c r="AC70" i="2"/>
  <c r="AB70" i="2"/>
  <c r="AA70" i="2"/>
  <c r="Y70" i="2"/>
  <c r="W70" i="2" s="1"/>
  <c r="U70" i="2"/>
  <c r="S70" i="2"/>
  <c r="T70" i="2" s="1"/>
  <c r="Q70" i="2"/>
  <c r="O70" i="2" s="1"/>
  <c r="P70" i="2"/>
  <c r="M70" i="2"/>
  <c r="L70" i="2"/>
  <c r="K70" i="2"/>
  <c r="G70" i="2" s="1"/>
  <c r="AH69" i="2"/>
  <c r="AG69" i="2"/>
  <c r="AF69" i="2"/>
  <c r="AE69" i="2"/>
  <c r="AD69" i="2"/>
  <c r="AC69" i="2"/>
  <c r="AB69" i="2"/>
  <c r="AA69" i="2"/>
  <c r="Z69" i="2" s="1"/>
  <c r="D69" i="2" s="1"/>
  <c r="Y69" i="2"/>
  <c r="U69" i="2"/>
  <c r="S69" i="2" s="1"/>
  <c r="Q69" i="2"/>
  <c r="M69" i="2"/>
  <c r="L69" i="2"/>
  <c r="G69" i="2" s="1"/>
  <c r="K69" i="2"/>
  <c r="O69" i="2" s="1"/>
  <c r="AH68" i="2"/>
  <c r="AG68" i="2"/>
  <c r="AF68" i="2"/>
  <c r="AE68" i="2"/>
  <c r="AD68" i="2"/>
  <c r="AC68" i="2"/>
  <c r="AB68" i="2" s="1"/>
  <c r="Z68" i="2" s="1"/>
  <c r="D68" i="2" s="1"/>
  <c r="AA68" i="2"/>
  <c r="Y68" i="2"/>
  <c r="W68" i="2" s="1"/>
  <c r="X68" i="2"/>
  <c r="U68" i="2"/>
  <c r="Q68" i="2"/>
  <c r="O68" i="2"/>
  <c r="S68" i="2" s="1"/>
  <c r="M68" i="2"/>
  <c r="K68" i="2"/>
  <c r="L68" i="2" s="1"/>
  <c r="AH67" i="2"/>
  <c r="AG67" i="2"/>
  <c r="AF67" i="2"/>
  <c r="AE67" i="2" s="1"/>
  <c r="AD67" i="2"/>
  <c r="AC67" i="2"/>
  <c r="AB67" i="2"/>
  <c r="AA67" i="2"/>
  <c r="Y67" i="2"/>
  <c r="U67" i="2"/>
  <c r="S67" i="2" s="1"/>
  <c r="Q67" i="2"/>
  <c r="O67" i="2" s="1"/>
  <c r="M67" i="2"/>
  <c r="L67" i="2"/>
  <c r="K67" i="2"/>
  <c r="AH66" i="2"/>
  <c r="AF66" i="2"/>
  <c r="AG66" i="2" s="1"/>
  <c r="AE66" i="2"/>
  <c r="AD66" i="2"/>
  <c r="AC66" i="2"/>
  <c r="AB66" i="2"/>
  <c r="Z66" i="2" s="1"/>
  <c r="D66" i="2" s="1"/>
  <c r="AA66" i="2"/>
  <c r="Y66" i="2"/>
  <c r="U66" i="2"/>
  <c r="S66" i="2" s="1"/>
  <c r="Q66" i="2"/>
  <c r="O66" i="2"/>
  <c r="P66" i="2" s="1"/>
  <c r="M66" i="2"/>
  <c r="K66" i="2" s="1"/>
  <c r="G66" i="2" s="1"/>
  <c r="L66" i="2"/>
  <c r="AH65" i="2"/>
  <c r="AG65" i="2"/>
  <c r="AF65" i="2"/>
  <c r="AE65" i="2"/>
  <c r="AD65" i="2"/>
  <c r="AC65" i="2"/>
  <c r="AB65" i="2" s="1"/>
  <c r="AA65" i="2"/>
  <c r="Y65" i="2"/>
  <c r="U65" i="2"/>
  <c r="S65" i="2"/>
  <c r="R65" i="2" s="1"/>
  <c r="Q65" i="2"/>
  <c r="O65" i="2"/>
  <c r="M65" i="2"/>
  <c r="K65" i="2"/>
  <c r="L65" i="2" s="1"/>
  <c r="G65" i="2"/>
  <c r="AH64" i="2"/>
  <c r="AF64" i="2"/>
  <c r="AG64" i="2" s="1"/>
  <c r="AD64" i="2"/>
  <c r="AC64" i="2"/>
  <c r="AB64" i="2" s="1"/>
  <c r="AA64" i="2"/>
  <c r="Y64" i="2"/>
  <c r="U64" i="2"/>
  <c r="Q64" i="2"/>
  <c r="M64" i="2"/>
  <c r="K64" i="2"/>
  <c r="AH63" i="2"/>
  <c r="AG63" i="2"/>
  <c r="AF63" i="2"/>
  <c r="AE63" i="2" s="1"/>
  <c r="AD63" i="2"/>
  <c r="AC63" i="2"/>
  <c r="AB63" i="2" s="1"/>
  <c r="Z63" i="2" s="1"/>
  <c r="D63" i="2" s="1"/>
  <c r="AA63" i="2"/>
  <c r="Y63" i="2"/>
  <c r="U63" i="2"/>
  <c r="Q63" i="2"/>
  <c r="O63" i="2" s="1"/>
  <c r="P63" i="2" s="1"/>
  <c r="M63" i="2"/>
  <c r="K63" i="2" s="1"/>
  <c r="L63" i="2" s="1"/>
  <c r="G63" i="2"/>
  <c r="AH62" i="2"/>
  <c r="AG62" i="2"/>
  <c r="AF62" i="2"/>
  <c r="AE62" i="2" s="1"/>
  <c r="AD62" i="2"/>
  <c r="AC62" i="2"/>
  <c r="AB62" i="2"/>
  <c r="AA62" i="2"/>
  <c r="Z62" i="2"/>
  <c r="D62" i="2" s="1"/>
  <c r="Y62" i="2"/>
  <c r="U62" i="2"/>
  <c r="Q62" i="2"/>
  <c r="M62" i="2"/>
  <c r="K62" i="2"/>
  <c r="G62" i="2" s="1"/>
  <c r="AH61" i="2"/>
  <c r="AF61" i="2"/>
  <c r="AG61" i="2" s="1"/>
  <c r="AE61" i="2"/>
  <c r="AD61" i="2"/>
  <c r="AC61" i="2"/>
  <c r="AB61" i="2" s="1"/>
  <c r="AA61" i="2"/>
  <c r="Z61" i="2" s="1"/>
  <c r="D61" i="2" s="1"/>
  <c r="Y61" i="2"/>
  <c r="U61" i="2"/>
  <c r="Q61" i="2"/>
  <c r="O61" i="2"/>
  <c r="S61" i="2" s="1"/>
  <c r="M61" i="2"/>
  <c r="K61" i="2"/>
  <c r="AH60" i="2"/>
  <c r="AG60" i="2"/>
  <c r="AF60" i="2"/>
  <c r="AE60" i="2" s="1"/>
  <c r="AD60" i="2"/>
  <c r="AC60" i="2"/>
  <c r="AB60" i="2"/>
  <c r="AA60" i="2"/>
  <c r="Y60" i="2"/>
  <c r="U60" i="2"/>
  <c r="S60" i="2"/>
  <c r="R60" i="2"/>
  <c r="Q60" i="2"/>
  <c r="O60" i="2" s="1"/>
  <c r="N60" i="2" s="1"/>
  <c r="P60" i="2"/>
  <c r="M60" i="2"/>
  <c r="K60" i="2" s="1"/>
  <c r="L60" i="2" s="1"/>
  <c r="G60" i="2"/>
  <c r="AH59" i="2"/>
  <c r="AG59" i="2"/>
  <c r="AF59" i="2"/>
  <c r="AE59" i="2"/>
  <c r="AD59" i="2"/>
  <c r="AC59" i="2"/>
  <c r="AB59" i="2" s="1"/>
  <c r="Z59" i="2" s="1"/>
  <c r="D59" i="2" s="1"/>
  <c r="AA59" i="2"/>
  <c r="Y59" i="2"/>
  <c r="U59" i="2"/>
  <c r="Q59" i="2"/>
  <c r="M59" i="2"/>
  <c r="K59" i="2" s="1"/>
  <c r="AH58" i="2"/>
  <c r="AF58" i="2"/>
  <c r="AG58" i="2" s="1"/>
  <c r="AD58" i="2"/>
  <c r="AC58" i="2"/>
  <c r="AB58" i="2" s="1"/>
  <c r="AA58" i="2"/>
  <c r="Y58" i="2"/>
  <c r="U58" i="2"/>
  <c r="Q58" i="2"/>
  <c r="M58" i="2"/>
  <c r="K58" i="2" s="1"/>
  <c r="G58" i="2"/>
  <c r="AH57" i="2"/>
  <c r="AF57" i="2"/>
  <c r="AD57" i="2"/>
  <c r="AC57" i="2"/>
  <c r="AB57" i="2"/>
  <c r="AA57" i="2"/>
  <c r="Y57" i="2"/>
  <c r="U57" i="2"/>
  <c r="Q57" i="2"/>
  <c r="O57" i="2"/>
  <c r="M57" i="2"/>
  <c r="L57" i="2"/>
  <c r="K57" i="2"/>
  <c r="G57" i="2" s="1"/>
  <c r="AH56" i="2"/>
  <c r="AG56" i="2"/>
  <c r="AF56" i="2"/>
  <c r="AE56" i="2"/>
  <c r="AD56" i="2"/>
  <c r="AC56" i="2"/>
  <c r="AB56" i="2" s="1"/>
  <c r="Z56" i="2" s="1"/>
  <c r="D56" i="2" s="1"/>
  <c r="AA56" i="2"/>
  <c r="Y56" i="2"/>
  <c r="W56" i="2" s="1"/>
  <c r="U56" i="2"/>
  <c r="S56" i="2"/>
  <c r="T56" i="2" s="1"/>
  <c r="Q56" i="2"/>
  <c r="O56" i="2"/>
  <c r="P56" i="2" s="1"/>
  <c r="N56" i="2"/>
  <c r="M56" i="2"/>
  <c r="K56" i="2" s="1"/>
  <c r="G56" i="2" s="1"/>
  <c r="L56" i="2"/>
  <c r="AH55" i="2"/>
  <c r="AF55" i="2"/>
  <c r="AD55" i="2"/>
  <c r="AC55" i="2"/>
  <c r="AB55" i="2" s="1"/>
  <c r="AA55" i="2"/>
  <c r="Y55" i="2"/>
  <c r="U55" i="2"/>
  <c r="Q55" i="2"/>
  <c r="O55" i="2" s="1"/>
  <c r="M55" i="2"/>
  <c r="K55" i="2"/>
  <c r="AH54" i="2"/>
  <c r="AF54" i="2"/>
  <c r="AD54" i="2"/>
  <c r="AC54" i="2"/>
  <c r="AB54" i="2"/>
  <c r="AA54" i="2"/>
  <c r="Y54" i="2"/>
  <c r="U54" i="2"/>
  <c r="S54" i="2"/>
  <c r="T54" i="2" s="1"/>
  <c r="Q54" i="2"/>
  <c r="O54" i="2" s="1"/>
  <c r="N54" i="2" s="1"/>
  <c r="P54" i="2"/>
  <c r="M54" i="2"/>
  <c r="L54" i="2"/>
  <c r="K54" i="2"/>
  <c r="AH53" i="2"/>
  <c r="AG53" i="2"/>
  <c r="AF53" i="2"/>
  <c r="AE53" i="2"/>
  <c r="AD53" i="2"/>
  <c r="AC53" i="2"/>
  <c r="AB53" i="2"/>
  <c r="AA53" i="2"/>
  <c r="Y53" i="2"/>
  <c r="U53" i="2"/>
  <c r="Q53" i="2"/>
  <c r="O53" i="2" s="1"/>
  <c r="M53" i="2"/>
  <c r="L53" i="2"/>
  <c r="K53" i="2"/>
  <c r="G53" i="2" s="1"/>
  <c r="AH52" i="2"/>
  <c r="AG52" i="2"/>
  <c r="AF52" i="2"/>
  <c r="AE52" i="2"/>
  <c r="AD52" i="2"/>
  <c r="AC52" i="2"/>
  <c r="AB52" i="2" s="1"/>
  <c r="AA52" i="2"/>
  <c r="Z52" i="2"/>
  <c r="D52" i="2" s="1"/>
  <c r="Y52" i="2"/>
  <c r="U52" i="2"/>
  <c r="Q52" i="2"/>
  <c r="O52" i="2" s="1"/>
  <c r="M52" i="2"/>
  <c r="K52" i="2"/>
  <c r="AH51" i="2"/>
  <c r="AF51" i="2"/>
  <c r="AE51" i="2" s="1"/>
  <c r="AD51" i="2"/>
  <c r="AC51" i="2"/>
  <c r="AB51" i="2" s="1"/>
  <c r="AA51" i="2"/>
  <c r="Y51" i="2"/>
  <c r="U51" i="2"/>
  <c r="Q51" i="2"/>
  <c r="M51" i="2"/>
  <c r="K51" i="2" s="1"/>
  <c r="G51" i="2" s="1"/>
  <c r="AH50" i="2"/>
  <c r="AG50" i="2"/>
  <c r="AF50" i="2"/>
  <c r="AE50" i="2"/>
  <c r="AD50" i="2"/>
  <c r="AC50" i="2"/>
  <c r="AB50" i="2"/>
  <c r="Z50" i="2" s="1"/>
  <c r="D50" i="2" s="1"/>
  <c r="AA50" i="2"/>
  <c r="Y50" i="2"/>
  <c r="U50" i="2"/>
  <c r="Q50" i="2"/>
  <c r="M50" i="2"/>
  <c r="K50" i="2" s="1"/>
  <c r="O50" i="2" s="1"/>
  <c r="AH49" i="2"/>
  <c r="AG49" i="2"/>
  <c r="AF49" i="2"/>
  <c r="AE49" i="2"/>
  <c r="AD49" i="2"/>
  <c r="AC49" i="2"/>
  <c r="AB49" i="2" s="1"/>
  <c r="AA49" i="2"/>
  <c r="Z49" i="2"/>
  <c r="D49" i="2" s="1"/>
  <c r="Y49" i="2"/>
  <c r="U49" i="2"/>
  <c r="Q49" i="2"/>
  <c r="O49" i="2" s="1"/>
  <c r="M49" i="2"/>
  <c r="K49" i="2" s="1"/>
  <c r="L49" i="2" s="1"/>
  <c r="AH48" i="2"/>
  <c r="AF48" i="2"/>
  <c r="AD48" i="2"/>
  <c r="AC48" i="2"/>
  <c r="AB48" i="2" s="1"/>
  <c r="AA48" i="2"/>
  <c r="Y48" i="2"/>
  <c r="U48" i="2"/>
  <c r="Q48" i="2"/>
  <c r="M48" i="2"/>
  <c r="K48" i="2" s="1"/>
  <c r="AH47" i="2"/>
  <c r="AF47" i="2"/>
  <c r="AE47" i="2" s="1"/>
  <c r="AD47" i="2"/>
  <c r="AC47" i="2"/>
  <c r="AB47" i="2"/>
  <c r="AA47" i="2"/>
  <c r="Y47" i="2"/>
  <c r="U47" i="2"/>
  <c r="S47" i="2" s="1"/>
  <c r="T47" i="2" s="1"/>
  <c r="Q47" i="2"/>
  <c r="O47" i="2" s="1"/>
  <c r="M47" i="2"/>
  <c r="K47" i="2" s="1"/>
  <c r="AH46" i="2"/>
  <c r="AF46" i="2"/>
  <c r="AG46" i="2" s="1"/>
  <c r="AE46" i="2"/>
  <c r="AD46" i="2"/>
  <c r="AC46" i="2"/>
  <c r="AB46" i="2"/>
  <c r="AA46" i="2"/>
  <c r="Z46" i="2" s="1"/>
  <c r="D46" i="2" s="1"/>
  <c r="Y46" i="2"/>
  <c r="U46" i="2"/>
  <c r="Q46" i="2"/>
  <c r="O46" i="2" s="1"/>
  <c r="M46" i="2"/>
  <c r="K46" i="2"/>
  <c r="L46" i="2" s="1"/>
  <c r="AH45" i="2"/>
  <c r="AF45" i="2"/>
  <c r="AG45" i="2" s="1"/>
  <c r="AD45" i="2"/>
  <c r="AC45" i="2"/>
  <c r="AB45" i="2"/>
  <c r="AA45" i="2"/>
  <c r="Y45" i="2"/>
  <c r="U45" i="2"/>
  <c r="Q45" i="2"/>
  <c r="M45" i="2"/>
  <c r="K45" i="2" s="1"/>
  <c r="G45" i="2"/>
  <c r="AH44" i="2"/>
  <c r="AF44" i="2"/>
  <c r="AG44" i="2" s="1"/>
  <c r="AE44" i="2"/>
  <c r="AD44" i="2"/>
  <c r="AC44" i="2"/>
  <c r="AB44" i="2" s="1"/>
  <c r="AA44" i="2"/>
  <c r="Z44" i="2"/>
  <c r="D44" i="2" s="1"/>
  <c r="Y44" i="2"/>
  <c r="U44" i="2"/>
  <c r="Q44" i="2"/>
  <c r="M44" i="2"/>
  <c r="K44" i="2" s="1"/>
  <c r="AH43" i="2"/>
  <c r="AF43" i="2"/>
  <c r="AG43" i="2" s="1"/>
  <c r="AD43" i="2"/>
  <c r="AC43" i="2"/>
  <c r="AB43" i="2"/>
  <c r="AA43" i="2"/>
  <c r="Y43" i="2"/>
  <c r="U43" i="2"/>
  <c r="Q43" i="2"/>
  <c r="M43" i="2"/>
  <c r="K43" i="2"/>
  <c r="AH42" i="2"/>
  <c r="AF42" i="2"/>
  <c r="AG42" i="2" s="1"/>
  <c r="AD42" i="2"/>
  <c r="AC42" i="2"/>
  <c r="AB42" i="2"/>
  <c r="AA42" i="2"/>
  <c r="Y42" i="2"/>
  <c r="U42" i="2"/>
  <c r="S42" i="2" s="1"/>
  <c r="Q42" i="2"/>
  <c r="P42" i="2"/>
  <c r="O42" i="2"/>
  <c r="N42" i="2" s="1"/>
  <c r="M42" i="2"/>
  <c r="K42" i="2" s="1"/>
  <c r="G42" i="2" s="1"/>
  <c r="L42" i="2"/>
  <c r="AH41" i="2"/>
  <c r="AG41" i="2"/>
  <c r="AF41" i="2"/>
  <c r="AE41" i="2"/>
  <c r="AD41" i="2"/>
  <c r="AC41" i="2"/>
  <c r="AB41" i="2"/>
  <c r="AA41" i="2"/>
  <c r="Z41" i="2" s="1"/>
  <c r="D41" i="2" s="1"/>
  <c r="Y41" i="2"/>
  <c r="U41" i="2"/>
  <c r="Q41" i="2"/>
  <c r="O41" i="2" s="1"/>
  <c r="M41" i="2"/>
  <c r="L41" i="2"/>
  <c r="K41" i="2"/>
  <c r="G41" i="2" s="1"/>
  <c r="AH40" i="2"/>
  <c r="AF40" i="2"/>
  <c r="AG40" i="2" s="1"/>
  <c r="AE40" i="2"/>
  <c r="AD40" i="2"/>
  <c r="AC40" i="2"/>
  <c r="AB40" i="2"/>
  <c r="AA40" i="2"/>
  <c r="Z40" i="2" s="1"/>
  <c r="D40" i="2" s="1"/>
  <c r="Y40" i="2"/>
  <c r="U40" i="2"/>
  <c r="Q40" i="2"/>
  <c r="M40" i="2"/>
  <c r="K40" i="2"/>
  <c r="O40" i="2" s="1"/>
  <c r="AH39" i="2"/>
  <c r="AG39" i="2"/>
  <c r="AF39" i="2"/>
  <c r="AE39" i="2"/>
  <c r="AD39" i="2"/>
  <c r="AC39" i="2"/>
  <c r="AB39" i="2"/>
  <c r="AA39" i="2"/>
  <c r="Z39" i="2" s="1"/>
  <c r="D39" i="2" s="1"/>
  <c r="Y39" i="2"/>
  <c r="W39" i="2"/>
  <c r="U39" i="2"/>
  <c r="S39" i="2" s="1"/>
  <c r="Q39" i="2"/>
  <c r="O39" i="2"/>
  <c r="P39" i="2" s="1"/>
  <c r="N39" i="2"/>
  <c r="M39" i="2"/>
  <c r="L39" i="2"/>
  <c r="K39" i="2"/>
  <c r="G39" i="2"/>
  <c r="AH38" i="2"/>
  <c r="AG38" i="2"/>
  <c r="AF38" i="2"/>
  <c r="AE38" i="2"/>
  <c r="AD38" i="2"/>
  <c r="AC38" i="2"/>
  <c r="AB38" i="2"/>
  <c r="AA38" i="2"/>
  <c r="Z38" i="2"/>
  <c r="D38" i="2" s="1"/>
  <c r="Y38" i="2"/>
  <c r="U38" i="2"/>
  <c r="S38" i="2" s="1"/>
  <c r="Q38" i="2"/>
  <c r="O38" i="2" s="1"/>
  <c r="M38" i="2"/>
  <c r="L38" i="2"/>
  <c r="K38" i="2"/>
  <c r="G38" i="2" s="1"/>
  <c r="AH37" i="2"/>
  <c r="AG37" i="2"/>
  <c r="AF37" i="2"/>
  <c r="AE37" i="2"/>
  <c r="AD37" i="2"/>
  <c r="AC37" i="2"/>
  <c r="AB37" i="2" s="1"/>
  <c r="AA37" i="2"/>
  <c r="Z37" i="2" s="1"/>
  <c r="D37" i="2" s="1"/>
  <c r="Y37" i="2"/>
  <c r="U37" i="2"/>
  <c r="Q37" i="2"/>
  <c r="M37" i="2"/>
  <c r="K37" i="2"/>
  <c r="AH36" i="2"/>
  <c r="AF36" i="2"/>
  <c r="AE36" i="2" s="1"/>
  <c r="AD36" i="2"/>
  <c r="AC36" i="2"/>
  <c r="AB36" i="2"/>
  <c r="AA36" i="2"/>
  <c r="Y36" i="2"/>
  <c r="U36" i="2"/>
  <c r="Q36" i="2"/>
  <c r="O36" i="2" s="1"/>
  <c r="P36" i="2" s="1"/>
  <c r="M36" i="2"/>
  <c r="K36" i="2"/>
  <c r="L36" i="2" s="1"/>
  <c r="G36" i="2"/>
  <c r="AH35" i="2"/>
  <c r="AG35" i="2"/>
  <c r="Z35" i="2" s="1"/>
  <c r="D35" i="2" s="1"/>
  <c r="AF35" i="2"/>
  <c r="AE35" i="2"/>
  <c r="AD35" i="2"/>
  <c r="AC35" i="2"/>
  <c r="AB35" i="2" s="1"/>
  <c r="AA35" i="2"/>
  <c r="Y35" i="2"/>
  <c r="U35" i="2"/>
  <c r="S35" i="2" s="1"/>
  <c r="Q35" i="2"/>
  <c r="O35" i="2" s="1"/>
  <c r="P35" i="2" s="1"/>
  <c r="M35" i="2"/>
  <c r="K35" i="2"/>
  <c r="L35" i="2" s="1"/>
  <c r="AH34" i="2"/>
  <c r="AG34" i="2"/>
  <c r="AF34" i="2"/>
  <c r="AE34" i="2" s="1"/>
  <c r="AD34" i="2"/>
  <c r="AC34" i="2"/>
  <c r="AB34" i="2" s="1"/>
  <c r="AA34" i="2"/>
  <c r="Z34" i="2" s="1"/>
  <c r="D34" i="2" s="1"/>
  <c r="Y34" i="2"/>
  <c r="U34" i="2"/>
  <c r="Q34" i="2"/>
  <c r="O34" i="2" s="1"/>
  <c r="M34" i="2"/>
  <c r="K34" i="2" s="1"/>
  <c r="L34" i="2" s="1"/>
  <c r="AH33" i="2"/>
  <c r="AF33" i="2"/>
  <c r="AD33" i="2"/>
  <c r="AC33" i="2"/>
  <c r="AB33" i="2" s="1"/>
  <c r="AA33" i="2"/>
  <c r="Y33" i="2"/>
  <c r="U33" i="2"/>
  <c r="Q33" i="2"/>
  <c r="O33" i="2" s="1"/>
  <c r="P33" i="2"/>
  <c r="M33" i="2"/>
  <c r="K33" i="2"/>
  <c r="L33" i="2" s="1"/>
  <c r="AH32" i="2"/>
  <c r="AG32" i="2"/>
  <c r="AF32" i="2"/>
  <c r="AE32" i="2" s="1"/>
  <c r="AD32" i="2"/>
  <c r="AC32" i="2"/>
  <c r="AB32" i="2"/>
  <c r="Z32" i="2" s="1"/>
  <c r="D32" i="2" s="1"/>
  <c r="AA32" i="2"/>
  <c r="Y32" i="2"/>
  <c r="U32" i="2"/>
  <c r="Q32" i="2"/>
  <c r="O32" i="2" s="1"/>
  <c r="P32" i="2" s="1"/>
  <c r="M32" i="2"/>
  <c r="K32" i="2" s="1"/>
  <c r="L32" i="2"/>
  <c r="G32" i="2"/>
  <c r="AH31" i="2"/>
  <c r="AF31" i="2"/>
  <c r="AG31" i="2" s="1"/>
  <c r="AD31" i="2"/>
  <c r="AC31" i="2"/>
  <c r="AB31" i="2" s="1"/>
  <c r="AA31" i="2"/>
  <c r="Y31" i="2"/>
  <c r="U31" i="2"/>
  <c r="Q31" i="2"/>
  <c r="M31" i="2"/>
  <c r="K31" i="2" s="1"/>
  <c r="AH30" i="2"/>
  <c r="AF30" i="2"/>
  <c r="AD30" i="2"/>
  <c r="AC30" i="2"/>
  <c r="AB30" i="2" s="1"/>
  <c r="AA30" i="2"/>
  <c r="Y30" i="2"/>
  <c r="U30" i="2"/>
  <c r="Q30" i="2"/>
  <c r="M30" i="2"/>
  <c r="K30" i="2" s="1"/>
  <c r="L30" i="2" s="1"/>
  <c r="AH29" i="2"/>
  <c r="AF29" i="2"/>
  <c r="AD29" i="2"/>
  <c r="AC29" i="2"/>
  <c r="AB29" i="2"/>
  <c r="AA29" i="2"/>
  <c r="Y29" i="2"/>
  <c r="W29" i="2"/>
  <c r="AJ29" i="2" s="1"/>
  <c r="V29" i="2"/>
  <c r="U29" i="2"/>
  <c r="S29" i="2"/>
  <c r="Q29" i="2"/>
  <c r="O29" i="2" s="1"/>
  <c r="P29" i="2" s="1"/>
  <c r="M29" i="2"/>
  <c r="K29" i="2" s="1"/>
  <c r="L29" i="2"/>
  <c r="G29" i="2"/>
  <c r="AH28" i="2"/>
  <c r="AF28" i="2"/>
  <c r="AG28" i="2" s="1"/>
  <c r="AE28" i="2"/>
  <c r="AD28" i="2"/>
  <c r="AC28" i="2"/>
  <c r="AB28" i="2" s="1"/>
  <c r="Z28" i="2" s="1"/>
  <c r="D28" i="2" s="1"/>
  <c r="AA28" i="2"/>
  <c r="Y28" i="2"/>
  <c r="U28" i="2"/>
  <c r="Q28" i="2"/>
  <c r="M28" i="2"/>
  <c r="K28" i="2" s="1"/>
  <c r="AH27" i="2"/>
  <c r="AF27" i="2"/>
  <c r="AD27" i="2"/>
  <c r="AC27" i="2"/>
  <c r="AB27" i="2" s="1"/>
  <c r="AA27" i="2"/>
  <c r="Y27" i="2"/>
  <c r="U27" i="2"/>
  <c r="Q27" i="2"/>
  <c r="M27" i="2"/>
  <c r="K27" i="2"/>
  <c r="AH26" i="2"/>
  <c r="AF26" i="2"/>
  <c r="AG26" i="2" s="1"/>
  <c r="AE26" i="2"/>
  <c r="AD26" i="2"/>
  <c r="AC26" i="2"/>
  <c r="AB26" i="2"/>
  <c r="Z26" i="2" s="1"/>
  <c r="D26" i="2" s="1"/>
  <c r="AA26" i="2"/>
  <c r="Y26" i="2"/>
  <c r="U26" i="2"/>
  <c r="Q26" i="2"/>
  <c r="O26" i="2"/>
  <c r="P26" i="2" s="1"/>
  <c r="M26" i="2"/>
  <c r="K26" i="2" s="1"/>
  <c r="AH25" i="2"/>
  <c r="AG25" i="2"/>
  <c r="AF25" i="2"/>
  <c r="AE25" i="2"/>
  <c r="AD25" i="2"/>
  <c r="AC25" i="2"/>
  <c r="AB25" i="2"/>
  <c r="AA25" i="2"/>
  <c r="Z25" i="2" s="1"/>
  <c r="D25" i="2" s="1"/>
  <c r="Y25" i="2"/>
  <c r="U25" i="2"/>
  <c r="Q25" i="2"/>
  <c r="O25" i="2" s="1"/>
  <c r="M25" i="2"/>
  <c r="K25" i="2" s="1"/>
  <c r="G25" i="2" s="1"/>
  <c r="L25" i="2"/>
  <c r="AH24" i="2"/>
  <c r="AF24" i="2"/>
  <c r="AG24" i="2" s="1"/>
  <c r="AE24" i="2"/>
  <c r="AD24" i="2"/>
  <c r="AC24" i="2"/>
  <c r="AB24" i="2"/>
  <c r="AA24" i="2"/>
  <c r="Y24" i="2"/>
  <c r="U24" i="2"/>
  <c r="Q24" i="2"/>
  <c r="M24" i="2"/>
  <c r="K24" i="2"/>
  <c r="G24" i="2" s="1"/>
  <c r="AH23" i="2"/>
  <c r="AG23" i="2"/>
  <c r="AF23" i="2"/>
  <c r="AE23" i="2"/>
  <c r="AD23" i="2"/>
  <c r="AC23" i="2"/>
  <c r="AB23" i="2"/>
  <c r="AA23" i="2"/>
  <c r="Y23" i="2"/>
  <c r="U23" i="2"/>
  <c r="S23" i="2" s="1"/>
  <c r="T23" i="2" s="1"/>
  <c r="Q23" i="2"/>
  <c r="O23" i="2"/>
  <c r="P23" i="2" s="1"/>
  <c r="N23" i="2"/>
  <c r="M23" i="2"/>
  <c r="L23" i="2"/>
  <c r="K23" i="2"/>
  <c r="G23" i="2"/>
  <c r="AH22" i="2"/>
  <c r="AG22" i="2"/>
  <c r="AF22" i="2"/>
  <c r="AE22" i="2"/>
  <c r="AD22" i="2"/>
  <c r="AC22" i="2"/>
  <c r="AB22" i="2"/>
  <c r="AA22" i="2"/>
  <c r="Z22" i="2" s="1"/>
  <c r="D22" i="2" s="1"/>
  <c r="Y22" i="2"/>
  <c r="U22" i="2"/>
  <c r="Q22" i="2"/>
  <c r="M22" i="2"/>
  <c r="K22" i="2"/>
  <c r="O22" i="2" s="1"/>
  <c r="AH21" i="2"/>
  <c r="AG21" i="2"/>
  <c r="AF21" i="2"/>
  <c r="AE21" i="2"/>
  <c r="AD21" i="2"/>
  <c r="AC21" i="2"/>
  <c r="AB21" i="2" s="1"/>
  <c r="AA21" i="2"/>
  <c r="Y21" i="2"/>
  <c r="U21" i="2"/>
  <c r="S21" i="2" s="1"/>
  <c r="T21" i="2"/>
  <c r="R21" i="2"/>
  <c r="Q21" i="2"/>
  <c r="O21" i="2"/>
  <c r="P21" i="2" s="1"/>
  <c r="N21" i="2"/>
  <c r="M21" i="2"/>
  <c r="K21" i="2"/>
  <c r="AH20" i="2"/>
  <c r="AF20" i="2"/>
  <c r="AE20" i="2" s="1"/>
  <c r="AD20" i="2"/>
  <c r="AC20" i="2"/>
  <c r="AB20" i="2"/>
  <c r="AA20" i="2"/>
  <c r="Y20" i="2"/>
  <c r="U20" i="2"/>
  <c r="Q20" i="2"/>
  <c r="M20" i="2"/>
  <c r="K20" i="2"/>
  <c r="L20" i="2" s="1"/>
  <c r="G20" i="2"/>
  <c r="AH19" i="2"/>
  <c r="AG19" i="2"/>
  <c r="AF19" i="2"/>
  <c r="AE19" i="2"/>
  <c r="AD19" i="2"/>
  <c r="AC19" i="2"/>
  <c r="AB19" i="2" s="1"/>
  <c r="AA19" i="2"/>
  <c r="Z19" i="2" s="1"/>
  <c r="D19" i="2" s="1"/>
  <c r="Y19" i="2"/>
  <c r="U19" i="2"/>
  <c r="Q19" i="2"/>
  <c r="O19" i="2" s="1"/>
  <c r="P19" i="2" s="1"/>
  <c r="N19" i="2"/>
  <c r="M19" i="2"/>
  <c r="K19" i="2"/>
  <c r="AH18" i="2"/>
  <c r="AG18" i="2"/>
  <c r="AF18" i="2"/>
  <c r="AE18" i="2" s="1"/>
  <c r="AD18" i="2"/>
  <c r="AC18" i="2"/>
  <c r="AB18" i="2" s="1"/>
  <c r="AA18" i="2"/>
  <c r="Z18" i="2" s="1"/>
  <c r="D18" i="2" s="1"/>
  <c r="Y18" i="2"/>
  <c r="U18" i="2"/>
  <c r="Q18" i="2"/>
  <c r="M18" i="2"/>
  <c r="K18" i="2"/>
  <c r="L18" i="2" s="1"/>
  <c r="AH17" i="2"/>
  <c r="AG17" i="2"/>
  <c r="AF17" i="2"/>
  <c r="AE17" i="2" s="1"/>
  <c r="AD17" i="2"/>
  <c r="AC17" i="2"/>
  <c r="AB17" i="2" s="1"/>
  <c r="AA17" i="2"/>
  <c r="Z17" i="2" s="1"/>
  <c r="D17" i="2" s="1"/>
  <c r="Y17" i="2"/>
  <c r="U17" i="2"/>
  <c r="Q17" i="2"/>
  <c r="M17" i="2"/>
  <c r="K17" i="2"/>
  <c r="L17" i="2" s="1"/>
  <c r="AH16" i="2"/>
  <c r="AF16" i="2"/>
  <c r="AE16" i="2" s="1"/>
  <c r="AD16" i="2"/>
  <c r="AC16" i="2"/>
  <c r="AB16" i="2" s="1"/>
  <c r="AA16" i="2"/>
  <c r="Y16" i="2"/>
  <c r="U16" i="2"/>
  <c r="Q16" i="2"/>
  <c r="M16" i="2"/>
  <c r="K16" i="2"/>
  <c r="L16" i="2" s="1"/>
  <c r="G16" i="2"/>
  <c r="AH15" i="2"/>
  <c r="AF15" i="2"/>
  <c r="AE15" i="2" s="1"/>
  <c r="AD15" i="2"/>
  <c r="AC15" i="2"/>
  <c r="AB15" i="2" s="1"/>
  <c r="AA15" i="2"/>
  <c r="Y15" i="2"/>
  <c r="U15" i="2"/>
  <c r="Q15" i="2"/>
  <c r="M15" i="2"/>
  <c r="K15" i="2" s="1"/>
  <c r="AH14" i="2"/>
  <c r="AF14" i="2"/>
  <c r="AE14" i="2" s="1"/>
  <c r="AD14" i="2"/>
  <c r="AC14" i="2"/>
  <c r="AB14" i="2" s="1"/>
  <c r="AA14" i="2"/>
  <c r="Y14" i="2"/>
  <c r="W14" i="2" s="1"/>
  <c r="U14" i="2"/>
  <c r="Q14" i="2"/>
  <c r="O14" i="2" s="1"/>
  <c r="S14" i="2" s="1"/>
  <c r="N14" i="2"/>
  <c r="M14" i="2"/>
  <c r="K14" i="2" s="1"/>
  <c r="L14" i="2" s="1"/>
  <c r="G14" i="2"/>
  <c r="AH13" i="2"/>
  <c r="AF13" i="2"/>
  <c r="AE13" i="2" s="1"/>
  <c r="AD13" i="2"/>
  <c r="AC13" i="2"/>
  <c r="AB13" i="2"/>
  <c r="AA13" i="2"/>
  <c r="Y13" i="2"/>
  <c r="U13" i="2"/>
  <c r="Q13" i="2"/>
  <c r="M13" i="2"/>
  <c r="K13" i="2" s="1"/>
  <c r="L13" i="2" s="1"/>
  <c r="AH12" i="2"/>
  <c r="AF12" i="2"/>
  <c r="AG12" i="2" s="1"/>
  <c r="AD12" i="2"/>
  <c r="AC12" i="2"/>
  <c r="AB12" i="2"/>
  <c r="AA12" i="2"/>
  <c r="Y12" i="2"/>
  <c r="U12" i="2"/>
  <c r="Q12" i="2"/>
  <c r="M12" i="2"/>
  <c r="K12" i="2" s="1"/>
  <c r="AH11" i="2"/>
  <c r="AF11" i="2"/>
  <c r="AG11" i="2" s="1"/>
  <c r="AD11" i="2"/>
  <c r="AC11" i="2"/>
  <c r="AB11" i="2"/>
  <c r="AA11" i="2"/>
  <c r="Y11" i="2"/>
  <c r="U11" i="2"/>
  <c r="Q11" i="2"/>
  <c r="M11" i="2"/>
  <c r="K11" i="2" s="1"/>
  <c r="AH10" i="2"/>
  <c r="AF10" i="2"/>
  <c r="AG10" i="2" s="1"/>
  <c r="AE10" i="2"/>
  <c r="AD10" i="2"/>
  <c r="AC10" i="2"/>
  <c r="AB10" i="2"/>
  <c r="Z10" i="2" s="1"/>
  <c r="D10" i="2" s="1"/>
  <c r="AA10" i="2"/>
  <c r="Y10" i="2"/>
  <c r="U10" i="2"/>
  <c r="Q10" i="2"/>
  <c r="M10" i="2"/>
  <c r="K10" i="2" s="1"/>
  <c r="O10" i="2" s="1"/>
  <c r="L10" i="2"/>
  <c r="AH9" i="2"/>
  <c r="AG9" i="2"/>
  <c r="AF9" i="2"/>
  <c r="AE9" i="2"/>
  <c r="AD9" i="2"/>
  <c r="AC9" i="2"/>
  <c r="AB9" i="2"/>
  <c r="AA9" i="2"/>
  <c r="Y9" i="2"/>
  <c r="U9" i="2"/>
  <c r="Q9" i="2"/>
  <c r="M9" i="2"/>
  <c r="K9" i="2"/>
  <c r="O9" i="2" s="1"/>
  <c r="AH8" i="2"/>
  <c r="AF8" i="2"/>
  <c r="AG8" i="2" s="1"/>
  <c r="AD8" i="2"/>
  <c r="AC8" i="2"/>
  <c r="AB8" i="2"/>
  <c r="AA8" i="2"/>
  <c r="Y8" i="2"/>
  <c r="U8" i="2"/>
  <c r="Q8" i="2"/>
  <c r="M8" i="2"/>
  <c r="K8" i="2"/>
  <c r="O8" i="2" s="1"/>
  <c r="G8" i="2"/>
  <c r="AH7" i="2"/>
  <c r="AF7" i="2"/>
  <c r="AG7" i="2" s="1"/>
  <c r="AD7" i="2"/>
  <c r="AC7" i="2"/>
  <c r="AB7" i="2"/>
  <c r="AA7" i="2"/>
  <c r="Y7" i="2"/>
  <c r="U7" i="2"/>
  <c r="S7" i="2" s="1"/>
  <c r="Q7" i="2"/>
  <c r="M7" i="2"/>
  <c r="K7" i="2"/>
  <c r="O7" i="2" s="1"/>
  <c r="AH6" i="2"/>
  <c r="AG6" i="2"/>
  <c r="AF6" i="2"/>
  <c r="AE6" i="2"/>
  <c r="AD6" i="2"/>
  <c r="AC6" i="2"/>
  <c r="AB6" i="2"/>
  <c r="AA6" i="2"/>
  <c r="Z6" i="2"/>
  <c r="D6" i="2" s="1"/>
  <c r="Y6" i="2"/>
  <c r="U6" i="2"/>
  <c r="Q6" i="2"/>
  <c r="M6" i="2"/>
  <c r="K6" i="2"/>
  <c r="G6" i="2" s="1"/>
  <c r="AH5" i="2"/>
  <c r="AF5" i="2"/>
  <c r="AG5" i="2" s="1"/>
  <c r="AE5" i="2"/>
  <c r="AD5" i="2"/>
  <c r="AC5" i="2"/>
  <c r="AB5" i="2" s="1"/>
  <c r="AA5" i="2"/>
  <c r="Y5" i="2"/>
  <c r="U5" i="2"/>
  <c r="Q5" i="2"/>
  <c r="M5" i="2"/>
  <c r="K5" i="2" s="1"/>
  <c r="AH4" i="2"/>
  <c r="AF4" i="2"/>
  <c r="AG4" i="2" s="1"/>
  <c r="AD4" i="2"/>
  <c r="AC4" i="2"/>
  <c r="AB4" i="2"/>
  <c r="AA4" i="2"/>
  <c r="Y4" i="2"/>
  <c r="U4" i="2"/>
  <c r="Q4" i="2"/>
  <c r="M4" i="2"/>
  <c r="K4" i="2" s="1"/>
  <c r="AH3" i="2"/>
  <c r="AG3" i="2"/>
  <c r="AF3" i="2"/>
  <c r="AE3" i="2"/>
  <c r="AD3" i="2"/>
  <c r="AC3" i="2"/>
  <c r="AB3" i="2" s="1"/>
  <c r="Z3" i="2" s="1"/>
  <c r="D3" i="2" s="1"/>
  <c r="AA3" i="2"/>
  <c r="Y3" i="2"/>
  <c r="U3" i="2"/>
  <c r="Q3" i="2"/>
  <c r="M3" i="2"/>
  <c r="K3" i="2" s="1"/>
  <c r="AH2" i="2"/>
  <c r="X14" i="2" l="1"/>
  <c r="F14" i="2"/>
  <c r="E14" i="2" s="1"/>
  <c r="B14" i="2" s="1"/>
  <c r="V14" i="2"/>
  <c r="AJ14" i="2"/>
  <c r="I14" i="2" s="1"/>
  <c r="J14" i="2" s="1"/>
  <c r="C14" i="2" s="1"/>
  <c r="W7" i="2"/>
  <c r="Z4" i="2"/>
  <c r="D4" i="2" s="1"/>
  <c r="S10" i="2"/>
  <c r="N10" i="2"/>
  <c r="P10" i="2"/>
  <c r="Z14" i="2"/>
  <c r="D14" i="2" s="1"/>
  <c r="A14" i="2" s="1"/>
  <c r="W73" i="2"/>
  <c r="O3" i="2"/>
  <c r="S6" i="2"/>
  <c r="N9" i="2"/>
  <c r="P9" i="2"/>
  <c r="O5" i="2"/>
  <c r="S5" i="2" s="1"/>
  <c r="L5" i="2"/>
  <c r="G5" i="2" s="1"/>
  <c r="P25" i="2"/>
  <c r="N25" i="2" s="1"/>
  <c r="S25" i="2"/>
  <c r="L12" i="2"/>
  <c r="G12" i="2"/>
  <c r="O12" i="2"/>
  <c r="I29" i="2"/>
  <c r="J29" i="2" s="1"/>
  <c r="H29" i="2"/>
  <c r="N41" i="2"/>
  <c r="P41" i="2"/>
  <c r="S41" i="2"/>
  <c r="P152" i="2"/>
  <c r="N152" i="2" s="1"/>
  <c r="S152" i="2"/>
  <c r="L3" i="2"/>
  <c r="G3" i="2"/>
  <c r="S9" i="2"/>
  <c r="L15" i="2"/>
  <c r="G15" i="2"/>
  <c r="O15" i="2"/>
  <c r="P22" i="2"/>
  <c r="N22" i="2"/>
  <c r="T7" i="2"/>
  <c r="R7" i="2"/>
  <c r="Z5" i="2"/>
  <c r="D5" i="2" s="1"/>
  <c r="W35" i="2"/>
  <c r="R35" i="2"/>
  <c r="T35" i="2"/>
  <c r="P8" i="2"/>
  <c r="N8" i="2"/>
  <c r="L4" i="2"/>
  <c r="G4" i="2" s="1"/>
  <c r="O4" i="2"/>
  <c r="S8" i="2"/>
  <c r="W8" i="2" s="1"/>
  <c r="R69" i="2"/>
  <c r="W69" i="2"/>
  <c r="T69" i="2"/>
  <c r="P7" i="2"/>
  <c r="N7" i="2"/>
  <c r="G11" i="2"/>
  <c r="O11" i="2"/>
  <c r="L11" i="2"/>
  <c r="Z31" i="2"/>
  <c r="D31" i="2" s="1"/>
  <c r="T14" i="2"/>
  <c r="R14" i="2"/>
  <c r="W17" i="2"/>
  <c r="AG27" i="2"/>
  <c r="AE27" i="2"/>
  <c r="R29" i="2"/>
  <c r="T29" i="2"/>
  <c r="G30" i="2"/>
  <c r="P46" i="2"/>
  <c r="N46" i="2"/>
  <c r="S46" i="2"/>
  <c r="W46" i="2" s="1"/>
  <c r="P47" i="2"/>
  <c r="N47" i="2"/>
  <c r="S49" i="2"/>
  <c r="P49" i="2"/>
  <c r="N49" i="2" s="1"/>
  <c r="R61" i="2"/>
  <c r="T61" i="2"/>
  <c r="O106" i="2"/>
  <c r="G106" i="2"/>
  <c r="L106" i="2"/>
  <c r="AE4" i="2"/>
  <c r="G7" i="2"/>
  <c r="Z9" i="2"/>
  <c r="D9" i="2" s="1"/>
  <c r="AE11" i="2"/>
  <c r="Z11" i="2" s="1"/>
  <c r="D11" i="2" s="1"/>
  <c r="AG15" i="2"/>
  <c r="Z15" i="2" s="1"/>
  <c r="D15" i="2" s="1"/>
  <c r="L19" i="2"/>
  <c r="G19" i="2"/>
  <c r="R23" i="2"/>
  <c r="N26" i="2"/>
  <c r="AE31" i="2"/>
  <c r="S33" i="2"/>
  <c r="N33" i="2"/>
  <c r="Z36" i="2"/>
  <c r="D36" i="2" s="1"/>
  <c r="P38" i="2"/>
  <c r="N38" i="2"/>
  <c r="P61" i="2"/>
  <c r="N61" i="2" s="1"/>
  <c r="W103" i="2"/>
  <c r="T103" i="2"/>
  <c r="R103" i="2"/>
  <c r="O113" i="2"/>
  <c r="L113" i="2"/>
  <c r="G113" i="2"/>
  <c r="L22" i="2"/>
  <c r="S26" i="2"/>
  <c r="L31" i="2"/>
  <c r="G31" i="2"/>
  <c r="Z42" i="2"/>
  <c r="D42" i="2" s="1"/>
  <c r="Z45" i="2"/>
  <c r="D45" i="2" s="1"/>
  <c r="Z47" i="2"/>
  <c r="D47" i="2" s="1"/>
  <c r="S59" i="2"/>
  <c r="AJ68" i="2"/>
  <c r="C68" i="2"/>
  <c r="B68" i="2"/>
  <c r="A68" i="2"/>
  <c r="F68" i="2"/>
  <c r="V68" i="2"/>
  <c r="R47" i="2"/>
  <c r="L9" i="2"/>
  <c r="G9" i="2" s="1"/>
  <c r="L7" i="2"/>
  <c r="L8" i="2"/>
  <c r="AG14" i="2"/>
  <c r="S19" i="2"/>
  <c r="Z23" i="2"/>
  <c r="D23" i="2" s="1"/>
  <c r="O24" i="2"/>
  <c r="O31" i="2"/>
  <c r="N35" i="2"/>
  <c r="AG36" i="2"/>
  <c r="W59" i="2"/>
  <c r="T67" i="2"/>
  <c r="R67" i="2"/>
  <c r="T144" i="2"/>
  <c r="R144" i="2"/>
  <c r="T42" i="2"/>
  <c r="R42" i="2"/>
  <c r="H14" i="2"/>
  <c r="O17" i="2"/>
  <c r="W21" i="2"/>
  <c r="L28" i="2"/>
  <c r="G28" i="2"/>
  <c r="C29" i="2"/>
  <c r="Z48" i="2"/>
  <c r="D48" i="2" s="1"/>
  <c r="G99" i="2"/>
  <c r="O99" i="2"/>
  <c r="W144" i="2"/>
  <c r="O27" i="2"/>
  <c r="L27" i="2"/>
  <c r="G27" i="2" s="1"/>
  <c r="AE7" i="2"/>
  <c r="Z7" i="2" s="1"/>
  <c r="D7" i="2" s="1"/>
  <c r="AE8" i="2"/>
  <c r="Z8" i="2" s="1"/>
  <c r="D8" i="2" s="1"/>
  <c r="G13" i="2"/>
  <c r="P14" i="2"/>
  <c r="G18" i="2"/>
  <c r="AG20" i="2"/>
  <c r="Z20" i="2" s="1"/>
  <c r="D20" i="2" s="1"/>
  <c r="Z21" i="2"/>
  <c r="D21" i="2" s="1"/>
  <c r="O28" i="2"/>
  <c r="T39" i="2"/>
  <c r="R39" i="2" s="1"/>
  <c r="P40" i="2"/>
  <c r="N40" i="2"/>
  <c r="AE42" i="2"/>
  <c r="Z67" i="2"/>
  <c r="D67" i="2" s="1"/>
  <c r="G77" i="2"/>
  <c r="O77" i="2"/>
  <c r="L77" i="2"/>
  <c r="T112" i="2"/>
  <c r="R112" i="2" s="1"/>
  <c r="W112" i="2"/>
  <c r="AE132" i="2"/>
  <c r="AG132" i="2"/>
  <c r="S17" i="2"/>
  <c r="F29" i="2"/>
  <c r="AJ39" i="2"/>
  <c r="A39" i="2"/>
  <c r="V39" i="2"/>
  <c r="F39" i="2"/>
  <c r="N57" i="2"/>
  <c r="W66" i="2"/>
  <c r="T66" i="2"/>
  <c r="R66" i="2" s="1"/>
  <c r="AG196" i="2"/>
  <c r="AE196" i="2"/>
  <c r="Z196" i="2" s="1"/>
  <c r="D196" i="2" s="1"/>
  <c r="W42" i="2"/>
  <c r="G22" i="2"/>
  <c r="O30" i="2"/>
  <c r="W38" i="2"/>
  <c r="W47" i="2"/>
  <c r="N81" i="2"/>
  <c r="S81" i="2"/>
  <c r="P81" i="2"/>
  <c r="AG16" i="2"/>
  <c r="Z16" i="2" s="1"/>
  <c r="D16" i="2" s="1"/>
  <c r="S22" i="2"/>
  <c r="S24" i="2"/>
  <c r="AG29" i="2"/>
  <c r="AE29" i="2"/>
  <c r="Z29" i="2" s="1"/>
  <c r="D29" i="2" s="1"/>
  <c r="AG33" i="2"/>
  <c r="AE33" i="2"/>
  <c r="Z33" i="2" s="1"/>
  <c r="D33" i="2" s="1"/>
  <c r="N36" i="2"/>
  <c r="G37" i="2"/>
  <c r="L37" i="2"/>
  <c r="X39" i="2"/>
  <c r="L55" i="2"/>
  <c r="G55" i="2"/>
  <c r="P57" i="2"/>
  <c r="L89" i="2"/>
  <c r="G89" i="2"/>
  <c r="O89" i="2"/>
  <c r="AG13" i="2"/>
  <c r="Z13" i="2" s="1"/>
  <c r="D13" i="2" s="1"/>
  <c r="N32" i="2"/>
  <c r="G33" i="2"/>
  <c r="L51" i="2"/>
  <c r="P34" i="2"/>
  <c r="N34" i="2"/>
  <c r="W23" i="2"/>
  <c r="T60" i="2"/>
  <c r="W60" i="2"/>
  <c r="P439" i="2"/>
  <c r="N439" i="2" s="1"/>
  <c r="L6" i="2"/>
  <c r="L24" i="2"/>
  <c r="O6" i="2"/>
  <c r="W22" i="2"/>
  <c r="W24" i="2"/>
  <c r="Z27" i="2"/>
  <c r="D27" i="2" s="1"/>
  <c r="Z30" i="2"/>
  <c r="D30" i="2" s="1"/>
  <c r="G43" i="2"/>
  <c r="O43" i="2"/>
  <c r="O44" i="2"/>
  <c r="L44" i="2"/>
  <c r="G44" i="2"/>
  <c r="P52" i="2"/>
  <c r="N52" i="2"/>
  <c r="N55" i="2"/>
  <c r="P55" i="2"/>
  <c r="W10" i="2"/>
  <c r="O18" i="2"/>
  <c r="O20" i="2"/>
  <c r="Z24" i="2"/>
  <c r="D24" i="2" s="1"/>
  <c r="S32" i="2"/>
  <c r="O37" i="2"/>
  <c r="S40" i="2"/>
  <c r="L43" i="2"/>
  <c r="O45" i="2"/>
  <c r="L45" i="2"/>
  <c r="G49" i="2"/>
  <c r="P53" i="2"/>
  <c r="N53" i="2" s="1"/>
  <c r="S53" i="2"/>
  <c r="R54" i="2"/>
  <c r="V56" i="2"/>
  <c r="F56" i="2"/>
  <c r="A56" i="2"/>
  <c r="X56" i="2"/>
  <c r="AJ56" i="2"/>
  <c r="I56" i="2" s="1"/>
  <c r="W57" i="2"/>
  <c r="G61" i="2"/>
  <c r="L61" i="2"/>
  <c r="L62" i="2"/>
  <c r="AG87" i="2"/>
  <c r="AE87" i="2"/>
  <c r="S89" i="2"/>
  <c r="W41" i="2"/>
  <c r="O13" i="2"/>
  <c r="O16" i="2"/>
  <c r="G21" i="2"/>
  <c r="L21" i="2"/>
  <c r="AE30" i="2"/>
  <c r="AG30" i="2"/>
  <c r="S36" i="2"/>
  <c r="L50" i="2"/>
  <c r="G50" i="2" s="1"/>
  <c r="N71" i="2"/>
  <c r="T38" i="2"/>
  <c r="R38" i="2" s="1"/>
  <c r="Z43" i="2"/>
  <c r="D43" i="2" s="1"/>
  <c r="AE55" i="2"/>
  <c r="AG55" i="2"/>
  <c r="Z55" i="2" s="1"/>
  <c r="D55" i="2" s="1"/>
  <c r="G10" i="2"/>
  <c r="A29" i="2"/>
  <c r="X29" i="2"/>
  <c r="P401" i="2"/>
  <c r="N401" i="2"/>
  <c r="S34" i="2"/>
  <c r="AE12" i="2"/>
  <c r="Z12" i="2" s="1"/>
  <c r="D12" i="2" s="1"/>
  <c r="G17" i="2"/>
  <c r="S18" i="2"/>
  <c r="S20" i="2"/>
  <c r="L26" i="2"/>
  <c r="G26" i="2" s="1"/>
  <c r="N29" i="2"/>
  <c r="G34" i="2"/>
  <c r="W40" i="2"/>
  <c r="L47" i="2"/>
  <c r="G47" i="2"/>
  <c r="L48" i="2"/>
  <c r="G48" i="2"/>
  <c r="S50" i="2"/>
  <c r="P50" i="2"/>
  <c r="N50" i="2"/>
  <c r="O51" i="2"/>
  <c r="T93" i="2"/>
  <c r="R93" i="2"/>
  <c r="W93" i="2"/>
  <c r="Z65" i="2"/>
  <c r="D65" i="2" s="1"/>
  <c r="W67" i="2"/>
  <c r="L71" i="2"/>
  <c r="G71" i="2"/>
  <c r="W76" i="2"/>
  <c r="T76" i="2"/>
  <c r="R76" i="2"/>
  <c r="Z77" i="2"/>
  <c r="D77" i="2" s="1"/>
  <c r="Z79" i="2"/>
  <c r="D79" i="2" s="1"/>
  <c r="W109" i="2"/>
  <c r="T109" i="2"/>
  <c r="R109" i="2"/>
  <c r="P144" i="2"/>
  <c r="N144" i="2"/>
  <c r="G40" i="2"/>
  <c r="S57" i="2"/>
  <c r="O58" i="2"/>
  <c r="L58" i="2"/>
  <c r="O62" i="2"/>
  <c r="N70" i="2"/>
  <c r="S71" i="2"/>
  <c r="AE86" i="2"/>
  <c r="AG86" i="2"/>
  <c r="L88" i="2"/>
  <c r="G88" i="2" s="1"/>
  <c r="O88" i="2"/>
  <c r="L148" i="2"/>
  <c r="G148" i="2"/>
  <c r="O148" i="2"/>
  <c r="G35" i="2"/>
  <c r="AE43" i="2"/>
  <c r="G46" i="2"/>
  <c r="N63" i="2"/>
  <c r="L64" i="2"/>
  <c r="G64" i="2"/>
  <c r="R70" i="2"/>
  <c r="W71" i="2"/>
  <c r="Z74" i="2"/>
  <c r="D74" i="2" s="1"/>
  <c r="N82" i="2"/>
  <c r="O83" i="2"/>
  <c r="P168" i="2"/>
  <c r="N168" i="2"/>
  <c r="W54" i="2"/>
  <c r="Z76" i="2"/>
  <c r="D76" i="2" s="1"/>
  <c r="S83" i="2"/>
  <c r="T84" i="2"/>
  <c r="R84" i="2"/>
  <c r="Z89" i="2"/>
  <c r="D89" i="2" s="1"/>
  <c r="AG90" i="2"/>
  <c r="AE90" i="2"/>
  <c r="Z90" i="2" s="1"/>
  <c r="D90" i="2" s="1"/>
  <c r="AE109" i="2"/>
  <c r="AG109" i="2"/>
  <c r="G166" i="2"/>
  <c r="O166" i="2"/>
  <c r="L166" i="2"/>
  <c r="L52" i="2"/>
  <c r="G52" i="2"/>
  <c r="Z60" i="2"/>
  <c r="D60" i="2" s="1"/>
  <c r="W61" i="2"/>
  <c r="S63" i="2"/>
  <c r="O64" i="2"/>
  <c r="G79" i="2"/>
  <c r="L87" i="2"/>
  <c r="G87" i="2"/>
  <c r="G95" i="2"/>
  <c r="O95" i="2"/>
  <c r="L95" i="2"/>
  <c r="AG103" i="2"/>
  <c r="Z103" i="2" s="1"/>
  <c r="D103" i="2" s="1"/>
  <c r="AE103" i="2"/>
  <c r="Z111" i="2"/>
  <c r="D111" i="2" s="1"/>
  <c r="L158" i="2"/>
  <c r="G158" i="2"/>
  <c r="S55" i="2"/>
  <c r="S58" i="2"/>
  <c r="L59" i="2"/>
  <c r="G59" i="2"/>
  <c r="X70" i="2"/>
  <c r="V70" i="2"/>
  <c r="F70" i="2"/>
  <c r="G78" i="2"/>
  <c r="L78" i="2"/>
  <c r="W82" i="2"/>
  <c r="T82" i="2"/>
  <c r="R82" i="2" s="1"/>
  <c r="P85" i="2"/>
  <c r="N85" i="2"/>
  <c r="S98" i="2"/>
  <c r="L110" i="2"/>
  <c r="G110" i="2"/>
  <c r="O110" i="2"/>
  <c r="L40" i="2"/>
  <c r="O59" i="2"/>
  <c r="N65" i="2"/>
  <c r="P65" i="2"/>
  <c r="P80" i="2"/>
  <c r="N80" i="2"/>
  <c r="W84" i="2"/>
  <c r="S85" i="2"/>
  <c r="P87" i="2"/>
  <c r="S105" i="2"/>
  <c r="N105" i="2"/>
  <c r="AG48" i="2"/>
  <c r="AE48" i="2"/>
  <c r="G67" i="2"/>
  <c r="O78" i="2"/>
  <c r="O79" i="2"/>
  <c r="P86" i="2"/>
  <c r="Z88" i="2"/>
  <c r="D88" i="2" s="1"/>
  <c r="G94" i="2"/>
  <c r="Z106" i="2"/>
  <c r="D106" i="2" s="1"/>
  <c r="AE127" i="2"/>
  <c r="S147" i="2"/>
  <c r="P147" i="2"/>
  <c r="AE45" i="2"/>
  <c r="G54" i="2"/>
  <c r="AE54" i="2"/>
  <c r="AG54" i="2"/>
  <c r="Z54" i="2" s="1"/>
  <c r="D54" i="2" s="1"/>
  <c r="R56" i="2"/>
  <c r="N66" i="2"/>
  <c r="S79" i="2"/>
  <c r="T80" i="2"/>
  <c r="R80" i="2" s="1"/>
  <c r="Z82" i="2"/>
  <c r="D82" i="2" s="1"/>
  <c r="S87" i="2"/>
  <c r="L94" i="2"/>
  <c r="Z53" i="2"/>
  <c r="D53" i="2" s="1"/>
  <c r="AG57" i="2"/>
  <c r="AE57" i="2"/>
  <c r="Z57" i="2" s="1"/>
  <c r="D57" i="2" s="1"/>
  <c r="W65" i="2"/>
  <c r="T65" i="2"/>
  <c r="A80" i="2"/>
  <c r="X80" i="2"/>
  <c r="V80" i="2"/>
  <c r="F80" i="2"/>
  <c r="AJ80" i="2"/>
  <c r="I80" i="2" s="1"/>
  <c r="Z81" i="2"/>
  <c r="D81" i="2" s="1"/>
  <c r="W87" i="2"/>
  <c r="L90" i="2"/>
  <c r="G90" i="2"/>
  <c r="P91" i="2"/>
  <c r="N91" i="2" s="1"/>
  <c r="S94" i="2"/>
  <c r="P94" i="2"/>
  <c r="N94" i="2"/>
  <c r="L108" i="2"/>
  <c r="G108" i="2"/>
  <c r="Z110" i="2"/>
  <c r="D110" i="2" s="1"/>
  <c r="AG47" i="2"/>
  <c r="Z58" i="2"/>
  <c r="D58" i="2" s="1"/>
  <c r="P67" i="2"/>
  <c r="N67" i="2"/>
  <c r="T68" i="2"/>
  <c r="R68" i="2"/>
  <c r="P69" i="2"/>
  <c r="N69" i="2"/>
  <c r="AE70" i="2"/>
  <c r="Z70" i="2" s="1"/>
  <c r="D70" i="2" s="1"/>
  <c r="A70" i="2" s="1"/>
  <c r="AG70" i="2"/>
  <c r="L75" i="2"/>
  <c r="G75" i="2"/>
  <c r="L76" i="2"/>
  <c r="G76" i="2" s="1"/>
  <c r="S86" i="2"/>
  <c r="W86" i="2" s="1"/>
  <c r="Z87" i="2"/>
  <c r="D87" i="2" s="1"/>
  <c r="O90" i="2"/>
  <c r="S91" i="2"/>
  <c r="Z96" i="2"/>
  <c r="D96" i="2" s="1"/>
  <c r="Z115" i="2"/>
  <c r="D115" i="2" s="1"/>
  <c r="Z118" i="2"/>
  <c r="D118" i="2" s="1"/>
  <c r="G134" i="2"/>
  <c r="O48" i="2"/>
  <c r="AG51" i="2"/>
  <c r="Z51" i="2" s="1"/>
  <c r="D51" i="2" s="1"/>
  <c r="S52" i="2"/>
  <c r="J70" i="2"/>
  <c r="C70" i="2" s="1"/>
  <c r="H70" i="2"/>
  <c r="G72" i="2"/>
  <c r="O72" i="2"/>
  <c r="S73" i="2"/>
  <c r="P73" i="2"/>
  <c r="N73" i="2"/>
  <c r="O74" i="2"/>
  <c r="S74" i="2" s="1"/>
  <c r="L74" i="2"/>
  <c r="G74" i="2" s="1"/>
  <c r="O75" i="2"/>
  <c r="N76" i="2"/>
  <c r="Z80" i="2"/>
  <c r="D80" i="2" s="1"/>
  <c r="S92" i="2"/>
  <c r="Z105" i="2"/>
  <c r="D105" i="2" s="1"/>
  <c r="G68" i="2"/>
  <c r="G84" i="2"/>
  <c r="Z100" i="2"/>
  <c r="D100" i="2" s="1"/>
  <c r="O108" i="2"/>
  <c r="Z109" i="2"/>
  <c r="D109" i="2" s="1"/>
  <c r="P112" i="2"/>
  <c r="N112" i="2"/>
  <c r="L73" i="2"/>
  <c r="G80" i="2"/>
  <c r="L122" i="2"/>
  <c r="O122" i="2"/>
  <c r="P129" i="2"/>
  <c r="N129" i="2"/>
  <c r="AG141" i="2"/>
  <c r="AE141" i="2"/>
  <c r="P157" i="2"/>
  <c r="N157" i="2"/>
  <c r="S113" i="2"/>
  <c r="AG115" i="2"/>
  <c r="N121" i="2"/>
  <c r="W194" i="2"/>
  <c r="T194" i="2"/>
  <c r="R194" i="2"/>
  <c r="G86" i="2"/>
  <c r="G91" i="2"/>
  <c r="AG107" i="2"/>
  <c r="AE107" i="2"/>
  <c r="Z107" i="2" s="1"/>
  <c r="D107" i="2" s="1"/>
  <c r="L142" i="2"/>
  <c r="G142" i="2"/>
  <c r="O142" i="2"/>
  <c r="N68" i="2"/>
  <c r="AE73" i="2"/>
  <c r="Z73" i="2" s="1"/>
  <c r="D73" i="2" s="1"/>
  <c r="N84" i="2"/>
  <c r="N93" i="2"/>
  <c r="O96" i="2"/>
  <c r="L98" i="2"/>
  <c r="G98" i="2"/>
  <c r="AE98" i="2"/>
  <c r="Z98" i="2" s="1"/>
  <c r="D98" i="2" s="1"/>
  <c r="L104" i="2"/>
  <c r="G104" i="2"/>
  <c r="P114" i="2"/>
  <c r="N114" i="2"/>
  <c r="T121" i="2"/>
  <c r="W121" i="2"/>
  <c r="L132" i="2"/>
  <c r="G132" i="2"/>
  <c r="Z138" i="2"/>
  <c r="D138" i="2" s="1"/>
  <c r="G156" i="2"/>
  <c r="L156" i="2"/>
  <c r="O156" i="2"/>
  <c r="P186" i="2"/>
  <c r="N186" i="2" s="1"/>
  <c r="S96" i="2"/>
  <c r="P102" i="2"/>
  <c r="N102" i="2"/>
  <c r="O107" i="2"/>
  <c r="L107" i="2"/>
  <c r="G111" i="2"/>
  <c r="O111" i="2"/>
  <c r="L115" i="2"/>
  <c r="G115" i="2"/>
  <c r="L116" i="2"/>
  <c r="G116" i="2"/>
  <c r="N119" i="2"/>
  <c r="P120" i="2"/>
  <c r="N120" i="2"/>
  <c r="S120" i="2"/>
  <c r="N126" i="2"/>
  <c r="P126" i="2"/>
  <c r="N132" i="2"/>
  <c r="P132" i="2"/>
  <c r="G160" i="2"/>
  <c r="L160" i="2"/>
  <c r="P161" i="2"/>
  <c r="N161" i="2"/>
  <c r="R186" i="2"/>
  <c r="T186" i="2"/>
  <c r="P68" i="2"/>
  <c r="AE79" i="2"/>
  <c r="Z97" i="2"/>
  <c r="D97" i="2" s="1"/>
  <c r="O98" i="2"/>
  <c r="P104" i="2"/>
  <c r="AE105" i="2"/>
  <c r="L111" i="2"/>
  <c r="S114" i="2"/>
  <c r="O116" i="2"/>
  <c r="G117" i="2"/>
  <c r="L117" i="2"/>
  <c r="O118" i="2"/>
  <c r="L118" i="2"/>
  <c r="AE58" i="2"/>
  <c r="AE74" i="2"/>
  <c r="S102" i="2"/>
  <c r="Z113" i="2"/>
  <c r="D113" i="2" s="1"/>
  <c r="O115" i="2"/>
  <c r="S117" i="2"/>
  <c r="P117" i="2"/>
  <c r="N117" i="2"/>
  <c r="S126" i="2"/>
  <c r="R130" i="2"/>
  <c r="T130" i="2"/>
  <c r="W130" i="2"/>
  <c r="P145" i="2"/>
  <c r="N145" i="2"/>
  <c r="O160" i="2"/>
  <c r="O92" i="2"/>
  <c r="O100" i="2"/>
  <c r="W179" i="2"/>
  <c r="T179" i="2"/>
  <c r="R179" i="2" s="1"/>
  <c r="AE64" i="2"/>
  <c r="Z64" i="2" s="1"/>
  <c r="D64" i="2" s="1"/>
  <c r="AE80" i="2"/>
  <c r="Z94" i="2"/>
  <c r="D94" i="2" s="1"/>
  <c r="Z99" i="2"/>
  <c r="D99" i="2" s="1"/>
  <c r="G101" i="2"/>
  <c r="O101" i="2"/>
  <c r="S104" i="2"/>
  <c r="Z120" i="2"/>
  <c r="D120" i="2" s="1"/>
  <c r="T131" i="2"/>
  <c r="R131" i="2"/>
  <c r="G149" i="2"/>
  <c r="O149" i="2"/>
  <c r="O97" i="2"/>
  <c r="L97" i="2"/>
  <c r="Z114" i="2"/>
  <c r="D114" i="2" s="1"/>
  <c r="L140" i="2"/>
  <c r="G140" i="2"/>
  <c r="Z150" i="2"/>
  <c r="D150" i="2" s="1"/>
  <c r="L154" i="2"/>
  <c r="O154" i="2"/>
  <c r="P159" i="2"/>
  <c r="N159" i="2" s="1"/>
  <c r="S159" i="2"/>
  <c r="T169" i="2"/>
  <c r="G123" i="2"/>
  <c r="L123" i="2"/>
  <c r="L124" i="2"/>
  <c r="G124" i="2"/>
  <c r="Z127" i="2"/>
  <c r="D127" i="2" s="1"/>
  <c r="O135" i="2"/>
  <c r="L135" i="2"/>
  <c r="O140" i="2"/>
  <c r="S119" i="2"/>
  <c r="S157" i="2"/>
  <c r="R184" i="2"/>
  <c r="T184" i="2"/>
  <c r="N246" i="2"/>
  <c r="AE106" i="2"/>
  <c r="G114" i="2"/>
  <c r="O124" i="2"/>
  <c r="S129" i="2"/>
  <c r="L136" i="2"/>
  <c r="G136" i="2"/>
  <c r="AG137" i="2"/>
  <c r="Z137" i="2" s="1"/>
  <c r="D137" i="2" s="1"/>
  <c r="S145" i="2"/>
  <c r="W152" i="2"/>
  <c r="O153" i="2"/>
  <c r="G155" i="2"/>
  <c r="O155" i="2"/>
  <c r="S168" i="2"/>
  <c r="W184" i="2"/>
  <c r="L120" i="2"/>
  <c r="G120" i="2"/>
  <c r="AG125" i="2"/>
  <c r="AE125" i="2"/>
  <c r="Z125" i="2" s="1"/>
  <c r="D125" i="2" s="1"/>
  <c r="O127" i="2"/>
  <c r="P136" i="2"/>
  <c r="N136" i="2" s="1"/>
  <c r="S148" i="2"/>
  <c r="W148" i="2" s="1"/>
  <c r="Z151" i="2"/>
  <c r="D151" i="2" s="1"/>
  <c r="W157" i="2"/>
  <c r="W158" i="2"/>
  <c r="G125" i="2"/>
  <c r="Z126" i="2"/>
  <c r="D126" i="2" s="1"/>
  <c r="G128" i="2"/>
  <c r="S135" i="2"/>
  <c r="L137" i="2"/>
  <c r="G138" i="2"/>
  <c r="N141" i="2"/>
  <c r="AE143" i="2"/>
  <c r="Z143" i="2" s="1"/>
  <c r="D143" i="2" s="1"/>
  <c r="W147" i="2"/>
  <c r="Z152" i="2"/>
  <c r="D152" i="2" s="1"/>
  <c r="AE170" i="2"/>
  <c r="Z170" i="2" s="1"/>
  <c r="D170" i="2" s="1"/>
  <c r="AG170" i="2"/>
  <c r="Z206" i="2"/>
  <c r="D206" i="2" s="1"/>
  <c r="G133" i="2"/>
  <c r="S136" i="2"/>
  <c r="Z147" i="2"/>
  <c r="D147" i="2" s="1"/>
  <c r="Z148" i="2"/>
  <c r="D148" i="2" s="1"/>
  <c r="O150" i="2"/>
  <c r="L150" i="2"/>
  <c r="S209" i="2"/>
  <c r="Z116" i="2"/>
  <c r="D116" i="2" s="1"/>
  <c r="Z119" i="2"/>
  <c r="D119" i="2" s="1"/>
  <c r="P146" i="2"/>
  <c r="N146" i="2"/>
  <c r="AG151" i="2"/>
  <c r="AE151" i="2"/>
  <c r="N165" i="2"/>
  <c r="P165" i="2"/>
  <c r="G171" i="2"/>
  <c r="O171" i="2"/>
  <c r="L171" i="2"/>
  <c r="G119" i="2"/>
  <c r="P130" i="2"/>
  <c r="N130" i="2"/>
  <c r="W131" i="2"/>
  <c r="O133" i="2"/>
  <c r="Z140" i="2"/>
  <c r="D140" i="2" s="1"/>
  <c r="W177" i="2"/>
  <c r="N181" i="2"/>
  <c r="P181" i="2"/>
  <c r="S132" i="2"/>
  <c r="W136" i="2"/>
  <c r="O137" i="2"/>
  <c r="S146" i="2"/>
  <c r="W165" i="2"/>
  <c r="AE116" i="2"/>
  <c r="O125" i="2"/>
  <c r="S125" i="2" s="1"/>
  <c r="O138" i="2"/>
  <c r="L139" i="2"/>
  <c r="S141" i="2"/>
  <c r="O143" i="2"/>
  <c r="AE147" i="2"/>
  <c r="AG147" i="2"/>
  <c r="O151" i="2"/>
  <c r="L151" i="2"/>
  <c r="Z154" i="2"/>
  <c r="D154" i="2" s="1"/>
  <c r="AG119" i="2"/>
  <c r="AE119" i="2"/>
  <c r="L126" i="2"/>
  <c r="G126" i="2"/>
  <c r="O128" i="2"/>
  <c r="Z132" i="2"/>
  <c r="D132" i="2" s="1"/>
  <c r="Z136" i="2"/>
  <c r="D136" i="2" s="1"/>
  <c r="P174" i="2"/>
  <c r="N174" i="2"/>
  <c r="N175" i="2"/>
  <c r="S175" i="2"/>
  <c r="P175" i="2"/>
  <c r="W181" i="2"/>
  <c r="AG121" i="2"/>
  <c r="Z121" i="2" s="1"/>
  <c r="D121" i="2" s="1"/>
  <c r="O123" i="2"/>
  <c r="O134" i="2"/>
  <c r="L134" i="2"/>
  <c r="S139" i="2"/>
  <c r="P139" i="2"/>
  <c r="N139" i="2"/>
  <c r="P163" i="2"/>
  <c r="N163" i="2"/>
  <c r="S163" i="2"/>
  <c r="N164" i="2"/>
  <c r="P164" i="2"/>
  <c r="S128" i="2"/>
  <c r="W128" i="2" s="1"/>
  <c r="L129" i="2"/>
  <c r="G129" i="2"/>
  <c r="AE131" i="2"/>
  <c r="Z131" i="2" s="1"/>
  <c r="D131" i="2" s="1"/>
  <c r="AG131" i="2"/>
  <c r="AG135" i="2"/>
  <c r="AE135" i="2"/>
  <c r="Z135" i="2" s="1"/>
  <c r="D135" i="2" s="1"/>
  <c r="Z141" i="2"/>
  <c r="D141" i="2" s="1"/>
  <c r="Z142" i="2"/>
  <c r="D142" i="2" s="1"/>
  <c r="S143" i="2"/>
  <c r="L152" i="2"/>
  <c r="G152" i="2"/>
  <c r="AG153" i="2"/>
  <c r="Z153" i="2" s="1"/>
  <c r="D153" i="2" s="1"/>
  <c r="S164" i="2"/>
  <c r="P169" i="2"/>
  <c r="N169" i="2"/>
  <c r="P179" i="2"/>
  <c r="N179" i="2"/>
  <c r="Z191" i="2"/>
  <c r="D191" i="2" s="1"/>
  <c r="AJ208" i="2"/>
  <c r="V208" i="2"/>
  <c r="F208" i="2"/>
  <c r="X208" i="2"/>
  <c r="G231" i="2"/>
  <c r="L231" i="2"/>
  <c r="O231" i="2"/>
  <c r="G145" i="2"/>
  <c r="S165" i="2"/>
  <c r="L169" i="2"/>
  <c r="G169" i="2"/>
  <c r="S174" i="2"/>
  <c r="Z177" i="2"/>
  <c r="D177" i="2" s="1"/>
  <c r="W180" i="2"/>
  <c r="T180" i="2"/>
  <c r="R180" i="2" s="1"/>
  <c r="L186" i="2"/>
  <c r="G186" i="2"/>
  <c r="P194" i="2"/>
  <c r="N194" i="2" s="1"/>
  <c r="P198" i="2"/>
  <c r="N198" i="2" s="1"/>
  <c r="Z200" i="2"/>
  <c r="D200" i="2" s="1"/>
  <c r="L243" i="2"/>
  <c r="G243" i="2" s="1"/>
  <c r="P187" i="2"/>
  <c r="N187" i="2"/>
  <c r="T192" i="2"/>
  <c r="W192" i="2"/>
  <c r="R192" i="2"/>
  <c r="R198" i="2"/>
  <c r="T198" i="2"/>
  <c r="O158" i="2"/>
  <c r="W170" i="2"/>
  <c r="T170" i="2"/>
  <c r="R170" i="2"/>
  <c r="X185" i="2"/>
  <c r="F185" i="2"/>
  <c r="E185" i="2" s="1"/>
  <c r="B185" i="2" s="1"/>
  <c r="V185" i="2"/>
  <c r="G191" i="2"/>
  <c r="O191" i="2"/>
  <c r="L191" i="2"/>
  <c r="G197" i="2"/>
  <c r="L197" i="2"/>
  <c r="X205" i="2"/>
  <c r="V205" i="2"/>
  <c r="F205" i="2"/>
  <c r="AJ205" i="2"/>
  <c r="I205" i="2" s="1"/>
  <c r="G226" i="2"/>
  <c r="L226" i="2"/>
  <c r="AG241" i="2"/>
  <c r="AE241" i="2"/>
  <c r="Z241" i="2" s="1"/>
  <c r="D241" i="2" s="1"/>
  <c r="AE144" i="2"/>
  <c r="Z144" i="2" s="1"/>
  <c r="D144" i="2" s="1"/>
  <c r="L145" i="2"/>
  <c r="AE165" i="2"/>
  <c r="Z165" i="2" s="1"/>
  <c r="D165" i="2" s="1"/>
  <c r="W169" i="2"/>
  <c r="W186" i="2"/>
  <c r="S187" i="2"/>
  <c r="W198" i="2"/>
  <c r="O226" i="2"/>
  <c r="G159" i="2"/>
  <c r="AE164" i="2"/>
  <c r="Z164" i="2" s="1"/>
  <c r="D164" i="2" s="1"/>
  <c r="AG164" i="2"/>
  <c r="Z185" i="2"/>
  <c r="D185" i="2" s="1"/>
  <c r="P188" i="2"/>
  <c r="N188" i="2"/>
  <c r="Z192" i="2"/>
  <c r="D192" i="2" s="1"/>
  <c r="AE134" i="2"/>
  <c r="Z134" i="2" s="1"/>
  <c r="D134" i="2" s="1"/>
  <c r="AE150" i="2"/>
  <c r="S158" i="2"/>
  <c r="Z169" i="2"/>
  <c r="D169" i="2" s="1"/>
  <c r="AE180" i="2"/>
  <c r="Z180" i="2" s="1"/>
  <c r="D180" i="2" s="1"/>
  <c r="AG180" i="2"/>
  <c r="Z186" i="2"/>
  <c r="D186" i="2" s="1"/>
  <c r="S188" i="2"/>
  <c r="Z198" i="2"/>
  <c r="D198" i="2" s="1"/>
  <c r="L161" i="2"/>
  <c r="G182" i="2"/>
  <c r="O182" i="2"/>
  <c r="R189" i="2"/>
  <c r="T189" i="2"/>
  <c r="W190" i="2"/>
  <c r="T190" i="2"/>
  <c r="R190" i="2"/>
  <c r="A185" i="2"/>
  <c r="O162" i="2"/>
  <c r="L162" i="2"/>
  <c r="G162" i="2"/>
  <c r="S178" i="2"/>
  <c r="W178" i="2" s="1"/>
  <c r="P178" i="2"/>
  <c r="N178" i="2"/>
  <c r="L181" i="2"/>
  <c r="G181" i="2"/>
  <c r="T183" i="2"/>
  <c r="R183" i="2"/>
  <c r="C185" i="2"/>
  <c r="G196" i="2"/>
  <c r="O196" i="2"/>
  <c r="L196" i="2"/>
  <c r="AE156" i="2"/>
  <c r="Z156" i="2" s="1"/>
  <c r="D156" i="2" s="1"/>
  <c r="Z160" i="2"/>
  <c r="D160" i="2" s="1"/>
  <c r="S161" i="2"/>
  <c r="L165" i="2"/>
  <c r="G165" i="2"/>
  <c r="G172" i="2"/>
  <c r="O172" i="2"/>
  <c r="L172" i="2"/>
  <c r="L180" i="2"/>
  <c r="G180" i="2"/>
  <c r="P173" i="2"/>
  <c r="N173" i="2"/>
  <c r="P177" i="2"/>
  <c r="N177" i="2" s="1"/>
  <c r="V183" i="2"/>
  <c r="F183" i="2"/>
  <c r="AJ183" i="2"/>
  <c r="A183" i="2"/>
  <c r="X183" i="2"/>
  <c r="P184" i="2"/>
  <c r="N184" i="2"/>
  <c r="AG191" i="2"/>
  <c r="AE191" i="2"/>
  <c r="P195" i="2"/>
  <c r="N195" i="2" s="1"/>
  <c r="AE229" i="2"/>
  <c r="AG229" i="2"/>
  <c r="Z155" i="2"/>
  <c r="D155" i="2" s="1"/>
  <c r="Z161" i="2"/>
  <c r="D161" i="2" s="1"/>
  <c r="G163" i="2"/>
  <c r="S167" i="2"/>
  <c r="P167" i="2"/>
  <c r="N167" i="2"/>
  <c r="S173" i="2"/>
  <c r="S176" i="2"/>
  <c r="P176" i="2"/>
  <c r="N176" i="2" s="1"/>
  <c r="S177" i="2"/>
  <c r="N180" i="2"/>
  <c r="S181" i="2"/>
  <c r="S195" i="2"/>
  <c r="S210" i="2"/>
  <c r="P210" i="2"/>
  <c r="N210" i="2" s="1"/>
  <c r="G178" i="2"/>
  <c r="Z190" i="2"/>
  <c r="D190" i="2" s="1"/>
  <c r="Z199" i="2"/>
  <c r="D199" i="2" s="1"/>
  <c r="Z205" i="2"/>
  <c r="D205" i="2" s="1"/>
  <c r="A205" i="2" s="1"/>
  <c r="O243" i="2"/>
  <c r="L246" i="2"/>
  <c r="G246" i="2"/>
  <c r="L256" i="2"/>
  <c r="G256" i="2"/>
  <c r="O256" i="2"/>
  <c r="G179" i="2"/>
  <c r="AE199" i="2"/>
  <c r="AG199" i="2"/>
  <c r="Z208" i="2"/>
  <c r="D208" i="2" s="1"/>
  <c r="A208" i="2" s="1"/>
  <c r="Z219" i="2"/>
  <c r="D219" i="2" s="1"/>
  <c r="Z227" i="2"/>
  <c r="D227" i="2" s="1"/>
  <c r="I229" i="2"/>
  <c r="J229" i="2" s="1"/>
  <c r="H229" i="2"/>
  <c r="W189" i="2"/>
  <c r="L190" i="2"/>
  <c r="AG205" i="2"/>
  <c r="P251" i="2"/>
  <c r="N251" i="2" s="1"/>
  <c r="L178" i="2"/>
  <c r="Z189" i="2"/>
  <c r="D189" i="2" s="1"/>
  <c r="J205" i="2"/>
  <c r="C205" i="2" s="1"/>
  <c r="H205" i="2"/>
  <c r="AG237" i="2"/>
  <c r="AE237" i="2"/>
  <c r="Z237" i="2" s="1"/>
  <c r="D237" i="2" s="1"/>
  <c r="AE172" i="2"/>
  <c r="Z172" i="2" s="1"/>
  <c r="D172" i="2" s="1"/>
  <c r="N183" i="2"/>
  <c r="N190" i="2"/>
  <c r="P193" i="2"/>
  <c r="N193" i="2" s="1"/>
  <c r="P204" i="2"/>
  <c r="N204" i="2"/>
  <c r="G206" i="2"/>
  <c r="L206" i="2"/>
  <c r="G207" i="2"/>
  <c r="O207" i="2"/>
  <c r="AE240" i="2"/>
  <c r="AG240" i="2"/>
  <c r="P245" i="2"/>
  <c r="N245" i="2"/>
  <c r="S245" i="2"/>
  <c r="T249" i="2"/>
  <c r="R249" i="2"/>
  <c r="W249" i="2"/>
  <c r="S259" i="2"/>
  <c r="L179" i="2"/>
  <c r="P183" i="2"/>
  <c r="L189" i="2"/>
  <c r="G189" i="2"/>
  <c r="P190" i="2"/>
  <c r="N199" i="2"/>
  <c r="S204" i="2"/>
  <c r="L207" i="2"/>
  <c r="P222" i="2"/>
  <c r="N225" i="2"/>
  <c r="P225" i="2"/>
  <c r="Z226" i="2"/>
  <c r="D226" i="2" s="1"/>
  <c r="S230" i="2"/>
  <c r="L174" i="2"/>
  <c r="G174" i="2" s="1"/>
  <c r="G195" i="2"/>
  <c r="L200" i="2"/>
  <c r="G200" i="2"/>
  <c r="L201" i="2"/>
  <c r="G215" i="2"/>
  <c r="S225" i="2"/>
  <c r="AE168" i="2"/>
  <c r="Z168" i="2" s="1"/>
  <c r="D168" i="2" s="1"/>
  <c r="AE184" i="2"/>
  <c r="Z184" i="2" s="1"/>
  <c r="D184" i="2" s="1"/>
  <c r="N189" i="2"/>
  <c r="S193" i="2"/>
  <c r="AE195" i="2"/>
  <c r="Z195" i="2" s="1"/>
  <c r="D195" i="2" s="1"/>
  <c r="S199" i="2"/>
  <c r="S200" i="2"/>
  <c r="N200" i="2"/>
  <c r="O202" i="2"/>
  <c r="L202" i="2"/>
  <c r="O206" i="2"/>
  <c r="P208" i="2"/>
  <c r="N208" i="2"/>
  <c r="G212" i="2"/>
  <c r="O212" i="2"/>
  <c r="S214" i="2"/>
  <c r="P214" i="2"/>
  <c r="N214" i="2"/>
  <c r="O221" i="2"/>
  <c r="S222" i="2"/>
  <c r="AE226" i="2"/>
  <c r="AG226" i="2"/>
  <c r="O257" i="2"/>
  <c r="L257" i="2"/>
  <c r="G257" i="2"/>
  <c r="AG192" i="2"/>
  <c r="AE192" i="2"/>
  <c r="O197" i="2"/>
  <c r="P200" i="2"/>
  <c r="O209" i="2"/>
  <c r="L209" i="2"/>
  <c r="G209" i="2"/>
  <c r="P216" i="2"/>
  <c r="N216" i="2"/>
  <c r="Z225" i="2"/>
  <c r="D225" i="2" s="1"/>
  <c r="S244" i="2"/>
  <c r="P244" i="2"/>
  <c r="N244" i="2"/>
  <c r="G247" i="2"/>
  <c r="L247" i="2"/>
  <c r="R302" i="2"/>
  <c r="T302" i="2"/>
  <c r="AE158" i="2"/>
  <c r="Z158" i="2" s="1"/>
  <c r="D158" i="2" s="1"/>
  <c r="L192" i="2"/>
  <c r="O201" i="2"/>
  <c r="G211" i="2"/>
  <c r="O215" i="2"/>
  <c r="P217" i="2"/>
  <c r="S217" i="2"/>
  <c r="N217" i="2"/>
  <c r="R229" i="2"/>
  <c r="T229" i="2"/>
  <c r="Z265" i="2"/>
  <c r="D265" i="2" s="1"/>
  <c r="A265" i="2" s="1"/>
  <c r="AG188" i="2"/>
  <c r="Z188" i="2" s="1"/>
  <c r="D188" i="2" s="1"/>
  <c r="O203" i="2"/>
  <c r="L203" i="2"/>
  <c r="Z204" i="2"/>
  <c r="D204" i="2" s="1"/>
  <c r="R205" i="2"/>
  <c r="P220" i="2"/>
  <c r="N220" i="2"/>
  <c r="O227" i="2"/>
  <c r="L227" i="2"/>
  <c r="G227" i="2"/>
  <c r="B229" i="2"/>
  <c r="F229" i="2"/>
  <c r="E229" i="2" s="1"/>
  <c r="X229" i="2"/>
  <c r="C229" i="2"/>
  <c r="V229" i="2"/>
  <c r="A229" i="2"/>
  <c r="Z254" i="2"/>
  <c r="D254" i="2" s="1"/>
  <c r="S261" i="2"/>
  <c r="P261" i="2"/>
  <c r="N261" i="2" s="1"/>
  <c r="G267" i="2"/>
  <c r="L267" i="2"/>
  <c r="O267" i="2"/>
  <c r="H185" i="2"/>
  <c r="P192" i="2"/>
  <c r="T208" i="2"/>
  <c r="R208" i="2"/>
  <c r="O211" i="2"/>
  <c r="S220" i="2"/>
  <c r="Z229" i="2"/>
  <c r="D229" i="2" s="1"/>
  <c r="G213" i="2"/>
  <c r="G218" i="2"/>
  <c r="G219" i="2"/>
  <c r="P234" i="2"/>
  <c r="N234" i="2" s="1"/>
  <c r="P250" i="2"/>
  <c r="N250" i="2"/>
  <c r="S252" i="2"/>
  <c r="P252" i="2"/>
  <c r="O268" i="2"/>
  <c r="L268" i="2"/>
  <c r="G268" i="2" s="1"/>
  <c r="AE275" i="2"/>
  <c r="AG275" i="2"/>
  <c r="G242" i="2"/>
  <c r="S246" i="2"/>
  <c r="W282" i="2"/>
  <c r="T282" i="2"/>
  <c r="R282" i="2"/>
  <c r="G288" i="2"/>
  <c r="L288" i="2"/>
  <c r="L216" i="2"/>
  <c r="G216" i="2" s="1"/>
  <c r="L217" i="2"/>
  <c r="P235" i="2"/>
  <c r="N235" i="2" s="1"/>
  <c r="O242" i="2"/>
  <c r="A250" i="2"/>
  <c r="X250" i="2"/>
  <c r="V250" i="2"/>
  <c r="F250" i="2"/>
  <c r="AJ250" i="2"/>
  <c r="I250" i="2" s="1"/>
  <c r="S251" i="2"/>
  <c r="V269" i="2"/>
  <c r="F269" i="2"/>
  <c r="AJ269" i="2"/>
  <c r="I269" i="2" s="1"/>
  <c r="X269" i="2"/>
  <c r="AE212" i="2"/>
  <c r="Z212" i="2" s="1"/>
  <c r="D212" i="2" s="1"/>
  <c r="L232" i="2"/>
  <c r="W234" i="2"/>
  <c r="O239" i="2"/>
  <c r="L239" i="2"/>
  <c r="G239" i="2"/>
  <c r="L241" i="2"/>
  <c r="G241" i="2"/>
  <c r="AG260" i="2"/>
  <c r="AG265" i="2"/>
  <c r="O219" i="2"/>
  <c r="G237" i="2"/>
  <c r="O237" i="2"/>
  <c r="O238" i="2"/>
  <c r="L238" i="2"/>
  <c r="G238" i="2"/>
  <c r="S241" i="2"/>
  <c r="N241" i="2"/>
  <c r="S256" i="2"/>
  <c r="P274" i="2"/>
  <c r="N274" i="2" s="1"/>
  <c r="S281" i="2"/>
  <c r="P281" i="2"/>
  <c r="O213" i="2"/>
  <c r="P223" i="2"/>
  <c r="N223" i="2"/>
  <c r="O228" i="2"/>
  <c r="S235" i="2"/>
  <c r="L237" i="2"/>
  <c r="O240" i="2"/>
  <c r="L240" i="2"/>
  <c r="G240" i="2"/>
  <c r="P241" i="2"/>
  <c r="Z245" i="2"/>
  <c r="D245" i="2" s="1"/>
  <c r="S274" i="2"/>
  <c r="L198" i="2"/>
  <c r="G205" i="2"/>
  <c r="O218" i="2"/>
  <c r="L223" i="2"/>
  <c r="G223" i="2" s="1"/>
  <c r="O224" i="2"/>
  <c r="AE224" i="2"/>
  <c r="Z224" i="2" s="1"/>
  <c r="D224" i="2" s="1"/>
  <c r="O232" i="2"/>
  <c r="G254" i="2"/>
  <c r="S255" i="2"/>
  <c r="P255" i="2"/>
  <c r="W311" i="2"/>
  <c r="AE208" i="2"/>
  <c r="G230" i="2"/>
  <c r="Z231" i="2"/>
  <c r="D231" i="2" s="1"/>
  <c r="P233" i="2"/>
  <c r="N233" i="2" s="1"/>
  <c r="R236" i="2"/>
  <c r="G314" i="2"/>
  <c r="L314" i="2"/>
  <c r="R322" i="2"/>
  <c r="T322" i="2"/>
  <c r="Z235" i="2"/>
  <c r="D235" i="2" s="1"/>
  <c r="O248" i="2"/>
  <c r="L248" i="2"/>
  <c r="G248" i="2" s="1"/>
  <c r="P262" i="2"/>
  <c r="N262" i="2"/>
  <c r="P264" i="2"/>
  <c r="N264" i="2" s="1"/>
  <c r="S264" i="2"/>
  <c r="P266" i="2"/>
  <c r="N266" i="2" s="1"/>
  <c r="W275" i="2"/>
  <c r="T275" i="2"/>
  <c r="R275" i="2"/>
  <c r="AG276" i="2"/>
  <c r="AE276" i="2"/>
  <c r="Z276" i="2" s="1"/>
  <c r="D276" i="2" s="1"/>
  <c r="N286" i="2"/>
  <c r="P286" i="2"/>
  <c r="L291" i="2"/>
  <c r="G291" i="2"/>
  <c r="W310" i="2"/>
  <c r="O314" i="2"/>
  <c r="AE198" i="2"/>
  <c r="L222" i="2"/>
  <c r="G222" i="2" s="1"/>
  <c r="AE222" i="2"/>
  <c r="Z222" i="2" s="1"/>
  <c r="D222" i="2" s="1"/>
  <c r="S232" i="2"/>
  <c r="P249" i="2"/>
  <c r="N249" i="2"/>
  <c r="S262" i="2"/>
  <c r="S266" i="2"/>
  <c r="H269" i="2"/>
  <c r="J269" i="2" s="1"/>
  <c r="C269" i="2" s="1"/>
  <c r="O291" i="2"/>
  <c r="S216" i="2"/>
  <c r="S223" i="2"/>
  <c r="G229" i="2"/>
  <c r="W236" i="2"/>
  <c r="O253" i="2"/>
  <c r="O254" i="2"/>
  <c r="AE256" i="2"/>
  <c r="AG256" i="2"/>
  <c r="G271" i="2"/>
  <c r="O271" i="2"/>
  <c r="L271" i="2"/>
  <c r="P272" i="2"/>
  <c r="S272" i="2"/>
  <c r="N272" i="2"/>
  <c r="S291" i="2"/>
  <c r="W220" i="2"/>
  <c r="T233" i="2"/>
  <c r="R233" i="2"/>
  <c r="Z236" i="2"/>
  <c r="D236" i="2" s="1"/>
  <c r="Z238" i="2"/>
  <c r="D238" i="2" s="1"/>
  <c r="L253" i="2"/>
  <c r="G253" i="2" s="1"/>
  <c r="Z255" i="2"/>
  <c r="D255" i="2" s="1"/>
  <c r="W262" i="2"/>
  <c r="AE267" i="2"/>
  <c r="Z267" i="2" s="1"/>
  <c r="D267" i="2" s="1"/>
  <c r="Z220" i="2"/>
  <c r="D220" i="2" s="1"/>
  <c r="O230" i="2"/>
  <c r="W233" i="2"/>
  <c r="O247" i="2"/>
  <c r="G252" i="2"/>
  <c r="O260" i="2"/>
  <c r="Z261" i="2"/>
  <c r="D261" i="2" s="1"/>
  <c r="N270" i="2"/>
  <c r="P270" i="2"/>
  <c r="Z279" i="2"/>
  <c r="D279" i="2" s="1"/>
  <c r="N296" i="2"/>
  <c r="P296" i="2"/>
  <c r="S296" i="2"/>
  <c r="S270" i="2"/>
  <c r="L274" i="2"/>
  <c r="G274" i="2"/>
  <c r="P292" i="2"/>
  <c r="N292" i="2"/>
  <c r="G294" i="2"/>
  <c r="O294" i="2"/>
  <c r="P295" i="2"/>
  <c r="N295" i="2" s="1"/>
  <c r="S295" i="2"/>
  <c r="N302" i="2"/>
  <c r="P302" i="2"/>
  <c r="W303" i="2"/>
  <c r="T303" i="2"/>
  <c r="R303" i="2"/>
  <c r="Z304" i="2"/>
  <c r="D304" i="2" s="1"/>
  <c r="W281" i="2"/>
  <c r="L290" i="2"/>
  <c r="G290" i="2"/>
  <c r="W295" i="2"/>
  <c r="G234" i="2"/>
  <c r="AE242" i="2"/>
  <c r="Z242" i="2" s="1"/>
  <c r="D242" i="2" s="1"/>
  <c r="G250" i="2"/>
  <c r="AJ265" i="2"/>
  <c r="Z270" i="2"/>
  <c r="D270" i="2" s="1"/>
  <c r="L277" i="2"/>
  <c r="P290" i="2"/>
  <c r="N290" i="2"/>
  <c r="T292" i="2"/>
  <c r="P293" i="2"/>
  <c r="N293" i="2"/>
  <c r="AE253" i="2"/>
  <c r="Z253" i="2" s="1"/>
  <c r="D253" i="2" s="1"/>
  <c r="Z281" i="2"/>
  <c r="D281" i="2" s="1"/>
  <c r="L286" i="2"/>
  <c r="G286" i="2"/>
  <c r="S287" i="2"/>
  <c r="P287" i="2"/>
  <c r="N287" i="2" s="1"/>
  <c r="O288" i="2"/>
  <c r="S289" i="2"/>
  <c r="W289" i="2" s="1"/>
  <c r="P289" i="2"/>
  <c r="N289" i="2"/>
  <c r="R290" i="2"/>
  <c r="T290" i="2"/>
  <c r="L306" i="2"/>
  <c r="G306" i="2"/>
  <c r="P269" i="2"/>
  <c r="N269" i="2"/>
  <c r="W274" i="2"/>
  <c r="L276" i="2"/>
  <c r="G276" i="2"/>
  <c r="O277" i="2"/>
  <c r="W292" i="2"/>
  <c r="W293" i="2"/>
  <c r="Z294" i="2"/>
  <c r="D294" i="2" s="1"/>
  <c r="O306" i="2"/>
  <c r="AE243" i="2"/>
  <c r="Z243" i="2" s="1"/>
  <c r="D243" i="2" s="1"/>
  <c r="AG259" i="2"/>
  <c r="Z259" i="2" s="1"/>
  <c r="D259" i="2" s="1"/>
  <c r="AG263" i="2"/>
  <c r="AE263" i="2"/>
  <c r="Z263" i="2" s="1"/>
  <c r="D263" i="2" s="1"/>
  <c r="S276" i="2"/>
  <c r="P278" i="2"/>
  <c r="N278" i="2" s="1"/>
  <c r="O284" i="2"/>
  <c r="L284" i="2"/>
  <c r="G284" i="2" s="1"/>
  <c r="O285" i="2"/>
  <c r="L285" i="2"/>
  <c r="G285" i="2"/>
  <c r="T300" i="2"/>
  <c r="R300" i="2" s="1"/>
  <c r="Z303" i="2"/>
  <c r="D303" i="2" s="1"/>
  <c r="S306" i="2"/>
  <c r="O259" i="2"/>
  <c r="T269" i="2"/>
  <c r="R269" i="2" s="1"/>
  <c r="N275" i="2"/>
  <c r="P276" i="2"/>
  <c r="N276" i="2" s="1"/>
  <c r="S278" i="2"/>
  <c r="P279" i="2"/>
  <c r="N279" i="2"/>
  <c r="G283" i="2"/>
  <c r="O283" i="2"/>
  <c r="L283" i="2"/>
  <c r="Z288" i="2"/>
  <c r="D288" i="2" s="1"/>
  <c r="W290" i="2"/>
  <c r="G298" i="2"/>
  <c r="L298" i="2"/>
  <c r="W300" i="2"/>
  <c r="P313" i="2"/>
  <c r="N313" i="2"/>
  <c r="S313" i="2"/>
  <c r="G330" i="2"/>
  <c r="O330" i="2"/>
  <c r="L330" i="2"/>
  <c r="O258" i="2"/>
  <c r="V265" i="2"/>
  <c r="E265" i="2" s="1"/>
  <c r="B265" i="2" s="1"/>
  <c r="AG273" i="2"/>
  <c r="AE273" i="2"/>
  <c r="Z273" i="2" s="1"/>
  <c r="D273" i="2" s="1"/>
  <c r="S284" i="2"/>
  <c r="S286" i="2"/>
  <c r="G299" i="2"/>
  <c r="O299" i="2"/>
  <c r="L299" i="2"/>
  <c r="V326" i="2"/>
  <c r="F326" i="2"/>
  <c r="E326" i="2" s="1"/>
  <c r="B326" i="2" s="1"/>
  <c r="AJ326" i="2"/>
  <c r="A326" i="2"/>
  <c r="X326" i="2"/>
  <c r="L357" i="2"/>
  <c r="G357" i="2" s="1"/>
  <c r="AE228" i="2"/>
  <c r="Z228" i="2" s="1"/>
  <c r="D228" i="2" s="1"/>
  <c r="AE244" i="2"/>
  <c r="Z244" i="2" s="1"/>
  <c r="D244" i="2" s="1"/>
  <c r="O263" i="2"/>
  <c r="X265" i="2"/>
  <c r="W286" i="2"/>
  <c r="Z287" i="2"/>
  <c r="D287" i="2" s="1"/>
  <c r="N298" i="2"/>
  <c r="P305" i="2"/>
  <c r="N305" i="2"/>
  <c r="W255" i="2"/>
  <c r="O273" i="2"/>
  <c r="G273" i="2"/>
  <c r="G282" i="2"/>
  <c r="L282" i="2"/>
  <c r="Z286" i="2"/>
  <c r="D286" i="2" s="1"/>
  <c r="O304" i="2"/>
  <c r="L304" i="2"/>
  <c r="G304" i="2"/>
  <c r="T305" i="2"/>
  <c r="R305" i="2" s="1"/>
  <c r="AG257" i="2"/>
  <c r="AE257" i="2"/>
  <c r="Z257" i="2" s="1"/>
  <c r="D257" i="2" s="1"/>
  <c r="L261" i="2"/>
  <c r="Z271" i="2"/>
  <c r="D271" i="2" s="1"/>
  <c r="L273" i="2"/>
  <c r="Z260" i="2"/>
  <c r="D260" i="2" s="1"/>
  <c r="S279" i="2"/>
  <c r="P280" i="2"/>
  <c r="N280" i="2"/>
  <c r="N282" i="2"/>
  <c r="Z299" i="2"/>
  <c r="D299" i="2" s="1"/>
  <c r="AE307" i="2"/>
  <c r="Z307" i="2" s="1"/>
  <c r="D307" i="2" s="1"/>
  <c r="AG307" i="2"/>
  <c r="G309" i="2"/>
  <c r="O309" i="2"/>
  <c r="Z264" i="2"/>
  <c r="D264" i="2" s="1"/>
  <c r="W272" i="2"/>
  <c r="W280" i="2"/>
  <c r="R280" i="2"/>
  <c r="G289" i="2"/>
  <c r="S314" i="2"/>
  <c r="G341" i="2"/>
  <c r="L341" i="2"/>
  <c r="AE282" i="2"/>
  <c r="Z282" i="2" s="1"/>
  <c r="D282" i="2" s="1"/>
  <c r="Z297" i="2"/>
  <c r="D297" i="2" s="1"/>
  <c r="AG301" i="2"/>
  <c r="AE301" i="2"/>
  <c r="Z301" i="2" s="1"/>
  <c r="D301" i="2" s="1"/>
  <c r="W302" i="2"/>
  <c r="L308" i="2"/>
  <c r="G308" i="2"/>
  <c r="AE323" i="2"/>
  <c r="Z323" i="2" s="1"/>
  <c r="D323" i="2" s="1"/>
  <c r="AG323" i="2"/>
  <c r="N329" i="2"/>
  <c r="P329" i="2"/>
  <c r="AE335" i="2"/>
  <c r="W305" i="2"/>
  <c r="S308" i="2"/>
  <c r="N308" i="2"/>
  <c r="P310" i="2"/>
  <c r="N310" i="2"/>
  <c r="G325" i="2"/>
  <c r="O325" i="2"/>
  <c r="S325" i="2" s="1"/>
  <c r="S347" i="2"/>
  <c r="X398" i="2"/>
  <c r="V398" i="2"/>
  <c r="F398" i="2"/>
  <c r="AJ398" i="2"/>
  <c r="I398" i="2" s="1"/>
  <c r="G280" i="2"/>
  <c r="L293" i="2"/>
  <c r="P303" i="2"/>
  <c r="N303" i="2" s="1"/>
  <c r="Z305" i="2"/>
  <c r="D305" i="2" s="1"/>
  <c r="P308" i="2"/>
  <c r="S309" i="2"/>
  <c r="S310" i="2"/>
  <c r="S311" i="2"/>
  <c r="P311" i="2"/>
  <c r="N311" i="2"/>
  <c r="AG314" i="2"/>
  <c r="AE314" i="2"/>
  <c r="Z314" i="2" s="1"/>
  <c r="D314" i="2" s="1"/>
  <c r="Z334" i="2"/>
  <c r="D334" i="2" s="1"/>
  <c r="S362" i="2"/>
  <c r="P362" i="2"/>
  <c r="N362" i="2"/>
  <c r="AE283" i="2"/>
  <c r="Z283" i="2" s="1"/>
  <c r="D283" i="2" s="1"/>
  <c r="S298" i="2"/>
  <c r="W298" i="2" s="1"/>
  <c r="G320" i="2"/>
  <c r="O320" i="2"/>
  <c r="L322" i="2"/>
  <c r="G322" i="2"/>
  <c r="L324" i="2"/>
  <c r="G324" i="2"/>
  <c r="P326" i="2"/>
  <c r="N326" i="2"/>
  <c r="Z347" i="2"/>
  <c r="D347" i="2" s="1"/>
  <c r="O301" i="2"/>
  <c r="W306" i="2"/>
  <c r="P322" i="2"/>
  <c r="N322" i="2"/>
  <c r="S324" i="2"/>
  <c r="N324" i="2"/>
  <c r="T326" i="2"/>
  <c r="R326" i="2" s="1"/>
  <c r="W328" i="2"/>
  <c r="T328" i="2"/>
  <c r="R328" i="2"/>
  <c r="N345" i="2"/>
  <c r="P345" i="2"/>
  <c r="W350" i="2"/>
  <c r="T350" i="2"/>
  <c r="R350" i="2"/>
  <c r="L356" i="2"/>
  <c r="G356" i="2"/>
  <c r="N361" i="2"/>
  <c r="P361" i="2"/>
  <c r="AE289" i="2"/>
  <c r="Z289" i="2" s="1"/>
  <c r="D289" i="2" s="1"/>
  <c r="AE292" i="2"/>
  <c r="Z292" i="2" s="1"/>
  <c r="D292" i="2" s="1"/>
  <c r="S294" i="2"/>
  <c r="AG297" i="2"/>
  <c r="Z298" i="2"/>
  <c r="D298" i="2" s="1"/>
  <c r="G300" i="2"/>
  <c r="AG313" i="2"/>
  <c r="Z313" i="2" s="1"/>
  <c r="D313" i="2" s="1"/>
  <c r="L318" i="2"/>
  <c r="G318" i="2"/>
  <c r="P321" i="2"/>
  <c r="N321" i="2" s="1"/>
  <c r="P324" i="2"/>
  <c r="AE331" i="2"/>
  <c r="S333" i="2"/>
  <c r="W362" i="2"/>
  <c r="X370" i="2"/>
  <c r="AJ370" i="2"/>
  <c r="I370" i="2" s="1"/>
  <c r="C370" i="2"/>
  <c r="F370" i="2"/>
  <c r="A370" i="2"/>
  <c r="V370" i="2"/>
  <c r="G297" i="2"/>
  <c r="W307" i="2"/>
  <c r="T307" i="2"/>
  <c r="G315" i="2"/>
  <c r="O315" i="2"/>
  <c r="L315" i="2"/>
  <c r="P316" i="2"/>
  <c r="N316" i="2"/>
  <c r="S318" i="2"/>
  <c r="P318" i="2"/>
  <c r="N318" i="2" s="1"/>
  <c r="S319" i="2"/>
  <c r="P319" i="2"/>
  <c r="T321" i="2"/>
  <c r="R321" i="2"/>
  <c r="W333" i="2"/>
  <c r="L339" i="2"/>
  <c r="G339" i="2"/>
  <c r="AE279" i="2"/>
  <c r="AE291" i="2"/>
  <c r="Z291" i="2" s="1"/>
  <c r="D291" i="2" s="1"/>
  <c r="Z308" i="2"/>
  <c r="D308" i="2" s="1"/>
  <c r="L317" i="2"/>
  <c r="G317" i="2"/>
  <c r="S345" i="2"/>
  <c r="P360" i="2"/>
  <c r="N360" i="2"/>
  <c r="S361" i="2"/>
  <c r="L302" i="2"/>
  <c r="G302" i="2"/>
  <c r="P312" i="2"/>
  <c r="N312" i="2"/>
  <c r="O317" i="2"/>
  <c r="W322" i="2"/>
  <c r="Z327" i="2"/>
  <c r="D327" i="2" s="1"/>
  <c r="T360" i="2"/>
  <c r="AE269" i="2"/>
  <c r="Z269" i="2" s="1"/>
  <c r="D269" i="2" s="1"/>
  <c r="A269" i="2" s="1"/>
  <c r="AE285" i="2"/>
  <c r="Z285" i="2" s="1"/>
  <c r="D285" i="2" s="1"/>
  <c r="AG290" i="2"/>
  <c r="Z290" i="2" s="1"/>
  <c r="D290" i="2" s="1"/>
  <c r="AE296" i="2"/>
  <c r="Z296" i="2" s="1"/>
  <c r="D296" i="2" s="1"/>
  <c r="O297" i="2"/>
  <c r="P300" i="2"/>
  <c r="N300" i="2"/>
  <c r="W312" i="2"/>
  <c r="R312" i="2"/>
  <c r="L313" i="2"/>
  <c r="G313" i="2"/>
  <c r="S316" i="2"/>
  <c r="Z320" i="2"/>
  <c r="D320" i="2" s="1"/>
  <c r="W321" i="2"/>
  <c r="W323" i="2"/>
  <c r="T323" i="2"/>
  <c r="Z324" i="2"/>
  <c r="D324" i="2" s="1"/>
  <c r="Z336" i="2"/>
  <c r="D336" i="2" s="1"/>
  <c r="AJ365" i="2"/>
  <c r="V365" i="2"/>
  <c r="X365" i="2"/>
  <c r="F365" i="2"/>
  <c r="S293" i="2"/>
  <c r="T312" i="2"/>
  <c r="Z322" i="2"/>
  <c r="D322" i="2" s="1"/>
  <c r="T343" i="2"/>
  <c r="R343" i="2"/>
  <c r="W343" i="2"/>
  <c r="S317" i="2"/>
  <c r="Z319" i="2"/>
  <c r="D319" i="2" s="1"/>
  <c r="G321" i="2"/>
  <c r="G327" i="2"/>
  <c r="S329" i="2"/>
  <c r="W329" i="2" s="1"/>
  <c r="Z332" i="2"/>
  <c r="D332" i="2" s="1"/>
  <c r="L340" i="2"/>
  <c r="G340" i="2"/>
  <c r="O341" i="2"/>
  <c r="P344" i="2"/>
  <c r="N344" i="2"/>
  <c r="W347" i="2"/>
  <c r="O357" i="2"/>
  <c r="T370" i="2"/>
  <c r="R370" i="2"/>
  <c r="P328" i="2"/>
  <c r="O339" i="2"/>
  <c r="Z341" i="2"/>
  <c r="D341" i="2" s="1"/>
  <c r="W345" i="2"/>
  <c r="Z350" i="2"/>
  <c r="D350" i="2" s="1"/>
  <c r="L355" i="2"/>
  <c r="G355" i="2"/>
  <c r="Z357" i="2"/>
  <c r="D357" i="2" s="1"/>
  <c r="W360" i="2"/>
  <c r="Z362" i="2"/>
  <c r="D362" i="2" s="1"/>
  <c r="P338" i="2"/>
  <c r="N338" i="2"/>
  <c r="W340" i="2"/>
  <c r="T340" i="2"/>
  <c r="R340" i="2"/>
  <c r="X344" i="2"/>
  <c r="V344" i="2"/>
  <c r="F344" i="2"/>
  <c r="E344" i="2" s="1"/>
  <c r="B344" i="2" s="1"/>
  <c r="AJ344" i="2"/>
  <c r="P355" i="2"/>
  <c r="N355" i="2"/>
  <c r="O356" i="2"/>
  <c r="L367" i="2"/>
  <c r="G367" i="2"/>
  <c r="AE334" i="2"/>
  <c r="AG334" i="2"/>
  <c r="O337" i="2"/>
  <c r="P354" i="2"/>
  <c r="N354" i="2"/>
  <c r="S355" i="2"/>
  <c r="S356" i="2"/>
  <c r="S397" i="2"/>
  <c r="L316" i="2"/>
  <c r="G316" i="2" s="1"/>
  <c r="L331" i="2"/>
  <c r="S338" i="2"/>
  <c r="AE350" i="2"/>
  <c r="AG350" i="2"/>
  <c r="O353" i="2"/>
  <c r="AG372" i="2"/>
  <c r="Z372" i="2" s="1"/>
  <c r="D372" i="2" s="1"/>
  <c r="AE372" i="2"/>
  <c r="L311" i="2"/>
  <c r="O336" i="2"/>
  <c r="G352" i="2"/>
  <c r="S354" i="2"/>
  <c r="O367" i="2"/>
  <c r="R368" i="2"/>
  <c r="W368" i="2"/>
  <c r="T368" i="2"/>
  <c r="AE305" i="2"/>
  <c r="AE321" i="2"/>
  <c r="Z321" i="2" s="1"/>
  <c r="D321" i="2" s="1"/>
  <c r="O331" i="2"/>
  <c r="L335" i="2"/>
  <c r="G335" i="2"/>
  <c r="O352" i="2"/>
  <c r="L373" i="2"/>
  <c r="G373" i="2"/>
  <c r="Z392" i="2"/>
  <c r="D392" i="2" s="1"/>
  <c r="O327" i="2"/>
  <c r="L329" i="2"/>
  <c r="G329" i="2" s="1"/>
  <c r="O332" i="2"/>
  <c r="G332" i="2"/>
  <c r="S335" i="2"/>
  <c r="N335" i="2"/>
  <c r="L351" i="2"/>
  <c r="G351" i="2"/>
  <c r="G376" i="2"/>
  <c r="O376" i="2"/>
  <c r="L376" i="2"/>
  <c r="Z330" i="2"/>
  <c r="D330" i="2" s="1"/>
  <c r="O333" i="2"/>
  <c r="L333" i="2"/>
  <c r="G333" i="2"/>
  <c r="L334" i="2"/>
  <c r="G334" i="2"/>
  <c r="P335" i="2"/>
  <c r="O351" i="2"/>
  <c r="Z355" i="2"/>
  <c r="D355" i="2" s="1"/>
  <c r="S387" i="2"/>
  <c r="P387" i="2"/>
  <c r="N387" i="2"/>
  <c r="Z338" i="2"/>
  <c r="D338" i="2" s="1"/>
  <c r="AG340" i="2"/>
  <c r="Z340" i="2" s="1"/>
  <c r="D340" i="2" s="1"/>
  <c r="G342" i="2"/>
  <c r="O342" i="2"/>
  <c r="L342" i="2"/>
  <c r="G347" i="2"/>
  <c r="O347" i="2"/>
  <c r="O348" i="2"/>
  <c r="L348" i="2"/>
  <c r="G348" i="2"/>
  <c r="O349" i="2"/>
  <c r="L349" i="2"/>
  <c r="G349" i="2"/>
  <c r="L350" i="2"/>
  <c r="G350" i="2"/>
  <c r="AG356" i="2"/>
  <c r="Z356" i="2" s="1"/>
  <c r="D356" i="2" s="1"/>
  <c r="G358" i="2"/>
  <c r="O358" i="2"/>
  <c r="L358" i="2"/>
  <c r="P365" i="2"/>
  <c r="N365" i="2"/>
  <c r="AE369" i="2"/>
  <c r="Z369" i="2" s="1"/>
  <c r="D369" i="2" s="1"/>
  <c r="AG369" i="2"/>
  <c r="R384" i="2"/>
  <c r="W384" i="2"/>
  <c r="T384" i="2"/>
  <c r="AE385" i="2"/>
  <c r="AG385" i="2"/>
  <c r="S402" i="2"/>
  <c r="W402" i="2" s="1"/>
  <c r="P406" i="2"/>
  <c r="N406" i="2"/>
  <c r="AE317" i="2"/>
  <c r="Z317" i="2" s="1"/>
  <c r="D317" i="2" s="1"/>
  <c r="Z328" i="2"/>
  <c r="D328" i="2" s="1"/>
  <c r="O334" i="2"/>
  <c r="G346" i="2"/>
  <c r="L347" i="2"/>
  <c r="Z354" i="2"/>
  <c r="D354" i="2" s="1"/>
  <c r="L362" i="2"/>
  <c r="G363" i="2"/>
  <c r="O363" i="2"/>
  <c r="O364" i="2"/>
  <c r="L364" i="2"/>
  <c r="G364" i="2"/>
  <c r="Z373" i="2"/>
  <c r="D373" i="2" s="1"/>
  <c r="N380" i="2"/>
  <c r="S380" i="2"/>
  <c r="P380" i="2"/>
  <c r="Z388" i="2"/>
  <c r="D388" i="2" s="1"/>
  <c r="Z331" i="2"/>
  <c r="D331" i="2" s="1"/>
  <c r="N350" i="2"/>
  <c r="P359" i="2"/>
  <c r="N359" i="2" s="1"/>
  <c r="R365" i="2"/>
  <c r="T365" i="2"/>
  <c r="L386" i="2"/>
  <c r="G386" i="2"/>
  <c r="Z335" i="2"/>
  <c r="D335" i="2" s="1"/>
  <c r="P343" i="2"/>
  <c r="N343" i="2"/>
  <c r="S346" i="2"/>
  <c r="P346" i="2"/>
  <c r="S359" i="2"/>
  <c r="S364" i="2"/>
  <c r="Z366" i="2"/>
  <c r="D366" i="2" s="1"/>
  <c r="O386" i="2"/>
  <c r="G397" i="2"/>
  <c r="O397" i="2"/>
  <c r="P431" i="2"/>
  <c r="N431" i="2"/>
  <c r="G365" i="2"/>
  <c r="G369" i="2"/>
  <c r="G372" i="2"/>
  <c r="Z378" i="2"/>
  <c r="D378" i="2" s="1"/>
  <c r="P395" i="2"/>
  <c r="N395" i="2"/>
  <c r="N396" i="2"/>
  <c r="S396" i="2"/>
  <c r="P396" i="2"/>
  <c r="P400" i="2"/>
  <c r="N400" i="2"/>
  <c r="S406" i="2"/>
  <c r="W416" i="2"/>
  <c r="T416" i="2"/>
  <c r="R416" i="2"/>
  <c r="AE336" i="2"/>
  <c r="G344" i="2"/>
  <c r="AE352" i="2"/>
  <c r="Z352" i="2" s="1"/>
  <c r="D352" i="2" s="1"/>
  <c r="G360" i="2"/>
  <c r="L390" i="2"/>
  <c r="G390" i="2"/>
  <c r="S391" i="2"/>
  <c r="H398" i="2"/>
  <c r="L404" i="2"/>
  <c r="O404" i="2"/>
  <c r="G404" i="2"/>
  <c r="P411" i="2"/>
  <c r="N411" i="2" s="1"/>
  <c r="T372" i="2"/>
  <c r="R372" i="2"/>
  <c r="L385" i="2"/>
  <c r="G385" i="2"/>
  <c r="P390" i="2"/>
  <c r="N390" i="2"/>
  <c r="S390" i="2"/>
  <c r="W473" i="2"/>
  <c r="T473" i="2"/>
  <c r="R473" i="2" s="1"/>
  <c r="AG366" i="2"/>
  <c r="W371" i="2"/>
  <c r="T371" i="2"/>
  <c r="R371" i="2" s="1"/>
  <c r="L372" i="2"/>
  <c r="AG375" i="2"/>
  <c r="AE375" i="2"/>
  <c r="Z375" i="2" s="1"/>
  <c r="D375" i="2" s="1"/>
  <c r="L383" i="2"/>
  <c r="G383" i="2"/>
  <c r="P384" i="2"/>
  <c r="N384" i="2"/>
  <c r="Z391" i="2"/>
  <c r="D391" i="2" s="1"/>
  <c r="O399" i="2"/>
  <c r="L399" i="2"/>
  <c r="G399" i="2"/>
  <c r="AE337" i="2"/>
  <c r="Z337" i="2" s="1"/>
  <c r="D337" i="2" s="1"/>
  <c r="G345" i="2"/>
  <c r="AE353" i="2"/>
  <c r="Z353" i="2" s="1"/>
  <c r="D353" i="2" s="1"/>
  <c r="G361" i="2"/>
  <c r="L365" i="2"/>
  <c r="O383" i="2"/>
  <c r="O385" i="2"/>
  <c r="W390" i="2"/>
  <c r="L394" i="2"/>
  <c r="G394" i="2"/>
  <c r="S395" i="2"/>
  <c r="Z396" i="2"/>
  <c r="D396" i="2" s="1"/>
  <c r="S400" i="2"/>
  <c r="L408" i="2"/>
  <c r="G408" i="2"/>
  <c r="AE364" i="2"/>
  <c r="Z364" i="2" s="1"/>
  <c r="D364" i="2" s="1"/>
  <c r="AE365" i="2"/>
  <c r="Z365" i="2" s="1"/>
  <c r="D365" i="2" s="1"/>
  <c r="A365" i="2" s="1"/>
  <c r="O369" i="2"/>
  <c r="G393" i="2"/>
  <c r="L393" i="2"/>
  <c r="P394" i="2"/>
  <c r="N394" i="2" s="1"/>
  <c r="P408" i="2"/>
  <c r="N408" i="2"/>
  <c r="S408" i="2"/>
  <c r="W408" i="2" s="1"/>
  <c r="H370" i="2"/>
  <c r="J370" i="2" s="1"/>
  <c r="P372" i="2"/>
  <c r="N372" i="2" s="1"/>
  <c r="O373" i="2"/>
  <c r="L374" i="2"/>
  <c r="G374" i="2"/>
  <c r="G382" i="2"/>
  <c r="L382" i="2"/>
  <c r="L389" i="2"/>
  <c r="G389" i="2" s="1"/>
  <c r="O393" i="2"/>
  <c r="S394" i="2"/>
  <c r="Z395" i="2"/>
  <c r="D395" i="2" s="1"/>
  <c r="R409" i="2"/>
  <c r="W409" i="2"/>
  <c r="T409" i="2"/>
  <c r="AE338" i="2"/>
  <c r="AE354" i="2"/>
  <c r="O366" i="2"/>
  <c r="N368" i="2"/>
  <c r="L370" i="2"/>
  <c r="G370" i="2"/>
  <c r="O374" i="2"/>
  <c r="G377" i="2"/>
  <c r="L377" i="2"/>
  <c r="O389" i="2"/>
  <c r="X410" i="2"/>
  <c r="V410" i="2"/>
  <c r="F410" i="2"/>
  <c r="AJ410" i="2"/>
  <c r="I410" i="2" s="1"/>
  <c r="A410" i="2"/>
  <c r="AG368" i="2"/>
  <c r="AE368" i="2"/>
  <c r="Z368" i="2" s="1"/>
  <c r="D368" i="2" s="1"/>
  <c r="S369" i="2"/>
  <c r="P370" i="2"/>
  <c r="N370" i="2"/>
  <c r="S373" i="2"/>
  <c r="P377" i="2"/>
  <c r="N377" i="2"/>
  <c r="O379" i="2"/>
  <c r="L379" i="2"/>
  <c r="G379" i="2"/>
  <c r="O382" i="2"/>
  <c r="Z385" i="2"/>
  <c r="D385" i="2" s="1"/>
  <c r="G407" i="2"/>
  <c r="L407" i="2"/>
  <c r="AE328" i="2"/>
  <c r="AE344" i="2"/>
  <c r="Z344" i="2" s="1"/>
  <c r="D344" i="2" s="1"/>
  <c r="A344" i="2" s="1"/>
  <c r="W372" i="2"/>
  <c r="S388" i="2"/>
  <c r="P388" i="2"/>
  <c r="N388" i="2"/>
  <c r="S389" i="2"/>
  <c r="G392" i="2"/>
  <c r="O392" i="2"/>
  <c r="L392" i="2"/>
  <c r="Z394" i="2"/>
  <c r="D394" i="2" s="1"/>
  <c r="Z399" i="2"/>
  <c r="D399" i="2" s="1"/>
  <c r="P368" i="2"/>
  <c r="S377" i="2"/>
  <c r="W377" i="2" s="1"/>
  <c r="S382" i="2"/>
  <c r="P398" i="2"/>
  <c r="N398" i="2"/>
  <c r="G402" i="2"/>
  <c r="L402" i="2"/>
  <c r="W373" i="2"/>
  <c r="O378" i="2"/>
  <c r="O381" i="2"/>
  <c r="Z383" i="2"/>
  <c r="D383" i="2" s="1"/>
  <c r="G387" i="2"/>
  <c r="L387" i="2"/>
  <c r="T398" i="2"/>
  <c r="R398" i="2"/>
  <c r="O402" i="2"/>
  <c r="Z403" i="2"/>
  <c r="D403" i="2" s="1"/>
  <c r="R425" i="2"/>
  <c r="T425" i="2"/>
  <c r="W425" i="2"/>
  <c r="O375" i="2"/>
  <c r="S375" i="2" s="1"/>
  <c r="AE391" i="2"/>
  <c r="J398" i="2"/>
  <c r="C398" i="2" s="1"/>
  <c r="L403" i="2"/>
  <c r="AE406" i="2"/>
  <c r="O407" i="2"/>
  <c r="G423" i="2"/>
  <c r="L423" i="2"/>
  <c r="S431" i="2"/>
  <c r="P444" i="2"/>
  <c r="N444" i="2"/>
  <c r="W458" i="2"/>
  <c r="T458" i="2"/>
  <c r="R458" i="2"/>
  <c r="S401" i="2"/>
  <c r="P423" i="2"/>
  <c r="N423" i="2"/>
  <c r="W432" i="2"/>
  <c r="T432" i="2"/>
  <c r="R432" i="2" s="1"/>
  <c r="L438" i="2"/>
  <c r="G438" i="2"/>
  <c r="AE381" i="2"/>
  <c r="Z381" i="2" s="1"/>
  <c r="D381" i="2" s="1"/>
  <c r="AE397" i="2"/>
  <c r="Z397" i="2" s="1"/>
  <c r="D397" i="2" s="1"/>
  <c r="L398" i="2"/>
  <c r="S423" i="2"/>
  <c r="W423" i="2" s="1"/>
  <c r="O429" i="2"/>
  <c r="L429" i="2"/>
  <c r="P430" i="2"/>
  <c r="N430" i="2"/>
  <c r="P436" i="2"/>
  <c r="N436" i="2"/>
  <c r="S436" i="2"/>
  <c r="Z455" i="2"/>
  <c r="D455" i="2" s="1"/>
  <c r="Z473" i="2"/>
  <c r="D473" i="2" s="1"/>
  <c r="S407" i="2"/>
  <c r="S443" i="2"/>
  <c r="P443" i="2"/>
  <c r="N443" i="2"/>
  <c r="S451" i="2"/>
  <c r="P451" i="2"/>
  <c r="N451" i="2"/>
  <c r="L388" i="2"/>
  <c r="G395" i="2"/>
  <c r="O403" i="2"/>
  <c r="P409" i="2"/>
  <c r="N409" i="2" s="1"/>
  <c r="L411" i="2"/>
  <c r="G411" i="2"/>
  <c r="Z413" i="2"/>
  <c r="D413" i="2" s="1"/>
  <c r="G428" i="2"/>
  <c r="L428" i="2"/>
  <c r="S430" i="2"/>
  <c r="P437" i="2"/>
  <c r="N437" i="2" s="1"/>
  <c r="AE441" i="2"/>
  <c r="AG441" i="2"/>
  <c r="AE382" i="2"/>
  <c r="Z382" i="2" s="1"/>
  <c r="D382" i="2" s="1"/>
  <c r="AE398" i="2"/>
  <c r="Z398" i="2" s="1"/>
  <c r="D398" i="2" s="1"/>
  <c r="A398" i="2" s="1"/>
  <c r="G401" i="2"/>
  <c r="L405" i="2"/>
  <c r="Z404" i="2"/>
  <c r="D404" i="2" s="1"/>
  <c r="P420" i="2"/>
  <c r="N420" i="2"/>
  <c r="S420" i="2"/>
  <c r="N421" i="2"/>
  <c r="P421" i="2"/>
  <c r="S422" i="2"/>
  <c r="N422" i="2"/>
  <c r="AE426" i="2"/>
  <c r="Z426" i="2" s="1"/>
  <c r="D426" i="2" s="1"/>
  <c r="AG426" i="2"/>
  <c r="S428" i="2"/>
  <c r="P428" i="2"/>
  <c r="L435" i="2"/>
  <c r="G435" i="2"/>
  <c r="W437" i="2"/>
  <c r="T437" i="2"/>
  <c r="R437" i="2"/>
  <c r="W443" i="2"/>
  <c r="AG449" i="2"/>
  <c r="AE449" i="2"/>
  <c r="Z449" i="2" s="1"/>
  <c r="D449" i="2" s="1"/>
  <c r="L486" i="2"/>
  <c r="G486" i="2"/>
  <c r="AE388" i="2"/>
  <c r="O405" i="2"/>
  <c r="Z410" i="2"/>
  <c r="D410" i="2" s="1"/>
  <c r="L418" i="2"/>
  <c r="G434" i="2"/>
  <c r="O434" i="2"/>
  <c r="O435" i="2"/>
  <c r="L442" i="2"/>
  <c r="G442" i="2"/>
  <c r="G412" i="2"/>
  <c r="G417" i="2"/>
  <c r="L417" i="2"/>
  <c r="W421" i="2"/>
  <c r="T421" i="2"/>
  <c r="R421" i="2"/>
  <c r="W422" i="2"/>
  <c r="Z429" i="2"/>
  <c r="D429" i="2" s="1"/>
  <c r="G433" i="2"/>
  <c r="L433" i="2"/>
  <c r="S435" i="2"/>
  <c r="L395" i="2"/>
  <c r="L401" i="2"/>
  <c r="L412" i="2"/>
  <c r="O418" i="2"/>
  <c r="S418" i="2" s="1"/>
  <c r="L427" i="2"/>
  <c r="G427" i="2"/>
  <c r="W435" i="2"/>
  <c r="Z436" i="2"/>
  <c r="D436" i="2" s="1"/>
  <c r="AE373" i="2"/>
  <c r="AE389" i="2"/>
  <c r="Z389" i="2" s="1"/>
  <c r="D389" i="2" s="1"/>
  <c r="AE401" i="2"/>
  <c r="Z401" i="2" s="1"/>
  <c r="D401" i="2" s="1"/>
  <c r="O417" i="2"/>
  <c r="O419" i="2"/>
  <c r="P427" i="2"/>
  <c r="N427" i="2"/>
  <c r="O433" i="2"/>
  <c r="Z437" i="2"/>
  <c r="D437" i="2" s="1"/>
  <c r="AE438" i="2"/>
  <c r="Z438" i="2" s="1"/>
  <c r="D438" i="2" s="1"/>
  <c r="AG438" i="2"/>
  <c r="S479" i="2"/>
  <c r="AE384" i="2"/>
  <c r="Z384" i="2" s="1"/>
  <c r="D384" i="2" s="1"/>
  <c r="AE400" i="2"/>
  <c r="Z400" i="2" s="1"/>
  <c r="D400" i="2" s="1"/>
  <c r="AG407" i="2"/>
  <c r="AE407" i="2"/>
  <c r="Z407" i="2" s="1"/>
  <c r="D407" i="2" s="1"/>
  <c r="S411" i="2"/>
  <c r="L415" i="2"/>
  <c r="G415" i="2"/>
  <c r="S419" i="2"/>
  <c r="Z421" i="2"/>
  <c r="D421" i="2" s="1"/>
  <c r="O424" i="2"/>
  <c r="L424" i="2"/>
  <c r="G424" i="2"/>
  <c r="S427" i="2"/>
  <c r="Z435" i="2"/>
  <c r="D435" i="2" s="1"/>
  <c r="O440" i="2"/>
  <c r="L440" i="2"/>
  <c r="G440" i="2" s="1"/>
  <c r="Z442" i="2"/>
  <c r="D442" i="2" s="1"/>
  <c r="Z471" i="2"/>
  <c r="D471" i="2" s="1"/>
  <c r="Z406" i="2"/>
  <c r="D406" i="2" s="1"/>
  <c r="O412" i="2"/>
  <c r="O413" i="2"/>
  <c r="L413" i="2"/>
  <c r="G413" i="2" s="1"/>
  <c r="L414" i="2"/>
  <c r="G414" i="2"/>
  <c r="P415" i="2"/>
  <c r="N415" i="2"/>
  <c r="W419" i="2"/>
  <c r="L426" i="2"/>
  <c r="G426" i="2"/>
  <c r="P478" i="2"/>
  <c r="N478" i="2"/>
  <c r="H410" i="2"/>
  <c r="J410" i="2" s="1"/>
  <c r="C410" i="2" s="1"/>
  <c r="W411" i="2"/>
  <c r="S415" i="2"/>
  <c r="W418" i="2"/>
  <c r="Z420" i="2"/>
  <c r="D420" i="2" s="1"/>
  <c r="AG422" i="2"/>
  <c r="AE422" i="2"/>
  <c r="Z422" i="2" s="1"/>
  <c r="D422" i="2" s="1"/>
  <c r="N441" i="2"/>
  <c r="O414" i="2"/>
  <c r="Z418" i="2"/>
  <c r="D418" i="2" s="1"/>
  <c r="Z419" i="2"/>
  <c r="D419" i="2" s="1"/>
  <c r="O426" i="2"/>
  <c r="Z427" i="2"/>
  <c r="D427" i="2" s="1"/>
  <c r="L431" i="2"/>
  <c r="G431" i="2"/>
  <c r="Z433" i="2"/>
  <c r="D433" i="2" s="1"/>
  <c r="G444" i="2"/>
  <c r="L444" i="2"/>
  <c r="AE416" i="2"/>
  <c r="Z416" i="2" s="1"/>
  <c r="D416" i="2" s="1"/>
  <c r="AE432" i="2"/>
  <c r="Z432" i="2" s="1"/>
  <c r="D432" i="2" s="1"/>
  <c r="S456" i="2"/>
  <c r="P456" i="2"/>
  <c r="N456" i="2"/>
  <c r="P457" i="2"/>
  <c r="N457" i="2"/>
  <c r="G466" i="2"/>
  <c r="O466" i="2"/>
  <c r="L466" i="2"/>
  <c r="G471" i="2"/>
  <c r="L471" i="2"/>
  <c r="O479" i="2"/>
  <c r="L479" i="2"/>
  <c r="G479" i="2"/>
  <c r="P480" i="2"/>
  <c r="N480" i="2" s="1"/>
  <c r="O486" i="2"/>
  <c r="Z458" i="2"/>
  <c r="D458" i="2" s="1"/>
  <c r="G430" i="2"/>
  <c r="O438" i="2"/>
  <c r="S439" i="2"/>
  <c r="G450" i="2"/>
  <c r="O450" i="2"/>
  <c r="L450" i="2"/>
  <c r="G455" i="2"/>
  <c r="L455" i="2"/>
  <c r="S457" i="2"/>
  <c r="S466" i="2"/>
  <c r="W466" i="2" s="1"/>
  <c r="AE469" i="2"/>
  <c r="Z469" i="2" s="1"/>
  <c r="D469" i="2" s="1"/>
  <c r="AG469" i="2"/>
  <c r="O471" i="2"/>
  <c r="Z472" i="2"/>
  <c r="D472" i="2" s="1"/>
  <c r="G476" i="2"/>
  <c r="L476" i="2"/>
  <c r="S480" i="2"/>
  <c r="W480" i="2" s="1"/>
  <c r="L485" i="2"/>
  <c r="G485" i="2"/>
  <c r="G420" i="2"/>
  <c r="G436" i="2"/>
  <c r="S444" i="2"/>
  <c r="AE453" i="2"/>
  <c r="Z453" i="2" s="1"/>
  <c r="D453" i="2" s="1"/>
  <c r="AG453" i="2"/>
  <c r="G465" i="2"/>
  <c r="O465" i="2"/>
  <c r="P476" i="2"/>
  <c r="N476" i="2" s="1"/>
  <c r="P477" i="2"/>
  <c r="N477" i="2"/>
  <c r="S478" i="2"/>
  <c r="O484" i="2"/>
  <c r="L484" i="2"/>
  <c r="N485" i="2"/>
  <c r="S485" i="2"/>
  <c r="Z486" i="2"/>
  <c r="D486" i="2" s="1"/>
  <c r="L489" i="2"/>
  <c r="G489" i="2"/>
  <c r="AE423" i="2"/>
  <c r="Z423" i="2" s="1"/>
  <c r="D423" i="2" s="1"/>
  <c r="T441" i="2"/>
  <c r="S455" i="2"/>
  <c r="Z466" i="2"/>
  <c r="D466" i="2" s="1"/>
  <c r="L470" i="2"/>
  <c r="G470" i="2"/>
  <c r="S477" i="2"/>
  <c r="W478" i="2"/>
  <c r="Z480" i="2"/>
  <c r="D480" i="2" s="1"/>
  <c r="G488" i="2"/>
  <c r="O489" i="2"/>
  <c r="L446" i="2"/>
  <c r="G446" i="2"/>
  <c r="O447" i="2"/>
  <c r="L447" i="2"/>
  <c r="G447" i="2"/>
  <c r="G449" i="2"/>
  <c r="O449" i="2"/>
  <c r="O463" i="2"/>
  <c r="L463" i="2"/>
  <c r="G463" i="2"/>
  <c r="N464" i="2"/>
  <c r="P464" i="2"/>
  <c r="S470" i="2"/>
  <c r="P470" i="2"/>
  <c r="N470" i="2"/>
  <c r="W476" i="2"/>
  <c r="T476" i="2"/>
  <c r="R476" i="2"/>
  <c r="L483" i="2"/>
  <c r="G483" i="2"/>
  <c r="AE413" i="2"/>
  <c r="G421" i="2"/>
  <c r="AE429" i="2"/>
  <c r="G439" i="2"/>
  <c r="W441" i="2"/>
  <c r="Z444" i="2"/>
  <c r="D444" i="2" s="1"/>
  <c r="Z450" i="2"/>
  <c r="D450" i="2" s="1"/>
  <c r="L454" i="2"/>
  <c r="G454" i="2"/>
  <c r="W477" i="2"/>
  <c r="AG481" i="2"/>
  <c r="AE481" i="2"/>
  <c r="Z481" i="2" s="1"/>
  <c r="D481" i="2" s="1"/>
  <c r="O483" i="2"/>
  <c r="W485" i="2"/>
  <c r="O446" i="2"/>
  <c r="S446" i="2" s="1"/>
  <c r="N448" i="2"/>
  <c r="P448" i="2"/>
  <c r="S454" i="2"/>
  <c r="P454" i="2"/>
  <c r="N454" i="2"/>
  <c r="Z457" i="2"/>
  <c r="D457" i="2" s="1"/>
  <c r="G460" i="2"/>
  <c r="L460" i="2"/>
  <c r="S464" i="2"/>
  <c r="L469" i="2"/>
  <c r="G469" i="2"/>
  <c r="W470" i="2"/>
  <c r="O488" i="2"/>
  <c r="L420" i="2"/>
  <c r="AE435" i="2"/>
  <c r="L436" i="2"/>
  <c r="O442" i="2"/>
  <c r="P462" i="2"/>
  <c r="N462" i="2"/>
  <c r="S463" i="2"/>
  <c r="Z465" i="2"/>
  <c r="D465" i="2" s="1"/>
  <c r="L474" i="2"/>
  <c r="G474" i="2"/>
  <c r="S475" i="2"/>
  <c r="W475" i="2" s="1"/>
  <c r="AE414" i="2"/>
  <c r="Z414" i="2" s="1"/>
  <c r="D414" i="2" s="1"/>
  <c r="N425" i="2"/>
  <c r="AE430" i="2"/>
  <c r="Z430" i="2" s="1"/>
  <c r="D430" i="2" s="1"/>
  <c r="S445" i="2"/>
  <c r="S448" i="2"/>
  <c r="L453" i="2"/>
  <c r="G453" i="2"/>
  <c r="O460" i="2"/>
  <c r="T462" i="2"/>
  <c r="R462" i="2"/>
  <c r="O468" i="2"/>
  <c r="L468" i="2"/>
  <c r="O469" i="2"/>
  <c r="P474" i="2"/>
  <c r="N474" i="2"/>
  <c r="G482" i="2"/>
  <c r="O482" i="2"/>
  <c r="L482" i="2"/>
  <c r="G487" i="2"/>
  <c r="L487" i="2"/>
  <c r="Z454" i="2"/>
  <c r="D454" i="2" s="1"/>
  <c r="N459" i="2"/>
  <c r="W462" i="2"/>
  <c r="Z464" i="2"/>
  <c r="D464" i="2" s="1"/>
  <c r="W474" i="2"/>
  <c r="T474" i="2"/>
  <c r="R474" i="2"/>
  <c r="S442" i="2"/>
  <c r="W445" i="2"/>
  <c r="Z446" i="2"/>
  <c r="D446" i="2" s="1"/>
  <c r="W448" i="2"/>
  <c r="O452" i="2"/>
  <c r="L452" i="2"/>
  <c r="O453" i="2"/>
  <c r="Z463" i="2"/>
  <c r="D463" i="2" s="1"/>
  <c r="L467" i="2"/>
  <c r="G467" i="2"/>
  <c r="S482" i="2"/>
  <c r="AE485" i="2"/>
  <c r="AG485" i="2"/>
  <c r="O487" i="2"/>
  <c r="Z488" i="2"/>
  <c r="D488" i="2" s="1"/>
  <c r="Z445" i="2"/>
  <c r="D445" i="2" s="1"/>
  <c r="Z448" i="2"/>
  <c r="D448" i="2" s="1"/>
  <c r="G456" i="2"/>
  <c r="L458" i="2"/>
  <c r="G458" i="2"/>
  <c r="AG465" i="2"/>
  <c r="AE465" i="2"/>
  <c r="O467" i="2"/>
  <c r="P473" i="2"/>
  <c r="N473" i="2"/>
  <c r="Z474" i="2"/>
  <c r="D474" i="2" s="1"/>
  <c r="W482" i="2"/>
  <c r="Z447" i="2"/>
  <c r="D447" i="2" s="1"/>
  <c r="L451" i="2"/>
  <c r="G451" i="2"/>
  <c r="P458" i="2"/>
  <c r="N458" i="2" s="1"/>
  <c r="S459" i="2"/>
  <c r="Z460" i="2"/>
  <c r="D460" i="2" s="1"/>
  <c r="Z461" i="2"/>
  <c r="D461" i="2" s="1"/>
  <c r="O472" i="2"/>
  <c r="G481" i="2"/>
  <c r="O481" i="2"/>
  <c r="G462" i="2"/>
  <c r="G478" i="2"/>
  <c r="AE455" i="2"/>
  <c r="AE471" i="2"/>
  <c r="AE487" i="2"/>
  <c r="Z487" i="2" s="1"/>
  <c r="D487" i="2" s="1"/>
  <c r="O445" i="2"/>
  <c r="AE445" i="2"/>
  <c r="O461" i="2"/>
  <c r="G448" i="2"/>
  <c r="G464" i="2"/>
  <c r="G480" i="2"/>
  <c r="G443" i="2"/>
  <c r="AE451" i="2"/>
  <c r="Z451" i="2" s="1"/>
  <c r="D451" i="2" s="1"/>
  <c r="G459" i="2"/>
  <c r="AE467" i="2"/>
  <c r="Z467" i="2" s="1"/>
  <c r="D467" i="2" s="1"/>
  <c r="G475" i="2"/>
  <c r="AE483" i="2"/>
  <c r="Z483" i="2" s="1"/>
  <c r="D483" i="2" s="1"/>
  <c r="AE457" i="2"/>
  <c r="AE473" i="2"/>
  <c r="AE489" i="2"/>
  <c r="Z489" i="2" s="1"/>
  <c r="D489" i="2" s="1"/>
  <c r="Y2" i="2"/>
  <c r="U2" i="2"/>
  <c r="Q2" i="2"/>
  <c r="M2" i="2"/>
  <c r="K2" i="2" s="1"/>
  <c r="L2" i="2" s="1"/>
  <c r="S399" i="2" l="1"/>
  <c r="P399" i="2"/>
  <c r="N399" i="2"/>
  <c r="T397" i="2"/>
  <c r="R397" i="2"/>
  <c r="W397" i="2"/>
  <c r="S211" i="2"/>
  <c r="P211" i="2"/>
  <c r="N211" i="2"/>
  <c r="W126" i="2"/>
  <c r="T126" i="2"/>
  <c r="R126" i="2"/>
  <c r="W5" i="2"/>
  <c r="T5" i="2"/>
  <c r="R5" i="2"/>
  <c r="X411" i="2"/>
  <c r="AJ411" i="2"/>
  <c r="V411" i="2"/>
  <c r="F411" i="2"/>
  <c r="A411" i="2"/>
  <c r="AJ435" i="2"/>
  <c r="A435" i="2"/>
  <c r="X435" i="2"/>
  <c r="V435" i="2"/>
  <c r="F435" i="2"/>
  <c r="T375" i="2"/>
  <c r="R375" i="2" s="1"/>
  <c r="W375" i="2"/>
  <c r="A384" i="2"/>
  <c r="X384" i="2"/>
  <c r="V384" i="2"/>
  <c r="F384" i="2"/>
  <c r="E384" i="2" s="1"/>
  <c r="B384" i="2" s="1"/>
  <c r="AJ384" i="2"/>
  <c r="W356" i="2"/>
  <c r="T356" i="2"/>
  <c r="R356" i="2"/>
  <c r="T325" i="2"/>
  <c r="R325" i="2"/>
  <c r="W325" i="2"/>
  <c r="P64" i="2"/>
  <c r="N64" i="2" s="1"/>
  <c r="S64" i="2"/>
  <c r="P363" i="2"/>
  <c r="N363" i="2"/>
  <c r="S363" i="2"/>
  <c r="T6" i="2"/>
  <c r="R6" i="2"/>
  <c r="W6" i="2"/>
  <c r="X482" i="2"/>
  <c r="V482" i="2"/>
  <c r="F482" i="2"/>
  <c r="AJ482" i="2"/>
  <c r="C482" i="2"/>
  <c r="B482" i="2"/>
  <c r="A482" i="2"/>
  <c r="T418" i="2"/>
  <c r="R418" i="2"/>
  <c r="X458" i="2"/>
  <c r="V458" i="2"/>
  <c r="F458" i="2"/>
  <c r="E458" i="2" s="1"/>
  <c r="AJ458" i="2"/>
  <c r="B458" i="2"/>
  <c r="A458" i="2"/>
  <c r="X307" i="2"/>
  <c r="V307" i="2"/>
  <c r="F307" i="2"/>
  <c r="E307" i="2" s="1"/>
  <c r="B307" i="2" s="1"/>
  <c r="A307" i="2"/>
  <c r="AJ307" i="2"/>
  <c r="S155" i="2"/>
  <c r="P155" i="2"/>
  <c r="N155" i="2"/>
  <c r="P3" i="2"/>
  <c r="S3" i="2"/>
  <c r="N3" i="2"/>
  <c r="W317" i="2"/>
  <c r="T317" i="2"/>
  <c r="R317" i="2"/>
  <c r="P330" i="2"/>
  <c r="S330" i="2"/>
  <c r="N330" i="2"/>
  <c r="T58" i="2"/>
  <c r="R58" i="2"/>
  <c r="Z485" i="2"/>
  <c r="D485" i="2" s="1"/>
  <c r="T482" i="2"/>
  <c r="R482" i="2"/>
  <c r="P460" i="2"/>
  <c r="N460" i="2"/>
  <c r="S460" i="2"/>
  <c r="V377" i="2"/>
  <c r="F377" i="2"/>
  <c r="AJ377" i="2"/>
  <c r="X377" i="2"/>
  <c r="A377" i="2"/>
  <c r="X408" i="2"/>
  <c r="A408" i="2"/>
  <c r="V408" i="2"/>
  <c r="AJ408" i="2"/>
  <c r="F408" i="2"/>
  <c r="E408" i="2" s="1"/>
  <c r="B408" i="2" s="1"/>
  <c r="S197" i="2"/>
  <c r="P197" i="2"/>
  <c r="N197" i="2"/>
  <c r="W259" i="2"/>
  <c r="T259" i="2"/>
  <c r="R259" i="2"/>
  <c r="N142" i="2"/>
  <c r="P142" i="2"/>
  <c r="S142" i="2"/>
  <c r="T52" i="2"/>
  <c r="R52" i="2" s="1"/>
  <c r="W52" i="2"/>
  <c r="T420" i="2"/>
  <c r="R420" i="2"/>
  <c r="W420" i="2"/>
  <c r="T463" i="2"/>
  <c r="R463" i="2"/>
  <c r="W463" i="2"/>
  <c r="W175" i="2"/>
  <c r="T175" i="2"/>
  <c r="R175" i="2"/>
  <c r="X128" i="2"/>
  <c r="V128" i="2"/>
  <c r="F128" i="2"/>
  <c r="AJ128" i="2"/>
  <c r="A128" i="2"/>
  <c r="T427" i="2"/>
  <c r="R427" i="2"/>
  <c r="W427" i="2"/>
  <c r="P434" i="2"/>
  <c r="N434" i="2"/>
  <c r="S434" i="2"/>
  <c r="X423" i="2"/>
  <c r="V423" i="2"/>
  <c r="F423" i="2"/>
  <c r="AJ423" i="2"/>
  <c r="A423" i="2"/>
  <c r="X390" i="2"/>
  <c r="V390" i="2"/>
  <c r="F390" i="2"/>
  <c r="AJ390" i="2"/>
  <c r="A390" i="2"/>
  <c r="S352" i="2"/>
  <c r="P352" i="2"/>
  <c r="N352" i="2"/>
  <c r="T309" i="2"/>
  <c r="R309" i="2"/>
  <c r="H326" i="2"/>
  <c r="J326" i="2" s="1"/>
  <c r="C326" i="2" s="1"/>
  <c r="I326" i="2"/>
  <c r="AJ289" i="2"/>
  <c r="A289" i="2"/>
  <c r="X289" i="2"/>
  <c r="V289" i="2"/>
  <c r="F289" i="2"/>
  <c r="AJ249" i="2"/>
  <c r="A249" i="2"/>
  <c r="V249" i="2"/>
  <c r="F249" i="2"/>
  <c r="X249" i="2"/>
  <c r="R163" i="2"/>
  <c r="T163" i="2"/>
  <c r="W163" i="2"/>
  <c r="T125" i="2"/>
  <c r="R125" i="2"/>
  <c r="W125" i="2"/>
  <c r="T92" i="2"/>
  <c r="R92" i="2"/>
  <c r="W92" i="2"/>
  <c r="X466" i="2"/>
  <c r="V466" i="2"/>
  <c r="F466" i="2"/>
  <c r="AJ466" i="2"/>
  <c r="A466" i="2"/>
  <c r="T446" i="2"/>
  <c r="R446" i="2"/>
  <c r="W446" i="2"/>
  <c r="T435" i="2"/>
  <c r="R435" i="2"/>
  <c r="T406" i="2"/>
  <c r="R406" i="2"/>
  <c r="W406" i="2"/>
  <c r="V293" i="2"/>
  <c r="F293" i="2"/>
  <c r="E293" i="2" s="1"/>
  <c r="B293" i="2" s="1"/>
  <c r="AJ293" i="2"/>
  <c r="X293" i="2"/>
  <c r="A293" i="2"/>
  <c r="P239" i="2"/>
  <c r="N239" i="2"/>
  <c r="S239" i="2"/>
  <c r="W230" i="2"/>
  <c r="T230" i="2"/>
  <c r="R230" i="2"/>
  <c r="P172" i="2"/>
  <c r="N172" i="2"/>
  <c r="A158" i="2"/>
  <c r="X158" i="2"/>
  <c r="AJ158" i="2"/>
  <c r="F158" i="2"/>
  <c r="V158" i="2"/>
  <c r="P97" i="2"/>
  <c r="S97" i="2"/>
  <c r="N97" i="2"/>
  <c r="Z86" i="2"/>
  <c r="D86" i="2" s="1"/>
  <c r="X347" i="2"/>
  <c r="V347" i="2"/>
  <c r="F347" i="2"/>
  <c r="AJ347" i="2"/>
  <c r="A347" i="2"/>
  <c r="A333" i="2"/>
  <c r="X333" i="2"/>
  <c r="V333" i="2"/>
  <c r="F333" i="2"/>
  <c r="AJ333" i="2"/>
  <c r="T252" i="2"/>
  <c r="R252" i="2"/>
  <c r="W252" i="2"/>
  <c r="S481" i="2"/>
  <c r="N481" i="2"/>
  <c r="P481" i="2"/>
  <c r="P447" i="2"/>
  <c r="N447" i="2"/>
  <c r="S447" i="2"/>
  <c r="P386" i="2"/>
  <c r="N386" i="2"/>
  <c r="S386" i="2"/>
  <c r="W309" i="2"/>
  <c r="T314" i="2"/>
  <c r="R314" i="2"/>
  <c r="W314" i="2"/>
  <c r="H250" i="2"/>
  <c r="J250" i="2" s="1"/>
  <c r="C250" i="2" s="1"/>
  <c r="AJ178" i="2"/>
  <c r="A178" i="2"/>
  <c r="V178" i="2"/>
  <c r="F178" i="2"/>
  <c r="X178" i="2"/>
  <c r="V157" i="2"/>
  <c r="F157" i="2"/>
  <c r="AJ157" i="2"/>
  <c r="A157" i="2"/>
  <c r="X157" i="2"/>
  <c r="T278" i="2"/>
  <c r="R278" i="2"/>
  <c r="W278" i="2"/>
  <c r="X416" i="2"/>
  <c r="V416" i="2"/>
  <c r="F416" i="2"/>
  <c r="E416" i="2" s="1"/>
  <c r="AJ416" i="2"/>
  <c r="C416" i="2"/>
  <c r="A416" i="2"/>
  <c r="B416" i="2"/>
  <c r="X298" i="2"/>
  <c r="V298" i="2"/>
  <c r="F298" i="2"/>
  <c r="AJ298" i="2"/>
  <c r="A298" i="2"/>
  <c r="W143" i="2"/>
  <c r="T143" i="2"/>
  <c r="R143" i="2" s="1"/>
  <c r="T146" i="2"/>
  <c r="R146" i="2" s="1"/>
  <c r="W146" i="2"/>
  <c r="W105" i="2"/>
  <c r="T105" i="2"/>
  <c r="R105" i="2"/>
  <c r="S43" i="2"/>
  <c r="P43" i="2"/>
  <c r="N43" i="2"/>
  <c r="W58" i="2"/>
  <c r="X46" i="2"/>
  <c r="F46" i="2"/>
  <c r="AJ46" i="2"/>
  <c r="A46" i="2"/>
  <c r="V46" i="2"/>
  <c r="N12" i="2"/>
  <c r="S12" i="2"/>
  <c r="P12" i="2"/>
  <c r="T415" i="2"/>
  <c r="R415" i="2"/>
  <c r="W415" i="2"/>
  <c r="T479" i="2"/>
  <c r="R479" i="2"/>
  <c r="W479" i="2"/>
  <c r="N385" i="2"/>
  <c r="P385" i="2"/>
  <c r="S385" i="2"/>
  <c r="T407" i="2"/>
  <c r="R407" i="2"/>
  <c r="W407" i="2"/>
  <c r="S392" i="2"/>
  <c r="P392" i="2"/>
  <c r="N392" i="2" s="1"/>
  <c r="P393" i="2"/>
  <c r="N393" i="2"/>
  <c r="S393" i="2"/>
  <c r="T364" i="2"/>
  <c r="R364" i="2" s="1"/>
  <c r="W364" i="2"/>
  <c r="W241" i="2"/>
  <c r="T241" i="2"/>
  <c r="R241" i="2" s="1"/>
  <c r="S137" i="2"/>
  <c r="P137" i="2"/>
  <c r="N137" i="2"/>
  <c r="S172" i="2"/>
  <c r="X148" i="2"/>
  <c r="V148" i="2"/>
  <c r="F148" i="2"/>
  <c r="AJ148" i="2"/>
  <c r="A148" i="2"/>
  <c r="P471" i="2"/>
  <c r="N471" i="2"/>
  <c r="S471" i="2"/>
  <c r="A425" i="2"/>
  <c r="X425" i="2"/>
  <c r="V425" i="2"/>
  <c r="F425" i="2"/>
  <c r="AJ425" i="2"/>
  <c r="P438" i="2"/>
  <c r="N438" i="2" s="1"/>
  <c r="S438" i="2"/>
  <c r="V477" i="2"/>
  <c r="F477" i="2"/>
  <c r="E477" i="2" s="1"/>
  <c r="B477" i="2" s="1"/>
  <c r="AJ477" i="2"/>
  <c r="A477" i="2"/>
  <c r="X477" i="2"/>
  <c r="X480" i="2"/>
  <c r="V480" i="2"/>
  <c r="F480" i="2"/>
  <c r="A480" i="2"/>
  <c r="AJ480" i="2"/>
  <c r="P381" i="2"/>
  <c r="N381" i="2"/>
  <c r="S381" i="2"/>
  <c r="X281" i="2"/>
  <c r="V281" i="2"/>
  <c r="F281" i="2"/>
  <c r="AJ281" i="2"/>
  <c r="C281" i="2"/>
  <c r="B281" i="2"/>
  <c r="A281" i="2"/>
  <c r="R74" i="2"/>
  <c r="T74" i="2"/>
  <c r="W74" i="2"/>
  <c r="S77" i="2"/>
  <c r="P77" i="2"/>
  <c r="N77" i="2"/>
  <c r="V402" i="2"/>
  <c r="F402" i="2"/>
  <c r="A402" i="2"/>
  <c r="X402" i="2"/>
  <c r="AJ402" i="2"/>
  <c r="W193" i="2"/>
  <c r="T193" i="2"/>
  <c r="R193" i="2"/>
  <c r="S116" i="2"/>
  <c r="P116" i="2"/>
  <c r="N116" i="2" s="1"/>
  <c r="P37" i="2"/>
  <c r="N37" i="2" s="1"/>
  <c r="S37" i="2"/>
  <c r="X475" i="2"/>
  <c r="V475" i="2"/>
  <c r="F475" i="2"/>
  <c r="AJ475" i="2"/>
  <c r="A475" i="2"/>
  <c r="P378" i="2"/>
  <c r="N378" i="2"/>
  <c r="S378" i="2"/>
  <c r="V445" i="2"/>
  <c r="F445" i="2"/>
  <c r="AJ445" i="2"/>
  <c r="A445" i="2"/>
  <c r="X445" i="2"/>
  <c r="T464" i="2"/>
  <c r="R464" i="2"/>
  <c r="W464" i="2"/>
  <c r="T335" i="2"/>
  <c r="R335" i="2" s="1"/>
  <c r="W335" i="2"/>
  <c r="AJ329" i="2"/>
  <c r="F329" i="2"/>
  <c r="A329" i="2"/>
  <c r="X329" i="2"/>
  <c r="V329" i="2"/>
  <c r="I365" i="2"/>
  <c r="H365" i="2"/>
  <c r="J365" i="2" s="1"/>
  <c r="C365" i="2" s="1"/>
  <c r="S221" i="2"/>
  <c r="P221" i="2"/>
  <c r="N221" i="2"/>
  <c r="E208" i="2"/>
  <c r="B208" i="2" s="1"/>
  <c r="X194" i="2"/>
  <c r="F194" i="2"/>
  <c r="E194" i="2" s="1"/>
  <c r="B194" i="2" s="1"/>
  <c r="V194" i="2"/>
  <c r="A194" i="2"/>
  <c r="AJ194" i="2"/>
  <c r="T32" i="2"/>
  <c r="R32" i="2"/>
  <c r="W32" i="2"/>
  <c r="P297" i="2"/>
  <c r="N297" i="2"/>
  <c r="S297" i="2"/>
  <c r="AJ306" i="2"/>
  <c r="F306" i="2"/>
  <c r="A306" i="2"/>
  <c r="X306" i="2"/>
  <c r="V306" i="2"/>
  <c r="W442" i="2"/>
  <c r="T442" i="2"/>
  <c r="R442" i="2"/>
  <c r="V418" i="2"/>
  <c r="F418" i="2"/>
  <c r="AJ418" i="2"/>
  <c r="A418" i="2"/>
  <c r="X418" i="2"/>
  <c r="P374" i="2"/>
  <c r="N374" i="2"/>
  <c r="S374" i="2"/>
  <c r="AJ473" i="2"/>
  <c r="A473" i="2"/>
  <c r="V473" i="2"/>
  <c r="F473" i="2"/>
  <c r="E473" i="2" s="1"/>
  <c r="B473" i="2" s="1"/>
  <c r="X473" i="2"/>
  <c r="P349" i="2"/>
  <c r="N349" i="2" s="1"/>
  <c r="S349" i="2"/>
  <c r="I344" i="2"/>
  <c r="J344" i="2" s="1"/>
  <c r="C344" i="2" s="1"/>
  <c r="H344" i="2"/>
  <c r="S240" i="2"/>
  <c r="P240" i="2"/>
  <c r="N240" i="2" s="1"/>
  <c r="X282" i="2"/>
  <c r="V282" i="2"/>
  <c r="F282" i="2"/>
  <c r="AJ282" i="2"/>
  <c r="A282" i="2"/>
  <c r="X86" i="2"/>
  <c r="V86" i="2"/>
  <c r="F86" i="2"/>
  <c r="A86" i="2"/>
  <c r="C86" i="2"/>
  <c r="AJ86" i="2"/>
  <c r="B86" i="2"/>
  <c r="A8" i="2"/>
  <c r="X8" i="2"/>
  <c r="AJ8" i="2"/>
  <c r="F8" i="2"/>
  <c r="V8" i="2"/>
  <c r="N107" i="2"/>
  <c r="P107" i="2"/>
  <c r="T214" i="2"/>
  <c r="R214" i="2"/>
  <c r="W214" i="2"/>
  <c r="T132" i="2"/>
  <c r="R132" i="2"/>
  <c r="X152" i="2"/>
  <c r="V152" i="2"/>
  <c r="F152" i="2"/>
  <c r="AJ152" i="2"/>
  <c r="A152" i="2"/>
  <c r="P48" i="2"/>
  <c r="N48" i="2"/>
  <c r="R18" i="2"/>
  <c r="T18" i="2"/>
  <c r="W18" i="2"/>
  <c r="T25" i="2"/>
  <c r="R25" i="2" s="1"/>
  <c r="P482" i="2"/>
  <c r="N482" i="2"/>
  <c r="T448" i="2"/>
  <c r="R448" i="2"/>
  <c r="T485" i="2"/>
  <c r="R485" i="2" s="1"/>
  <c r="N426" i="2"/>
  <c r="S426" i="2"/>
  <c r="P426" i="2"/>
  <c r="P412" i="2"/>
  <c r="S412" i="2"/>
  <c r="N412" i="2"/>
  <c r="T436" i="2"/>
  <c r="R436" i="2"/>
  <c r="P402" i="2"/>
  <c r="N402" i="2" s="1"/>
  <c r="R389" i="2"/>
  <c r="T389" i="2"/>
  <c r="P382" i="2"/>
  <c r="N382" i="2"/>
  <c r="P404" i="2"/>
  <c r="N404" i="2"/>
  <c r="P333" i="2"/>
  <c r="N333" i="2"/>
  <c r="S332" i="2"/>
  <c r="P332" i="2"/>
  <c r="N332" i="2"/>
  <c r="P331" i="2"/>
  <c r="N331" i="2" s="1"/>
  <c r="S336" i="2"/>
  <c r="P336" i="2"/>
  <c r="N336" i="2"/>
  <c r="X345" i="2"/>
  <c r="V345" i="2"/>
  <c r="F345" i="2"/>
  <c r="AJ345" i="2"/>
  <c r="A345" i="2"/>
  <c r="S299" i="2"/>
  <c r="P299" i="2"/>
  <c r="N299" i="2" s="1"/>
  <c r="S277" i="2"/>
  <c r="P277" i="2"/>
  <c r="N277" i="2"/>
  <c r="S288" i="2"/>
  <c r="P288" i="2"/>
  <c r="N288" i="2" s="1"/>
  <c r="P230" i="2"/>
  <c r="N230" i="2"/>
  <c r="P218" i="2"/>
  <c r="S218" i="2"/>
  <c r="N218" i="2"/>
  <c r="S237" i="2"/>
  <c r="N237" i="2"/>
  <c r="P237" i="2"/>
  <c r="S212" i="2"/>
  <c r="P212" i="2"/>
  <c r="N212" i="2"/>
  <c r="W245" i="2"/>
  <c r="T245" i="2"/>
  <c r="R245" i="2" s="1"/>
  <c r="E183" i="2"/>
  <c r="B183" i="2" s="1"/>
  <c r="T161" i="2"/>
  <c r="R161" i="2" s="1"/>
  <c r="R188" i="2"/>
  <c r="T188" i="2"/>
  <c r="AJ192" i="2"/>
  <c r="A192" i="2"/>
  <c r="F192" i="2"/>
  <c r="E192" i="2" s="1"/>
  <c r="B192" i="2" s="1"/>
  <c r="X192" i="2"/>
  <c r="V192" i="2"/>
  <c r="S171" i="2"/>
  <c r="P171" i="2"/>
  <c r="N171" i="2"/>
  <c r="T145" i="2"/>
  <c r="R145" i="2"/>
  <c r="W119" i="2"/>
  <c r="T119" i="2"/>
  <c r="R119" i="2"/>
  <c r="A179" i="2"/>
  <c r="X179" i="2"/>
  <c r="F179" i="2"/>
  <c r="E179" i="2" s="1"/>
  <c r="B179" i="2" s="1"/>
  <c r="AJ179" i="2"/>
  <c r="V179" i="2"/>
  <c r="W117" i="2"/>
  <c r="T117" i="2"/>
  <c r="R117" i="2" s="1"/>
  <c r="V65" i="2"/>
  <c r="F65" i="2"/>
  <c r="E65" i="2" s="1"/>
  <c r="B65" i="2" s="1"/>
  <c r="X65" i="2"/>
  <c r="AJ65" i="2"/>
  <c r="A65" i="2"/>
  <c r="X61" i="2"/>
  <c r="V61" i="2"/>
  <c r="F61" i="2"/>
  <c r="E61" i="2" s="1"/>
  <c r="B61" i="2" s="1"/>
  <c r="AJ61" i="2"/>
  <c r="A61" i="2"/>
  <c r="P51" i="2"/>
  <c r="N51" i="2"/>
  <c r="P20" i="2"/>
  <c r="N20" i="2"/>
  <c r="A24" i="2"/>
  <c r="X24" i="2"/>
  <c r="AJ24" i="2"/>
  <c r="V24" i="2"/>
  <c r="F24" i="2"/>
  <c r="E39" i="2"/>
  <c r="B39" i="2" s="1"/>
  <c r="T9" i="2"/>
  <c r="R9" i="2"/>
  <c r="S247" i="2"/>
  <c r="P247" i="2"/>
  <c r="N247" i="2"/>
  <c r="P489" i="2"/>
  <c r="N489" i="2"/>
  <c r="Z441" i="2"/>
  <c r="D441" i="2" s="1"/>
  <c r="T361" i="2"/>
  <c r="R361" i="2"/>
  <c r="P301" i="2"/>
  <c r="N301" i="2" s="1"/>
  <c r="F255" i="2"/>
  <c r="X255" i="2"/>
  <c r="V255" i="2"/>
  <c r="C255" i="2"/>
  <c r="B255" i="2"/>
  <c r="A255" i="2"/>
  <c r="AJ255" i="2"/>
  <c r="T313" i="2"/>
  <c r="R313" i="2"/>
  <c r="P285" i="2"/>
  <c r="N285" i="2"/>
  <c r="R291" i="2"/>
  <c r="W291" i="2"/>
  <c r="T291" i="2"/>
  <c r="P238" i="2"/>
  <c r="N238" i="2"/>
  <c r="X180" i="2"/>
  <c r="V180" i="2"/>
  <c r="F180" i="2"/>
  <c r="E180" i="2" s="1"/>
  <c r="A180" i="2"/>
  <c r="B180" i="2"/>
  <c r="AJ180" i="2"/>
  <c r="P151" i="2"/>
  <c r="N151" i="2" s="1"/>
  <c r="T148" i="2"/>
  <c r="R148" i="2"/>
  <c r="X121" i="2"/>
  <c r="F121" i="2"/>
  <c r="E121" i="2" s="1"/>
  <c r="B121" i="2" s="1"/>
  <c r="A121" i="2"/>
  <c r="V121" i="2"/>
  <c r="AJ121" i="2"/>
  <c r="AJ84" i="2"/>
  <c r="B84" i="2"/>
  <c r="A84" i="2"/>
  <c r="X84" i="2"/>
  <c r="V84" i="2"/>
  <c r="F84" i="2"/>
  <c r="E84" i="2" s="1"/>
  <c r="X71" i="2"/>
  <c r="V71" i="2"/>
  <c r="F71" i="2"/>
  <c r="E71" i="2" s="1"/>
  <c r="B71" i="2" s="1"/>
  <c r="AJ71" i="2"/>
  <c r="A71" i="2"/>
  <c r="S467" i="2"/>
  <c r="P467" i="2"/>
  <c r="N467" i="2"/>
  <c r="S424" i="2"/>
  <c r="P424" i="2"/>
  <c r="N424" i="2" s="1"/>
  <c r="X422" i="2"/>
  <c r="V422" i="2"/>
  <c r="F422" i="2"/>
  <c r="AJ422" i="2"/>
  <c r="A422" i="2"/>
  <c r="T431" i="2"/>
  <c r="R431" i="2"/>
  <c r="S366" i="2"/>
  <c r="P366" i="2"/>
  <c r="N366" i="2"/>
  <c r="S348" i="2"/>
  <c r="P348" i="2"/>
  <c r="N348" i="2"/>
  <c r="W319" i="2"/>
  <c r="T319" i="2"/>
  <c r="R319" i="2"/>
  <c r="X350" i="2"/>
  <c r="V350" i="2"/>
  <c r="F350" i="2"/>
  <c r="E350" i="2" s="1"/>
  <c r="B350" i="2" s="1"/>
  <c r="A350" i="2"/>
  <c r="AJ350" i="2"/>
  <c r="P284" i="2"/>
  <c r="N284" i="2"/>
  <c r="W270" i="2"/>
  <c r="T270" i="2"/>
  <c r="R270" i="2" s="1"/>
  <c r="T272" i="2"/>
  <c r="R272" i="2" s="1"/>
  <c r="W246" i="2"/>
  <c r="T246" i="2"/>
  <c r="R246" i="2"/>
  <c r="X190" i="2"/>
  <c r="V190" i="2"/>
  <c r="A190" i="2"/>
  <c r="AJ190" i="2"/>
  <c r="F190" i="2"/>
  <c r="P150" i="2"/>
  <c r="N150" i="2"/>
  <c r="S150" i="2"/>
  <c r="X147" i="2"/>
  <c r="V147" i="2"/>
  <c r="F147" i="2"/>
  <c r="A147" i="2"/>
  <c r="AJ147" i="2"/>
  <c r="C147" i="2"/>
  <c r="B147" i="2"/>
  <c r="S154" i="2"/>
  <c r="P154" i="2"/>
  <c r="N154" i="2"/>
  <c r="S115" i="2"/>
  <c r="P115" i="2"/>
  <c r="N115" i="2"/>
  <c r="T96" i="2"/>
  <c r="R96" i="2"/>
  <c r="W96" i="2"/>
  <c r="P79" i="2"/>
  <c r="N79" i="2"/>
  <c r="T83" i="2"/>
  <c r="R83" i="2" s="1"/>
  <c r="S62" i="2"/>
  <c r="P62" i="2"/>
  <c r="N62" i="2"/>
  <c r="S16" i="2"/>
  <c r="P16" i="2"/>
  <c r="N16" i="2" s="1"/>
  <c r="P18" i="2"/>
  <c r="N18" i="2" s="1"/>
  <c r="V22" i="2"/>
  <c r="F22" i="2"/>
  <c r="AJ22" i="2"/>
  <c r="A22" i="2"/>
  <c r="X22" i="2"/>
  <c r="W81" i="2"/>
  <c r="T81" i="2"/>
  <c r="R81" i="2"/>
  <c r="T26" i="2"/>
  <c r="R26" i="2"/>
  <c r="W114" i="2"/>
  <c r="T114" i="2"/>
  <c r="R114" i="2"/>
  <c r="X476" i="2"/>
  <c r="V476" i="2"/>
  <c r="F476" i="2"/>
  <c r="AJ476" i="2"/>
  <c r="A476" i="2"/>
  <c r="T444" i="2"/>
  <c r="R444" i="2" s="1"/>
  <c r="W444" i="2"/>
  <c r="S413" i="2"/>
  <c r="N413" i="2"/>
  <c r="P413" i="2"/>
  <c r="P403" i="2"/>
  <c r="N403" i="2" s="1"/>
  <c r="AJ373" i="2"/>
  <c r="A373" i="2"/>
  <c r="X373" i="2"/>
  <c r="V373" i="2"/>
  <c r="F373" i="2"/>
  <c r="E373" i="2" s="1"/>
  <c r="B373" i="2" s="1"/>
  <c r="S383" i="2"/>
  <c r="P383" i="2"/>
  <c r="N383" i="2" s="1"/>
  <c r="T359" i="2"/>
  <c r="R359" i="2"/>
  <c r="W359" i="2"/>
  <c r="W387" i="2"/>
  <c r="T387" i="2"/>
  <c r="R387" i="2" s="1"/>
  <c r="W355" i="2"/>
  <c r="T355" i="2"/>
  <c r="R355" i="2" s="1"/>
  <c r="AJ343" i="2"/>
  <c r="A343" i="2"/>
  <c r="V343" i="2"/>
  <c r="F343" i="2"/>
  <c r="X343" i="2"/>
  <c r="AJ233" i="2"/>
  <c r="A233" i="2"/>
  <c r="V233" i="2"/>
  <c r="F233" i="2"/>
  <c r="X233" i="2"/>
  <c r="P228" i="2"/>
  <c r="S228" i="2"/>
  <c r="N228" i="2"/>
  <c r="H183" i="2"/>
  <c r="J183" i="2" s="1"/>
  <c r="C183" i="2" s="1"/>
  <c r="I183" i="2"/>
  <c r="S149" i="2"/>
  <c r="P149" i="2"/>
  <c r="N149" i="2"/>
  <c r="W98" i="2"/>
  <c r="T98" i="2"/>
  <c r="R98" i="2"/>
  <c r="T71" i="2"/>
  <c r="R71" i="2"/>
  <c r="P461" i="2"/>
  <c r="N461" i="2" s="1"/>
  <c r="T445" i="2"/>
  <c r="R445" i="2" s="1"/>
  <c r="P442" i="2"/>
  <c r="N442" i="2" s="1"/>
  <c r="T470" i="2"/>
  <c r="R470" i="2"/>
  <c r="R457" i="2"/>
  <c r="W457" i="2"/>
  <c r="T457" i="2"/>
  <c r="X437" i="2"/>
  <c r="V437" i="2"/>
  <c r="F437" i="2"/>
  <c r="E437" i="2" s="1"/>
  <c r="B437" i="2" s="1"/>
  <c r="A437" i="2"/>
  <c r="AJ437" i="2"/>
  <c r="E410" i="2"/>
  <c r="B410" i="2" s="1"/>
  <c r="N369" i="2"/>
  <c r="P369" i="2"/>
  <c r="N334" i="2"/>
  <c r="S334" i="2"/>
  <c r="P334" i="2"/>
  <c r="P347" i="2"/>
  <c r="N347" i="2"/>
  <c r="P339" i="2"/>
  <c r="N339" i="2"/>
  <c r="S339" i="2"/>
  <c r="P341" i="2"/>
  <c r="N341" i="2"/>
  <c r="T345" i="2"/>
  <c r="R345" i="2"/>
  <c r="E370" i="2"/>
  <c r="B370" i="2" s="1"/>
  <c r="T362" i="2"/>
  <c r="R362" i="2"/>
  <c r="W313" i="2"/>
  <c r="P263" i="2"/>
  <c r="N263" i="2"/>
  <c r="A300" i="2"/>
  <c r="V300" i="2"/>
  <c r="F300" i="2"/>
  <c r="AJ300" i="2"/>
  <c r="X300" i="2"/>
  <c r="P259" i="2"/>
  <c r="N259" i="2"/>
  <c r="W287" i="2"/>
  <c r="T287" i="2"/>
  <c r="R287" i="2"/>
  <c r="T223" i="2"/>
  <c r="R223" i="2"/>
  <c r="AJ311" i="2"/>
  <c r="A311" i="2"/>
  <c r="X311" i="2"/>
  <c r="V311" i="2"/>
  <c r="F311" i="2"/>
  <c r="S242" i="2"/>
  <c r="P242" i="2"/>
  <c r="N242" i="2" s="1"/>
  <c r="S227" i="2"/>
  <c r="P227" i="2"/>
  <c r="N227" i="2"/>
  <c r="W244" i="2"/>
  <c r="T244" i="2"/>
  <c r="R244" i="2" s="1"/>
  <c r="N256" i="2"/>
  <c r="P256" i="2"/>
  <c r="T178" i="2"/>
  <c r="R178" i="2"/>
  <c r="W174" i="2"/>
  <c r="R174" i="2"/>
  <c r="T174" i="2"/>
  <c r="I208" i="2"/>
  <c r="J208" i="2" s="1"/>
  <c r="C208" i="2" s="1"/>
  <c r="H208" i="2"/>
  <c r="P143" i="2"/>
  <c r="N143" i="2"/>
  <c r="P140" i="2"/>
  <c r="N140" i="2" s="1"/>
  <c r="S140" i="2"/>
  <c r="N98" i="2"/>
  <c r="P98" i="2"/>
  <c r="W113" i="2"/>
  <c r="T113" i="2"/>
  <c r="R113" i="2" s="1"/>
  <c r="P75" i="2"/>
  <c r="N75" i="2"/>
  <c r="S75" i="2"/>
  <c r="W94" i="2"/>
  <c r="T94" i="2"/>
  <c r="R94" i="2"/>
  <c r="S78" i="2"/>
  <c r="P78" i="2"/>
  <c r="N78" i="2"/>
  <c r="R34" i="2"/>
  <c r="W34" i="2"/>
  <c r="T34" i="2"/>
  <c r="N13" i="2"/>
  <c r="P13" i="2"/>
  <c r="E56" i="2"/>
  <c r="B56" i="2" s="1"/>
  <c r="F10" i="2"/>
  <c r="X10" i="2"/>
  <c r="V10" i="2" s="1"/>
  <c r="A10" i="2"/>
  <c r="AJ10" i="2"/>
  <c r="P6" i="2"/>
  <c r="N6" i="2"/>
  <c r="S48" i="2"/>
  <c r="X35" i="2"/>
  <c r="V35" i="2"/>
  <c r="F35" i="2"/>
  <c r="B35" i="2"/>
  <c r="A35" i="2"/>
  <c r="AJ35" i="2"/>
  <c r="C35" i="2"/>
  <c r="T10" i="2"/>
  <c r="R10" i="2"/>
  <c r="V292" i="2"/>
  <c r="F292" i="2"/>
  <c r="AJ292" i="2"/>
  <c r="A292" i="2"/>
  <c r="X292" i="2"/>
  <c r="T167" i="2"/>
  <c r="R167" i="2"/>
  <c r="W167" i="2"/>
  <c r="T20" i="2"/>
  <c r="R20" i="2" s="1"/>
  <c r="W20" i="2"/>
  <c r="V73" i="2"/>
  <c r="F73" i="2"/>
  <c r="E73" i="2" s="1"/>
  <c r="AJ73" i="2"/>
  <c r="C73" i="2"/>
  <c r="B73" i="2"/>
  <c r="A73" i="2"/>
  <c r="X73" i="2"/>
  <c r="P466" i="2"/>
  <c r="N466" i="2"/>
  <c r="X236" i="2"/>
  <c r="V236" i="2"/>
  <c r="F236" i="2"/>
  <c r="A236" i="2"/>
  <c r="AJ236" i="2"/>
  <c r="C236" i="2"/>
  <c r="B236" i="2"/>
  <c r="S403" i="2"/>
  <c r="T279" i="2"/>
  <c r="R279" i="2" s="1"/>
  <c r="W279" i="2"/>
  <c r="A274" i="2"/>
  <c r="AJ274" i="2"/>
  <c r="F274" i="2"/>
  <c r="X274" i="2"/>
  <c r="V274" i="2"/>
  <c r="T216" i="2"/>
  <c r="R216" i="2"/>
  <c r="W232" i="2"/>
  <c r="T232" i="2"/>
  <c r="R232" i="2"/>
  <c r="X275" i="2"/>
  <c r="A275" i="2"/>
  <c r="V275" i="2"/>
  <c r="AJ275" i="2"/>
  <c r="F275" i="2"/>
  <c r="R274" i="2"/>
  <c r="T274" i="2"/>
  <c r="S213" i="2"/>
  <c r="P213" i="2"/>
  <c r="N213" i="2"/>
  <c r="S267" i="2"/>
  <c r="P267" i="2"/>
  <c r="N267" i="2"/>
  <c r="R217" i="2"/>
  <c r="T217" i="2"/>
  <c r="W204" i="2"/>
  <c r="R204" i="2"/>
  <c r="T204" i="2"/>
  <c r="W210" i="2"/>
  <c r="T210" i="2"/>
  <c r="R210" i="2"/>
  <c r="T139" i="2"/>
  <c r="R139" i="2" s="1"/>
  <c r="W141" i="2"/>
  <c r="T141" i="2"/>
  <c r="R141" i="2"/>
  <c r="X177" i="2"/>
  <c r="V177" i="2"/>
  <c r="F177" i="2"/>
  <c r="AJ177" i="2"/>
  <c r="A177" i="2"/>
  <c r="P100" i="2"/>
  <c r="N100" i="2"/>
  <c r="T102" i="2"/>
  <c r="R102" i="2"/>
  <c r="T120" i="2"/>
  <c r="R120" i="2" s="1"/>
  <c r="P58" i="2"/>
  <c r="N58" i="2" s="1"/>
  <c r="R50" i="2"/>
  <c r="W50" i="2"/>
  <c r="T50" i="2"/>
  <c r="X47" i="2"/>
  <c r="F47" i="2"/>
  <c r="E47" i="2" s="1"/>
  <c r="B47" i="2" s="1"/>
  <c r="A47" i="2"/>
  <c r="AJ47" i="2"/>
  <c r="V47" i="2"/>
  <c r="S27" i="2"/>
  <c r="N27" i="2"/>
  <c r="P27" i="2"/>
  <c r="P106" i="2"/>
  <c r="S106" i="2"/>
  <c r="N106" i="2"/>
  <c r="N5" i="2"/>
  <c r="P5" i="2"/>
  <c r="P248" i="2"/>
  <c r="N248" i="2"/>
  <c r="V443" i="2"/>
  <c r="F443" i="2"/>
  <c r="AJ443" i="2"/>
  <c r="A443" i="2"/>
  <c r="X443" i="2"/>
  <c r="X59" i="2"/>
  <c r="V59" i="2"/>
  <c r="AJ59" i="2"/>
  <c r="F59" i="2"/>
  <c r="A59" i="2"/>
  <c r="S433" i="2"/>
  <c r="P433" i="2"/>
  <c r="N433" i="2"/>
  <c r="T388" i="2"/>
  <c r="R388" i="2"/>
  <c r="W388" i="2"/>
  <c r="P379" i="2"/>
  <c r="N379" i="2"/>
  <c r="S379" i="2"/>
  <c r="W391" i="2"/>
  <c r="T391" i="2"/>
  <c r="R391" i="2"/>
  <c r="T346" i="2"/>
  <c r="R346" i="2"/>
  <c r="T318" i="2"/>
  <c r="R318" i="2"/>
  <c r="R430" i="2"/>
  <c r="W430" i="2"/>
  <c r="T430" i="2"/>
  <c r="T390" i="2"/>
  <c r="R390" i="2"/>
  <c r="W396" i="2"/>
  <c r="T396" i="2"/>
  <c r="R396" i="2"/>
  <c r="S327" i="2"/>
  <c r="P327" i="2"/>
  <c r="N327" i="2" s="1"/>
  <c r="S353" i="2"/>
  <c r="P353" i="2"/>
  <c r="N353" i="2" s="1"/>
  <c r="AJ321" i="2"/>
  <c r="A321" i="2"/>
  <c r="X321" i="2"/>
  <c r="V321" i="2"/>
  <c r="F321" i="2"/>
  <c r="E321" i="2" s="1"/>
  <c r="B321" i="2" s="1"/>
  <c r="W308" i="2"/>
  <c r="T308" i="2"/>
  <c r="R308" i="2"/>
  <c r="I265" i="2"/>
  <c r="H265" i="2"/>
  <c r="J265" i="2" s="1"/>
  <c r="C265" i="2" s="1"/>
  <c r="X303" i="2"/>
  <c r="V303" i="2"/>
  <c r="F303" i="2"/>
  <c r="E303" i="2" s="1"/>
  <c r="B303" i="2" s="1"/>
  <c r="A303" i="2"/>
  <c r="AJ303" i="2"/>
  <c r="W296" i="2"/>
  <c r="T296" i="2"/>
  <c r="R296" i="2" s="1"/>
  <c r="P271" i="2"/>
  <c r="N271" i="2" s="1"/>
  <c r="S271" i="2"/>
  <c r="S219" i="2"/>
  <c r="P219" i="2"/>
  <c r="N219" i="2"/>
  <c r="W225" i="2"/>
  <c r="T225" i="2"/>
  <c r="R225" i="2"/>
  <c r="Z240" i="2"/>
  <c r="D240" i="2" s="1"/>
  <c r="S182" i="2"/>
  <c r="P182" i="2"/>
  <c r="N182" i="2"/>
  <c r="P128" i="2"/>
  <c r="N128" i="2"/>
  <c r="W145" i="2"/>
  <c r="P127" i="2"/>
  <c r="N127" i="2"/>
  <c r="N135" i="2"/>
  <c r="P135" i="2"/>
  <c r="P92" i="2"/>
  <c r="N92" i="2"/>
  <c r="P108" i="2"/>
  <c r="N108" i="2"/>
  <c r="S108" i="2"/>
  <c r="P74" i="2"/>
  <c r="N74" i="2"/>
  <c r="X82" i="2"/>
  <c r="V82" i="2"/>
  <c r="F82" i="2"/>
  <c r="AJ82" i="2"/>
  <c r="A82" i="2"/>
  <c r="V54" i="2"/>
  <c r="F54" i="2"/>
  <c r="A54" i="2"/>
  <c r="AJ54" i="2"/>
  <c r="X54" i="2"/>
  <c r="T57" i="2"/>
  <c r="R57" i="2" s="1"/>
  <c r="X76" i="2"/>
  <c r="V76" i="2"/>
  <c r="F76" i="2"/>
  <c r="AJ76" i="2"/>
  <c r="A76" i="2"/>
  <c r="X41" i="2"/>
  <c r="V41" i="2"/>
  <c r="F41" i="2"/>
  <c r="AJ41" i="2"/>
  <c r="C41" i="2"/>
  <c r="B41" i="2"/>
  <c r="A41" i="2"/>
  <c r="V38" i="2"/>
  <c r="F38" i="2"/>
  <c r="AJ38" i="2"/>
  <c r="A38" i="2"/>
  <c r="X38" i="2"/>
  <c r="E68" i="2"/>
  <c r="R33" i="2"/>
  <c r="W33" i="2"/>
  <c r="T33" i="2"/>
  <c r="H80" i="2"/>
  <c r="J80" i="2" s="1"/>
  <c r="C80" i="2" s="1"/>
  <c r="R152" i="2"/>
  <c r="T152" i="2"/>
  <c r="AJ7" i="2"/>
  <c r="A7" i="2"/>
  <c r="X7" i="2"/>
  <c r="V7" i="2" s="1"/>
  <c r="F7" i="2"/>
  <c r="T209" i="2"/>
  <c r="R209" i="2"/>
  <c r="T79" i="2"/>
  <c r="R79" i="2"/>
  <c r="W79" i="2"/>
  <c r="R46" i="2"/>
  <c r="T46" i="2"/>
  <c r="S472" i="2"/>
  <c r="P472" i="2"/>
  <c r="N472" i="2"/>
  <c r="S337" i="2"/>
  <c r="P337" i="2"/>
  <c r="N337" i="2"/>
  <c r="X323" i="2"/>
  <c r="V323" i="2"/>
  <c r="F323" i="2"/>
  <c r="A323" i="2"/>
  <c r="AJ323" i="2"/>
  <c r="V262" i="2"/>
  <c r="F262" i="2"/>
  <c r="AJ262" i="2"/>
  <c r="X262" i="2"/>
  <c r="A262" i="2"/>
  <c r="T459" i="2"/>
  <c r="R459" i="2"/>
  <c r="T477" i="2"/>
  <c r="R477" i="2"/>
  <c r="P414" i="2"/>
  <c r="N414" i="2"/>
  <c r="X421" i="2"/>
  <c r="V421" i="2"/>
  <c r="F421" i="2"/>
  <c r="E421" i="2" s="1"/>
  <c r="B421" i="2" s="1"/>
  <c r="A421" i="2"/>
  <c r="AJ421" i="2"/>
  <c r="T451" i="2"/>
  <c r="R451" i="2"/>
  <c r="X432" i="2"/>
  <c r="V432" i="2"/>
  <c r="F432" i="2"/>
  <c r="AJ432" i="2"/>
  <c r="A432" i="2"/>
  <c r="P445" i="2"/>
  <c r="N445" i="2"/>
  <c r="N453" i="2"/>
  <c r="S453" i="2"/>
  <c r="P453" i="2"/>
  <c r="AJ441" i="2"/>
  <c r="V441" i="2"/>
  <c r="F441" i="2"/>
  <c r="E441" i="2" s="1"/>
  <c r="B441" i="2" s="1"/>
  <c r="X441" i="2"/>
  <c r="A441" i="2"/>
  <c r="T478" i="2"/>
  <c r="R478" i="2"/>
  <c r="W451" i="2"/>
  <c r="S486" i="2"/>
  <c r="P486" i="2"/>
  <c r="N486" i="2"/>
  <c r="T456" i="2"/>
  <c r="R456" i="2" s="1"/>
  <c r="W456" i="2"/>
  <c r="W459" i="2"/>
  <c r="W431" i="2"/>
  <c r="S414" i="2"/>
  <c r="W389" i="2"/>
  <c r="P373" i="2"/>
  <c r="N373" i="2"/>
  <c r="P397" i="2"/>
  <c r="N397" i="2"/>
  <c r="X340" i="2"/>
  <c r="V340" i="2"/>
  <c r="F340" i="2"/>
  <c r="E340" i="2" s="1"/>
  <c r="AJ340" i="2"/>
  <c r="B340" i="2"/>
  <c r="A340" i="2"/>
  <c r="W318" i="2"/>
  <c r="AJ305" i="2"/>
  <c r="A305" i="2"/>
  <c r="F305" i="2"/>
  <c r="E305" i="2" s="1"/>
  <c r="B305" i="2" s="1"/>
  <c r="X305" i="2"/>
  <c r="V305" i="2"/>
  <c r="X302" i="2"/>
  <c r="AJ302" i="2"/>
  <c r="F302" i="2"/>
  <c r="A302" i="2"/>
  <c r="V302" i="2"/>
  <c r="S263" i="2"/>
  <c r="T286" i="2"/>
  <c r="R286" i="2" s="1"/>
  <c r="AJ290" i="2"/>
  <c r="A290" i="2"/>
  <c r="X290" i="2"/>
  <c r="V290" i="2"/>
  <c r="F290" i="2"/>
  <c r="W276" i="2"/>
  <c r="T276" i="2"/>
  <c r="R276" i="2"/>
  <c r="S215" i="2"/>
  <c r="P215" i="2"/>
  <c r="N215" i="2"/>
  <c r="W195" i="2"/>
  <c r="R195" i="2"/>
  <c r="T195" i="2"/>
  <c r="S226" i="2"/>
  <c r="P226" i="2"/>
  <c r="N226" i="2" s="1"/>
  <c r="T165" i="2"/>
  <c r="R165" i="2"/>
  <c r="P134" i="2"/>
  <c r="N134" i="2"/>
  <c r="S134" i="2"/>
  <c r="S138" i="2"/>
  <c r="P138" i="2"/>
  <c r="N138" i="2" s="1"/>
  <c r="R136" i="2"/>
  <c r="T136" i="2"/>
  <c r="T104" i="2"/>
  <c r="R104" i="2"/>
  <c r="S156" i="2"/>
  <c r="N156" i="2"/>
  <c r="P156" i="2"/>
  <c r="S95" i="2"/>
  <c r="P95" i="2"/>
  <c r="N95" i="2" s="1"/>
  <c r="S51" i="2"/>
  <c r="H56" i="2"/>
  <c r="J56" i="2" s="1"/>
  <c r="C56" i="2" s="1"/>
  <c r="W104" i="2"/>
  <c r="R53" i="2"/>
  <c r="T53" i="2"/>
  <c r="W53" i="2"/>
  <c r="P30" i="2"/>
  <c r="N30" i="2" s="1"/>
  <c r="S30" i="2"/>
  <c r="I39" i="2"/>
  <c r="H39" i="2"/>
  <c r="J39" i="2" s="1"/>
  <c r="C39" i="2" s="1"/>
  <c r="W26" i="2"/>
  <c r="A69" i="2"/>
  <c r="X69" i="2"/>
  <c r="AJ69" i="2"/>
  <c r="F69" i="2"/>
  <c r="V69" i="2"/>
  <c r="N224" i="2"/>
  <c r="S224" i="2"/>
  <c r="P224" i="2"/>
  <c r="T289" i="2"/>
  <c r="R289" i="2"/>
  <c r="X474" i="2"/>
  <c r="V474" i="2"/>
  <c r="F474" i="2"/>
  <c r="AJ474" i="2"/>
  <c r="A474" i="2"/>
  <c r="W454" i="2"/>
  <c r="T454" i="2"/>
  <c r="R454" i="2"/>
  <c r="AJ478" i="2"/>
  <c r="A478" i="2"/>
  <c r="X478" i="2"/>
  <c r="V478" i="2"/>
  <c r="F478" i="2"/>
  <c r="P418" i="2"/>
  <c r="N418" i="2" s="1"/>
  <c r="P419" i="2"/>
  <c r="N419" i="2"/>
  <c r="W428" i="2"/>
  <c r="T428" i="2"/>
  <c r="R428" i="2" s="1"/>
  <c r="S429" i="2"/>
  <c r="P429" i="2"/>
  <c r="N429" i="2"/>
  <c r="N407" i="2"/>
  <c r="P407" i="2"/>
  <c r="T382" i="2"/>
  <c r="R382" i="2"/>
  <c r="V372" i="2"/>
  <c r="F372" i="2"/>
  <c r="AJ372" i="2"/>
  <c r="A372" i="2"/>
  <c r="X372" i="2"/>
  <c r="R373" i="2"/>
  <c r="T373" i="2"/>
  <c r="W380" i="2"/>
  <c r="T380" i="2"/>
  <c r="R380" i="2"/>
  <c r="S342" i="2"/>
  <c r="P342" i="2"/>
  <c r="N342" i="2"/>
  <c r="S351" i="2"/>
  <c r="N351" i="2"/>
  <c r="P351" i="2"/>
  <c r="S376" i="2"/>
  <c r="P376" i="2"/>
  <c r="N376" i="2"/>
  <c r="A368" i="2"/>
  <c r="AJ368" i="2"/>
  <c r="F368" i="2"/>
  <c r="X368" i="2"/>
  <c r="V368" i="2"/>
  <c r="R329" i="2"/>
  <c r="T329" i="2"/>
  <c r="T316" i="2"/>
  <c r="R316" i="2"/>
  <c r="W316" i="2"/>
  <c r="A322" i="2"/>
  <c r="X322" i="2"/>
  <c r="V322" i="2"/>
  <c r="F322" i="2"/>
  <c r="AJ322" i="2"/>
  <c r="X362" i="2"/>
  <c r="V362" i="2" s="1"/>
  <c r="F362" i="2"/>
  <c r="AJ362" i="2"/>
  <c r="A362" i="2"/>
  <c r="T294" i="2"/>
  <c r="R294" i="2"/>
  <c r="A328" i="2"/>
  <c r="V328" i="2"/>
  <c r="F328" i="2"/>
  <c r="X328" i="2"/>
  <c r="AJ328" i="2"/>
  <c r="E398" i="2"/>
  <c r="B398" i="2" s="1"/>
  <c r="T284" i="2"/>
  <c r="R284" i="2"/>
  <c r="W284" i="2"/>
  <c r="R306" i="2"/>
  <c r="T306" i="2"/>
  <c r="P291" i="2"/>
  <c r="N291" i="2"/>
  <c r="T281" i="2"/>
  <c r="R281" i="2"/>
  <c r="W223" i="2"/>
  <c r="S206" i="2"/>
  <c r="P206" i="2"/>
  <c r="N206" i="2"/>
  <c r="T181" i="2"/>
  <c r="R181" i="2"/>
  <c r="T128" i="2"/>
  <c r="R128" i="2"/>
  <c r="S123" i="2"/>
  <c r="P123" i="2"/>
  <c r="N123" i="2" s="1"/>
  <c r="W135" i="2"/>
  <c r="T135" i="2"/>
  <c r="R135" i="2"/>
  <c r="T129" i="2"/>
  <c r="R129" i="2"/>
  <c r="S101" i="2"/>
  <c r="P101" i="2"/>
  <c r="N101" i="2"/>
  <c r="S160" i="2"/>
  <c r="P160" i="2"/>
  <c r="N160" i="2"/>
  <c r="W139" i="2"/>
  <c r="R91" i="2"/>
  <c r="W91" i="2"/>
  <c r="T91" i="2"/>
  <c r="T89" i="2"/>
  <c r="W89" i="2"/>
  <c r="R89" i="2"/>
  <c r="N89" i="2"/>
  <c r="P89" i="2"/>
  <c r="W102" i="2"/>
  <c r="V21" i="2"/>
  <c r="F21" i="2"/>
  <c r="AJ21" i="2"/>
  <c r="C21" i="2"/>
  <c r="A21" i="2"/>
  <c r="B21" i="2"/>
  <c r="X21" i="2"/>
  <c r="F220" i="2"/>
  <c r="X220" i="2"/>
  <c r="V220" i="2"/>
  <c r="C220" i="2"/>
  <c r="B220" i="2"/>
  <c r="A220" i="2"/>
  <c r="AJ220" i="2"/>
  <c r="A234" i="2"/>
  <c r="V234" i="2"/>
  <c r="F234" i="2"/>
  <c r="AJ234" i="2"/>
  <c r="X234" i="2"/>
  <c r="T159" i="2"/>
  <c r="R159" i="2"/>
  <c r="W159" i="2"/>
  <c r="T55" i="2"/>
  <c r="R55" i="2"/>
  <c r="AJ462" i="2"/>
  <c r="A462" i="2"/>
  <c r="X462" i="2"/>
  <c r="V462" i="2"/>
  <c r="F462" i="2"/>
  <c r="S488" i="2"/>
  <c r="P488" i="2"/>
  <c r="N488" i="2" s="1"/>
  <c r="P452" i="2"/>
  <c r="N452" i="2"/>
  <c r="S452" i="2"/>
  <c r="S461" i="2"/>
  <c r="S489" i="2"/>
  <c r="P463" i="2"/>
  <c r="N463" i="2" s="1"/>
  <c r="T480" i="2"/>
  <c r="R480" i="2" s="1"/>
  <c r="S450" i="2"/>
  <c r="P450" i="2"/>
  <c r="N450" i="2"/>
  <c r="T411" i="2"/>
  <c r="R411" i="2" s="1"/>
  <c r="S417" i="2"/>
  <c r="P417" i="2"/>
  <c r="N417" i="2"/>
  <c r="N405" i="2"/>
  <c r="S405" i="2"/>
  <c r="P405" i="2"/>
  <c r="T443" i="2"/>
  <c r="R443" i="2"/>
  <c r="T377" i="2"/>
  <c r="R377" i="2"/>
  <c r="S404" i="2"/>
  <c r="S358" i="2"/>
  <c r="P358" i="2"/>
  <c r="N358" i="2"/>
  <c r="R338" i="2"/>
  <c r="W338" i="2"/>
  <c r="T338" i="2"/>
  <c r="X280" i="2"/>
  <c r="V280" i="2"/>
  <c r="B280" i="2"/>
  <c r="F280" i="2"/>
  <c r="E280" i="2" s="1"/>
  <c r="AJ280" i="2"/>
  <c r="C280" i="2"/>
  <c r="A280" i="2"/>
  <c r="S248" i="2"/>
  <c r="W264" i="2"/>
  <c r="T264" i="2"/>
  <c r="R264" i="2"/>
  <c r="E269" i="2"/>
  <c r="B269" i="2" s="1"/>
  <c r="Z275" i="2"/>
  <c r="D275" i="2" s="1"/>
  <c r="P201" i="2"/>
  <c r="N201" i="2"/>
  <c r="S257" i="2"/>
  <c r="P257" i="2"/>
  <c r="N257" i="2"/>
  <c r="S207" i="2"/>
  <c r="P207" i="2"/>
  <c r="N207" i="2"/>
  <c r="AJ189" i="2"/>
  <c r="F189" i="2"/>
  <c r="E189" i="2" s="1"/>
  <c r="X189" i="2"/>
  <c r="A189" i="2"/>
  <c r="V189" i="2"/>
  <c r="C189" i="2"/>
  <c r="B189" i="2"/>
  <c r="S243" i="2"/>
  <c r="P243" i="2"/>
  <c r="N243" i="2"/>
  <c r="W161" i="2"/>
  <c r="A198" i="2"/>
  <c r="AJ198" i="2"/>
  <c r="F198" i="2"/>
  <c r="X198" i="2"/>
  <c r="V198" i="2"/>
  <c r="E205" i="2"/>
  <c r="B205" i="2" s="1"/>
  <c r="W132" i="2"/>
  <c r="W129" i="2"/>
  <c r="P124" i="2"/>
  <c r="N124" i="2" s="1"/>
  <c r="S124" i="2"/>
  <c r="T73" i="2"/>
  <c r="R73" i="2"/>
  <c r="N90" i="2"/>
  <c r="S90" i="2"/>
  <c r="P90" i="2"/>
  <c r="X87" i="2"/>
  <c r="V87" i="2"/>
  <c r="F87" i="2"/>
  <c r="AJ87" i="2"/>
  <c r="C87" i="2"/>
  <c r="B87" i="2"/>
  <c r="A87" i="2"/>
  <c r="P59" i="2"/>
  <c r="N59" i="2"/>
  <c r="S166" i="2"/>
  <c r="P166" i="2"/>
  <c r="N166" i="2"/>
  <c r="P148" i="2"/>
  <c r="N148" i="2" s="1"/>
  <c r="X67" i="2"/>
  <c r="V67" i="2"/>
  <c r="F67" i="2"/>
  <c r="E67" i="2" s="1"/>
  <c r="AJ67" i="2"/>
  <c r="A67" i="2"/>
  <c r="B67" i="2"/>
  <c r="X60" i="2"/>
  <c r="V60" i="2"/>
  <c r="F60" i="2"/>
  <c r="AJ60" i="2"/>
  <c r="A60" i="2"/>
  <c r="X42" i="2"/>
  <c r="V42" i="2"/>
  <c r="F42" i="2"/>
  <c r="AJ42" i="2"/>
  <c r="A42" i="2"/>
  <c r="E29" i="2"/>
  <c r="B29" i="2" s="1"/>
  <c r="P28" i="2"/>
  <c r="N28" i="2" s="1"/>
  <c r="S28" i="2"/>
  <c r="P17" i="2"/>
  <c r="N17" i="2"/>
  <c r="S31" i="2"/>
  <c r="N31" i="2"/>
  <c r="P31" i="2"/>
  <c r="T41" i="2"/>
  <c r="R41" i="2"/>
  <c r="S273" i="2"/>
  <c r="P273" i="2"/>
  <c r="N273" i="2" s="1"/>
  <c r="S153" i="2"/>
  <c r="P153" i="2"/>
  <c r="N153" i="2" s="1"/>
  <c r="X109" i="2"/>
  <c r="V109" i="2"/>
  <c r="F109" i="2"/>
  <c r="E109" i="2" s="1"/>
  <c r="AJ109" i="2"/>
  <c r="B109" i="2"/>
  <c r="A109" i="2"/>
  <c r="S11" i="2"/>
  <c r="P11" i="2"/>
  <c r="N11" i="2"/>
  <c r="P484" i="2"/>
  <c r="N484" i="2"/>
  <c r="S484" i="2"/>
  <c r="T419" i="2"/>
  <c r="R419" i="2" s="1"/>
  <c r="N469" i="2"/>
  <c r="S469" i="2"/>
  <c r="P469" i="2"/>
  <c r="P446" i="2"/>
  <c r="N446" i="2" s="1"/>
  <c r="P468" i="2"/>
  <c r="N468" i="2"/>
  <c r="S468" i="2"/>
  <c r="X485" i="2"/>
  <c r="V485" i="2"/>
  <c r="F485" i="2"/>
  <c r="AJ485" i="2"/>
  <c r="A485" i="2"/>
  <c r="S449" i="2"/>
  <c r="N449" i="2"/>
  <c r="P449" i="2"/>
  <c r="P389" i="2"/>
  <c r="N389" i="2"/>
  <c r="A409" i="2"/>
  <c r="F409" i="2"/>
  <c r="E409" i="2" s="1"/>
  <c r="B409" i="2" s="1"/>
  <c r="X409" i="2"/>
  <c r="V409" i="2"/>
  <c r="AJ409" i="2"/>
  <c r="T408" i="2"/>
  <c r="R408" i="2"/>
  <c r="R400" i="2"/>
  <c r="W400" i="2"/>
  <c r="T400" i="2"/>
  <c r="P367" i="2"/>
  <c r="S367" i="2"/>
  <c r="N367" i="2"/>
  <c r="T293" i="2"/>
  <c r="R293" i="2"/>
  <c r="P317" i="2"/>
  <c r="N317" i="2"/>
  <c r="S301" i="2"/>
  <c r="S315" i="2"/>
  <c r="P315" i="2"/>
  <c r="N315" i="2"/>
  <c r="W346" i="2"/>
  <c r="X272" i="2"/>
  <c r="V272" i="2"/>
  <c r="F272" i="2"/>
  <c r="AJ272" i="2"/>
  <c r="A272" i="2"/>
  <c r="S304" i="2"/>
  <c r="P304" i="2"/>
  <c r="N304" i="2"/>
  <c r="S283" i="2"/>
  <c r="P283" i="2"/>
  <c r="N283" i="2" s="1"/>
  <c r="T295" i="2"/>
  <c r="R295" i="2"/>
  <c r="Z256" i="2"/>
  <c r="D256" i="2" s="1"/>
  <c r="P314" i="2"/>
  <c r="N314" i="2"/>
  <c r="T255" i="2"/>
  <c r="R255" i="2"/>
  <c r="W261" i="2"/>
  <c r="T261" i="2"/>
  <c r="R261" i="2"/>
  <c r="S202" i="2"/>
  <c r="P202" i="2"/>
  <c r="N202" i="2"/>
  <c r="W217" i="2"/>
  <c r="T177" i="2"/>
  <c r="R177" i="2" s="1"/>
  <c r="S196" i="2"/>
  <c r="P196" i="2"/>
  <c r="N196" i="2"/>
  <c r="S162" i="2"/>
  <c r="P162" i="2"/>
  <c r="N162" i="2" s="1"/>
  <c r="W187" i="2"/>
  <c r="T187" i="2"/>
  <c r="R187" i="2" s="1"/>
  <c r="X170" i="2"/>
  <c r="V170" i="2"/>
  <c r="F170" i="2"/>
  <c r="AJ170" i="2"/>
  <c r="A170" i="2"/>
  <c r="W164" i="2"/>
  <c r="T164" i="2"/>
  <c r="R164" i="2" s="1"/>
  <c r="W120" i="2"/>
  <c r="P125" i="2"/>
  <c r="N125" i="2" s="1"/>
  <c r="S133" i="2"/>
  <c r="P133" i="2"/>
  <c r="N133" i="2"/>
  <c r="S151" i="2"/>
  <c r="P96" i="2"/>
  <c r="N96" i="2"/>
  <c r="S72" i="2"/>
  <c r="P72" i="2"/>
  <c r="N72" i="2"/>
  <c r="W55" i="2"/>
  <c r="E70" i="2"/>
  <c r="B70" i="2" s="1"/>
  <c r="A40" i="2"/>
  <c r="X40" i="2"/>
  <c r="AJ40" i="2"/>
  <c r="C40" i="2"/>
  <c r="V40" i="2"/>
  <c r="B40" i="2"/>
  <c r="F40" i="2"/>
  <c r="R17" i="2"/>
  <c r="T17" i="2"/>
  <c r="X144" i="2"/>
  <c r="V144" i="2"/>
  <c r="F144" i="2"/>
  <c r="E144" i="2" s="1"/>
  <c r="AJ144" i="2"/>
  <c r="C144" i="2"/>
  <c r="B144" i="2"/>
  <c r="A144" i="2"/>
  <c r="P24" i="2"/>
  <c r="N24" i="2"/>
  <c r="I68" i="2"/>
  <c r="J68" i="2" s="1"/>
  <c r="H68" i="2"/>
  <c r="P113" i="2"/>
  <c r="N113" i="2"/>
  <c r="W9" i="2"/>
  <c r="T298" i="2"/>
  <c r="R298" i="2" s="1"/>
  <c r="T235" i="2"/>
  <c r="R235" i="2"/>
  <c r="S191" i="2"/>
  <c r="P191" i="2"/>
  <c r="N191" i="2"/>
  <c r="X66" i="2"/>
  <c r="V66" i="2"/>
  <c r="F66" i="2"/>
  <c r="E66" i="2" s="1"/>
  <c r="B66" i="2" s="1"/>
  <c r="AJ66" i="2"/>
  <c r="A66" i="2"/>
  <c r="T466" i="2"/>
  <c r="R466" i="2"/>
  <c r="T475" i="2"/>
  <c r="R475" i="2" s="1"/>
  <c r="W455" i="2"/>
  <c r="T455" i="2"/>
  <c r="R455" i="2"/>
  <c r="W401" i="2"/>
  <c r="T401" i="2"/>
  <c r="R401" i="2" s="1"/>
  <c r="W369" i="2"/>
  <c r="T369" i="2"/>
  <c r="R369" i="2" s="1"/>
  <c r="T347" i="2"/>
  <c r="R347" i="2"/>
  <c r="A295" i="2"/>
  <c r="X295" i="2"/>
  <c r="F295" i="2"/>
  <c r="V295" i="2"/>
  <c r="AJ295" i="2"/>
  <c r="N254" i="2"/>
  <c r="S254" i="2"/>
  <c r="P254" i="2"/>
  <c r="V310" i="2"/>
  <c r="F310" i="2"/>
  <c r="AJ310" i="2"/>
  <c r="A310" i="2"/>
  <c r="X310" i="2"/>
  <c r="T256" i="2"/>
  <c r="W256" i="2"/>
  <c r="R256" i="2"/>
  <c r="P203" i="2"/>
  <c r="N203" i="2"/>
  <c r="W216" i="2"/>
  <c r="T158" i="2"/>
  <c r="R158" i="2"/>
  <c r="AJ186" i="2"/>
  <c r="X186" i="2"/>
  <c r="V186" i="2"/>
  <c r="F186" i="2"/>
  <c r="E186" i="2" s="1"/>
  <c r="B186" i="2" s="1"/>
  <c r="A186" i="2"/>
  <c r="P231" i="2"/>
  <c r="N231" i="2" s="1"/>
  <c r="S231" i="2"/>
  <c r="X181" i="2"/>
  <c r="V181" i="2"/>
  <c r="F181" i="2"/>
  <c r="E181" i="2" s="1"/>
  <c r="AJ181" i="2"/>
  <c r="B181" i="2"/>
  <c r="A181" i="2"/>
  <c r="X131" i="2"/>
  <c r="V131" i="2"/>
  <c r="F131" i="2"/>
  <c r="E131" i="2" s="1"/>
  <c r="B131" i="2" s="1"/>
  <c r="A131" i="2"/>
  <c r="AJ131" i="2"/>
  <c r="T86" i="2"/>
  <c r="R86" i="2"/>
  <c r="T36" i="2"/>
  <c r="W36" i="2"/>
  <c r="R36" i="2"/>
  <c r="P45" i="2"/>
  <c r="N45" i="2"/>
  <c r="S45" i="2"/>
  <c r="AJ23" i="2"/>
  <c r="A23" i="2"/>
  <c r="V23" i="2"/>
  <c r="F23" i="2"/>
  <c r="X23" i="2"/>
  <c r="R59" i="2"/>
  <c r="T59" i="2"/>
  <c r="V17" i="2"/>
  <c r="F17" i="2"/>
  <c r="AJ17" i="2"/>
  <c r="A17" i="2"/>
  <c r="X17" i="2"/>
  <c r="T8" i="2"/>
  <c r="R8" i="2" s="1"/>
  <c r="T402" i="2"/>
  <c r="R402" i="2" s="1"/>
  <c r="P356" i="2"/>
  <c r="N356" i="2"/>
  <c r="R333" i="2"/>
  <c r="T333" i="2"/>
  <c r="S465" i="2"/>
  <c r="N465" i="2"/>
  <c r="P465" i="2"/>
  <c r="P440" i="2"/>
  <c r="N440" i="2"/>
  <c r="S440" i="2"/>
  <c r="T422" i="2"/>
  <c r="R422" i="2"/>
  <c r="T395" i="2"/>
  <c r="R395" i="2"/>
  <c r="X371" i="2"/>
  <c r="V371" i="2"/>
  <c r="F371" i="2"/>
  <c r="A371" i="2"/>
  <c r="AJ371" i="2"/>
  <c r="S331" i="2"/>
  <c r="R354" i="2"/>
  <c r="W354" i="2"/>
  <c r="T354" i="2"/>
  <c r="W361" i="2"/>
  <c r="E365" i="2"/>
  <c r="B365" i="2" s="1"/>
  <c r="X312" i="2"/>
  <c r="AJ312" i="2"/>
  <c r="F312" i="2"/>
  <c r="A312" i="2"/>
  <c r="V312" i="2"/>
  <c r="S320" i="2"/>
  <c r="P320" i="2"/>
  <c r="N320" i="2"/>
  <c r="T311" i="2"/>
  <c r="R311" i="2" s="1"/>
  <c r="P325" i="2"/>
  <c r="N325" i="2"/>
  <c r="S341" i="2"/>
  <c r="P309" i="2"/>
  <c r="N309" i="2"/>
  <c r="S285" i="2"/>
  <c r="X286" i="2"/>
  <c r="V286" i="2"/>
  <c r="F286" i="2"/>
  <c r="AJ286" i="2"/>
  <c r="A286" i="2"/>
  <c r="P258" i="2"/>
  <c r="N258" i="2"/>
  <c r="S258" i="2"/>
  <c r="W294" i="2"/>
  <c r="P294" i="2"/>
  <c r="N294" i="2"/>
  <c r="S253" i="2"/>
  <c r="P253" i="2"/>
  <c r="N253" i="2"/>
  <c r="T266" i="2"/>
  <c r="W266" i="2"/>
  <c r="R266" i="2"/>
  <c r="W235" i="2"/>
  <c r="S238" i="2"/>
  <c r="P268" i="2"/>
  <c r="N268" i="2"/>
  <c r="S201" i="2"/>
  <c r="W200" i="2"/>
  <c r="R200" i="2"/>
  <c r="T200" i="2"/>
  <c r="T176" i="2"/>
  <c r="R176" i="2"/>
  <c r="W188" i="2"/>
  <c r="S203" i="2"/>
  <c r="P158" i="2"/>
  <c r="N158" i="2" s="1"/>
  <c r="W176" i="2"/>
  <c r="AJ184" i="2"/>
  <c r="A184" i="2"/>
  <c r="X184" i="2"/>
  <c r="F184" i="2"/>
  <c r="E184" i="2" s="1"/>
  <c r="B184" i="2" s="1"/>
  <c r="V184" i="2"/>
  <c r="B130" i="2"/>
  <c r="V130" i="2"/>
  <c r="AJ130" i="2"/>
  <c r="F130" i="2"/>
  <c r="E130" i="2" s="1"/>
  <c r="X130" i="2"/>
  <c r="C130" i="2"/>
  <c r="A130" i="2"/>
  <c r="S118" i="2"/>
  <c r="P118" i="2"/>
  <c r="N118" i="2"/>
  <c r="T147" i="2"/>
  <c r="R147" i="2"/>
  <c r="W83" i="2"/>
  <c r="S88" i="2"/>
  <c r="P88" i="2"/>
  <c r="N88" i="2"/>
  <c r="T24" i="2"/>
  <c r="R24" i="2" s="1"/>
  <c r="S99" i="2"/>
  <c r="P99" i="2"/>
  <c r="N99" i="2"/>
  <c r="W19" i="2"/>
  <c r="T19" i="2"/>
  <c r="R19" i="2"/>
  <c r="T49" i="2"/>
  <c r="R49" i="2"/>
  <c r="W49" i="2"/>
  <c r="S4" i="2"/>
  <c r="P4" i="2"/>
  <c r="N4" i="2"/>
  <c r="S13" i="2"/>
  <c r="E250" i="2"/>
  <c r="B250" i="2" s="1"/>
  <c r="X136" i="2"/>
  <c r="V136" i="2"/>
  <c r="F136" i="2"/>
  <c r="A136" i="2"/>
  <c r="AJ136" i="2"/>
  <c r="T157" i="2"/>
  <c r="R157" i="2"/>
  <c r="R85" i="2"/>
  <c r="W85" i="2"/>
  <c r="T85" i="2"/>
  <c r="T63" i="2"/>
  <c r="R63" i="2" s="1"/>
  <c r="W63" i="2"/>
  <c r="V57" i="2"/>
  <c r="F57" i="2"/>
  <c r="AJ57" i="2"/>
  <c r="A57" i="2"/>
  <c r="X57" i="2"/>
  <c r="X448" i="2"/>
  <c r="V448" i="2"/>
  <c r="F448" i="2"/>
  <c r="A448" i="2"/>
  <c r="AJ448" i="2"/>
  <c r="X470" i="2"/>
  <c r="V470" i="2"/>
  <c r="F470" i="2"/>
  <c r="AJ470" i="2"/>
  <c r="A470" i="2"/>
  <c r="S483" i="2"/>
  <c r="P483" i="2"/>
  <c r="N483" i="2"/>
  <c r="AJ419" i="2"/>
  <c r="A419" i="2"/>
  <c r="X419" i="2"/>
  <c r="V419" i="2"/>
  <c r="F419" i="2"/>
  <c r="T423" i="2"/>
  <c r="R423" i="2"/>
  <c r="P479" i="2"/>
  <c r="N479" i="2"/>
  <c r="S487" i="2"/>
  <c r="P487" i="2"/>
  <c r="N487" i="2"/>
  <c r="W439" i="2"/>
  <c r="T439" i="2"/>
  <c r="R439" i="2"/>
  <c r="W436" i="2"/>
  <c r="P435" i="2"/>
  <c r="N435" i="2" s="1"/>
  <c r="P375" i="2"/>
  <c r="N375" i="2"/>
  <c r="W382" i="2"/>
  <c r="T394" i="2"/>
  <c r="R394" i="2" s="1"/>
  <c r="W394" i="2"/>
  <c r="W395" i="2"/>
  <c r="P364" i="2"/>
  <c r="N364" i="2" s="1"/>
  <c r="A360" i="2"/>
  <c r="X360" i="2"/>
  <c r="V360" i="2"/>
  <c r="F360" i="2"/>
  <c r="AJ360" i="2"/>
  <c r="S357" i="2"/>
  <c r="P357" i="2"/>
  <c r="N357" i="2"/>
  <c r="W324" i="2"/>
  <c r="T324" i="2"/>
  <c r="R324" i="2"/>
  <c r="T310" i="2"/>
  <c r="R310" i="2"/>
  <c r="P306" i="2"/>
  <c r="N306" i="2"/>
  <c r="S260" i="2"/>
  <c r="P260" i="2"/>
  <c r="N260" i="2" s="1"/>
  <c r="T262" i="2"/>
  <c r="R262" i="2"/>
  <c r="P232" i="2"/>
  <c r="N232" i="2"/>
  <c r="W251" i="2"/>
  <c r="T251" i="2"/>
  <c r="R251" i="2"/>
  <c r="T220" i="2"/>
  <c r="R220" i="2"/>
  <c r="P209" i="2"/>
  <c r="N209" i="2"/>
  <c r="T222" i="2"/>
  <c r="R222" i="2"/>
  <c r="W222" i="2"/>
  <c r="W199" i="2"/>
  <c r="T199" i="2"/>
  <c r="R199" i="2" s="1"/>
  <c r="S268" i="2"/>
  <c r="W209" i="2"/>
  <c r="T173" i="2"/>
  <c r="R173" i="2"/>
  <c r="W173" i="2"/>
  <c r="X169" i="2"/>
  <c r="V169" i="2"/>
  <c r="F169" i="2"/>
  <c r="E169" i="2" s="1"/>
  <c r="B169" i="2" s="1"/>
  <c r="AJ169" i="2"/>
  <c r="A169" i="2"/>
  <c r="X165" i="2"/>
  <c r="V165" i="2"/>
  <c r="F165" i="2"/>
  <c r="AJ165" i="2"/>
  <c r="A165" i="2"/>
  <c r="S127" i="2"/>
  <c r="R168" i="2"/>
  <c r="W168" i="2"/>
  <c r="T168" i="2"/>
  <c r="S100" i="2"/>
  <c r="S107" i="2"/>
  <c r="S111" i="2"/>
  <c r="P111" i="2"/>
  <c r="N111" i="2"/>
  <c r="S122" i="2"/>
  <c r="P122" i="2"/>
  <c r="N122" i="2" s="1"/>
  <c r="E80" i="2"/>
  <c r="B80" i="2" s="1"/>
  <c r="T87" i="2"/>
  <c r="R87" i="2"/>
  <c r="S110" i="2"/>
  <c r="P110" i="2"/>
  <c r="N110" i="2" s="1"/>
  <c r="P83" i="2"/>
  <c r="N83" i="2"/>
  <c r="X93" i="2"/>
  <c r="V93" i="2"/>
  <c r="F93" i="2"/>
  <c r="E93" i="2" s="1"/>
  <c r="B93" i="2"/>
  <c r="A93" i="2"/>
  <c r="AJ93" i="2"/>
  <c r="C93" i="2"/>
  <c r="T40" i="2"/>
  <c r="R40" i="2"/>
  <c r="S44" i="2"/>
  <c r="P44" i="2"/>
  <c r="N44" i="2"/>
  <c r="T22" i="2"/>
  <c r="R22" i="2"/>
  <c r="W25" i="2"/>
  <c r="V112" i="2"/>
  <c r="F112" i="2"/>
  <c r="E112" i="2" s="1"/>
  <c r="B112" i="2" s="1"/>
  <c r="AJ112" i="2"/>
  <c r="A112" i="2"/>
  <c r="X112" i="2"/>
  <c r="A103" i="2"/>
  <c r="X103" i="2"/>
  <c r="F103" i="2"/>
  <c r="V103" i="2"/>
  <c r="AJ103" i="2"/>
  <c r="P15" i="2"/>
  <c r="S15" i="2"/>
  <c r="N15" i="2"/>
  <c r="G2" i="2"/>
  <c r="O2" i="2"/>
  <c r="N2" i="2" s="1"/>
  <c r="AC2" i="2"/>
  <c r="AB2" i="2" s="1"/>
  <c r="AA2" i="2"/>
  <c r="AD2" i="2"/>
  <c r="AF2" i="2"/>
  <c r="AG2" i="2" s="1"/>
  <c r="T254" i="2" l="1"/>
  <c r="R254" i="2"/>
  <c r="W254" i="2"/>
  <c r="X396" i="2"/>
  <c r="V396" i="2"/>
  <c r="F396" i="2"/>
  <c r="E396" i="2" s="1"/>
  <c r="AJ396" i="2"/>
  <c r="C396" i="2"/>
  <c r="B396" i="2"/>
  <c r="A396" i="2"/>
  <c r="T44" i="2"/>
  <c r="R44" i="2"/>
  <c r="W44" i="2"/>
  <c r="E286" i="2"/>
  <c r="B286" i="2" s="1"/>
  <c r="E485" i="2"/>
  <c r="B485" i="2" s="1"/>
  <c r="R257" i="2"/>
  <c r="T257" i="2"/>
  <c r="W257" i="2"/>
  <c r="I474" i="2"/>
  <c r="J474" i="2" s="1"/>
  <c r="C474" i="2" s="1"/>
  <c r="H474" i="2"/>
  <c r="T226" i="2"/>
  <c r="R226" i="2"/>
  <c r="W226" i="2"/>
  <c r="I262" i="2"/>
  <c r="H262" i="2"/>
  <c r="J262" i="2" s="1"/>
  <c r="C262" i="2" s="1"/>
  <c r="T472" i="2"/>
  <c r="R472" i="2"/>
  <c r="W472" i="2"/>
  <c r="I54" i="2"/>
  <c r="H54" i="2"/>
  <c r="J54" i="2" s="1"/>
  <c r="C54" i="2" s="1"/>
  <c r="E165" i="2"/>
  <c r="B165" i="2" s="1"/>
  <c r="E360" i="2"/>
  <c r="B360" i="2" s="1"/>
  <c r="H419" i="2"/>
  <c r="J419" i="2" s="1"/>
  <c r="C419" i="2" s="1"/>
  <c r="I419" i="2"/>
  <c r="T118" i="2"/>
  <c r="R118" i="2"/>
  <c r="W118" i="2"/>
  <c r="I312" i="2"/>
  <c r="J312" i="2" s="1"/>
  <c r="C312" i="2" s="1"/>
  <c r="H312" i="2"/>
  <c r="X55" i="2"/>
  <c r="AJ55" i="2"/>
  <c r="A55" i="2"/>
  <c r="V55" i="2"/>
  <c r="F55" i="2"/>
  <c r="E55" i="2" s="1"/>
  <c r="B55" i="2"/>
  <c r="W315" i="2"/>
  <c r="T315" i="2"/>
  <c r="R315" i="2" s="1"/>
  <c r="T11" i="2"/>
  <c r="W11" i="2"/>
  <c r="R11" i="2"/>
  <c r="E462" i="2"/>
  <c r="B462" i="2" s="1"/>
  <c r="E234" i="2"/>
  <c r="B234" i="2" s="1"/>
  <c r="T101" i="2"/>
  <c r="R101" i="2"/>
  <c r="W101" i="2"/>
  <c r="A223" i="2"/>
  <c r="AJ223" i="2"/>
  <c r="X223" i="2"/>
  <c r="V223" i="2"/>
  <c r="F223" i="2"/>
  <c r="W376" i="2"/>
  <c r="T376" i="2"/>
  <c r="R376" i="2"/>
  <c r="H372" i="2"/>
  <c r="I372" i="2"/>
  <c r="J372" i="2" s="1"/>
  <c r="C372" i="2" s="1"/>
  <c r="X318" i="2"/>
  <c r="V318" i="2"/>
  <c r="F318" i="2"/>
  <c r="E318" i="2" s="1"/>
  <c r="AJ318" i="2"/>
  <c r="B318" i="2"/>
  <c r="A318" i="2"/>
  <c r="V456" i="2"/>
  <c r="F456" i="2"/>
  <c r="E456" i="2" s="1"/>
  <c r="B456" i="2" s="1"/>
  <c r="AJ456" i="2"/>
  <c r="A456" i="2"/>
  <c r="X456" i="2"/>
  <c r="E262" i="2"/>
  <c r="B262" i="2" s="1"/>
  <c r="E54" i="2"/>
  <c r="B54" i="2" s="1"/>
  <c r="T219" i="2"/>
  <c r="R219" i="2"/>
  <c r="W219" i="2"/>
  <c r="X210" i="2"/>
  <c r="V210" i="2"/>
  <c r="F210" i="2"/>
  <c r="E210" i="2" s="1"/>
  <c r="AJ210" i="2"/>
  <c r="B210" i="2"/>
  <c r="A210" i="2"/>
  <c r="E292" i="2"/>
  <c r="B292" i="2" s="1"/>
  <c r="X94" i="2"/>
  <c r="V94" i="2"/>
  <c r="AJ94" i="2"/>
  <c r="F94" i="2"/>
  <c r="E94" i="2" s="1"/>
  <c r="B94" i="2" s="1"/>
  <c r="A94" i="2"/>
  <c r="E311" i="2"/>
  <c r="B311" i="2" s="1"/>
  <c r="I300" i="2"/>
  <c r="H300" i="2"/>
  <c r="J300" i="2" s="1"/>
  <c r="C300" i="2" s="1"/>
  <c r="AJ98" i="2"/>
  <c r="F98" i="2"/>
  <c r="A98" i="2"/>
  <c r="X98" i="2"/>
  <c r="V98" i="2" s="1"/>
  <c r="X81" i="2"/>
  <c r="V81" i="2"/>
  <c r="F81" i="2"/>
  <c r="E81" i="2" s="1"/>
  <c r="B81" i="2" s="1"/>
  <c r="AJ81" i="2"/>
  <c r="A81" i="2"/>
  <c r="X246" i="2"/>
  <c r="V246" i="2" s="1"/>
  <c r="F246" i="2"/>
  <c r="AJ246" i="2"/>
  <c r="A246" i="2"/>
  <c r="I255" i="2"/>
  <c r="H255" i="2"/>
  <c r="J255" i="2" s="1"/>
  <c r="W247" i="2"/>
  <c r="T247" i="2"/>
  <c r="R247" i="2"/>
  <c r="T212" i="2"/>
  <c r="R212" i="2"/>
  <c r="W212" i="2"/>
  <c r="T332" i="2"/>
  <c r="R332" i="2"/>
  <c r="W332" i="2"/>
  <c r="H8" i="2"/>
  <c r="J8" i="2" s="1"/>
  <c r="C8" i="2" s="1"/>
  <c r="I8" i="2"/>
  <c r="E282" i="2"/>
  <c r="B282" i="2" s="1"/>
  <c r="X335" i="2"/>
  <c r="V335" i="2"/>
  <c r="F335" i="2"/>
  <c r="E335" i="2" s="1"/>
  <c r="B335" i="2" s="1"/>
  <c r="AJ335" i="2"/>
  <c r="A335" i="2"/>
  <c r="I402" i="2"/>
  <c r="H402" i="2"/>
  <c r="J402" i="2" s="1"/>
  <c r="C402" i="2" s="1"/>
  <c r="I281" i="2"/>
  <c r="H281" i="2"/>
  <c r="J281" i="2" s="1"/>
  <c r="AJ364" i="2"/>
  <c r="A364" i="2"/>
  <c r="F364" i="2"/>
  <c r="X364" i="2"/>
  <c r="V364" i="2"/>
  <c r="E298" i="2"/>
  <c r="B298" i="2" s="1"/>
  <c r="I157" i="2"/>
  <c r="H157" i="2"/>
  <c r="J157" i="2" s="1"/>
  <c r="C157" i="2" s="1"/>
  <c r="T386" i="2"/>
  <c r="R386" i="2"/>
  <c r="W386" i="2"/>
  <c r="E158" i="2"/>
  <c r="B158" i="2" s="1"/>
  <c r="E466" i="2"/>
  <c r="B466" i="2" s="1"/>
  <c r="T352" i="2"/>
  <c r="R352" i="2"/>
  <c r="W352" i="2"/>
  <c r="T197" i="2"/>
  <c r="R197" i="2"/>
  <c r="W197" i="2"/>
  <c r="W64" i="2"/>
  <c r="T64" i="2"/>
  <c r="R64" i="2"/>
  <c r="X375" i="2"/>
  <c r="V375" i="2"/>
  <c r="F375" i="2"/>
  <c r="AJ375" i="2"/>
  <c r="A375" i="2"/>
  <c r="AJ222" i="2"/>
  <c r="A222" i="2"/>
  <c r="F222" i="2"/>
  <c r="X222" i="2"/>
  <c r="V222" i="2"/>
  <c r="I179" i="2"/>
  <c r="H179" i="2"/>
  <c r="J179" i="2" s="1"/>
  <c r="C179" i="2" s="1"/>
  <c r="V415" i="2"/>
  <c r="F415" i="2"/>
  <c r="AJ415" i="2"/>
  <c r="C415" i="2"/>
  <c r="B415" i="2"/>
  <c r="X415" i="2"/>
  <c r="A415" i="2"/>
  <c r="A420" i="2"/>
  <c r="X420" i="2"/>
  <c r="AJ420" i="2"/>
  <c r="V420" i="2"/>
  <c r="F420" i="2"/>
  <c r="E420" i="2" s="1"/>
  <c r="B420" i="2"/>
  <c r="I409" i="2"/>
  <c r="H409" i="2"/>
  <c r="J409" i="2" s="1"/>
  <c r="C409" i="2" s="1"/>
  <c r="W417" i="2"/>
  <c r="T417" i="2"/>
  <c r="R417" i="2" s="1"/>
  <c r="I21" i="2"/>
  <c r="J21" i="2" s="1"/>
  <c r="H21" i="2"/>
  <c r="X199" i="2"/>
  <c r="A199" i="2"/>
  <c r="V199" i="2"/>
  <c r="AJ199" i="2"/>
  <c r="F199" i="2"/>
  <c r="I136" i="2"/>
  <c r="J136" i="2" s="1"/>
  <c r="C136" i="2" s="1"/>
  <c r="H136" i="2"/>
  <c r="W285" i="2"/>
  <c r="T285" i="2"/>
  <c r="R285" i="2" s="1"/>
  <c r="I23" i="2"/>
  <c r="H23" i="2"/>
  <c r="J23" i="2" s="1"/>
  <c r="C23" i="2" s="1"/>
  <c r="I186" i="2"/>
  <c r="H186" i="2"/>
  <c r="J186" i="2" s="1"/>
  <c r="C186" i="2" s="1"/>
  <c r="W301" i="2"/>
  <c r="T301" i="2"/>
  <c r="R301" i="2"/>
  <c r="R468" i="2"/>
  <c r="T468" i="2"/>
  <c r="W468" i="2"/>
  <c r="T243" i="2"/>
  <c r="R243" i="2"/>
  <c r="W243" i="2"/>
  <c r="B102" i="2"/>
  <c r="A102" i="2"/>
  <c r="X102" i="2"/>
  <c r="C102" i="2"/>
  <c r="V102" i="2"/>
  <c r="AJ102" i="2"/>
  <c r="F102" i="2"/>
  <c r="E102" i="2" s="1"/>
  <c r="E372" i="2"/>
  <c r="B372" i="2" s="1"/>
  <c r="E478" i="2"/>
  <c r="B478" i="2" s="1"/>
  <c r="W30" i="2"/>
  <c r="T30" i="2"/>
  <c r="R30" i="2"/>
  <c r="X195" i="2"/>
  <c r="V195" i="2"/>
  <c r="F195" i="2"/>
  <c r="E195" i="2" s="1"/>
  <c r="AJ195" i="2"/>
  <c r="B195" i="2"/>
  <c r="A195" i="2"/>
  <c r="T263" i="2"/>
  <c r="R263" i="2"/>
  <c r="W263" i="2"/>
  <c r="W453" i="2"/>
  <c r="T453" i="2"/>
  <c r="R453" i="2" s="1"/>
  <c r="AJ79" i="2"/>
  <c r="C79" i="2"/>
  <c r="B79" i="2"/>
  <c r="A79" i="2"/>
  <c r="V79" i="2"/>
  <c r="F79" i="2"/>
  <c r="E79" i="2" s="1"/>
  <c r="X79" i="2"/>
  <c r="V33" i="2"/>
  <c r="F33" i="2"/>
  <c r="E33" i="2" s="1"/>
  <c r="B33" i="2" s="1"/>
  <c r="AJ33" i="2"/>
  <c r="A33" i="2"/>
  <c r="X33" i="2"/>
  <c r="I47" i="2"/>
  <c r="H47" i="2"/>
  <c r="J47" i="2" s="1"/>
  <c r="C47" i="2" s="1"/>
  <c r="I275" i="2"/>
  <c r="H275" i="2"/>
  <c r="J275" i="2" s="1"/>
  <c r="C275" i="2" s="1"/>
  <c r="AJ279" i="2"/>
  <c r="A279" i="2"/>
  <c r="X279" i="2"/>
  <c r="V279" i="2"/>
  <c r="F279" i="2"/>
  <c r="E279" i="2" s="1"/>
  <c r="B279" i="2" s="1"/>
  <c r="R75" i="2"/>
  <c r="T75" i="2"/>
  <c r="W75" i="2"/>
  <c r="E300" i="2"/>
  <c r="B300" i="2" s="1"/>
  <c r="E343" i="2"/>
  <c r="B343" i="2" s="1"/>
  <c r="E147" i="2"/>
  <c r="X319" i="2"/>
  <c r="V319" i="2"/>
  <c r="F319" i="2"/>
  <c r="E319" i="2" s="1"/>
  <c r="AJ319" i="2"/>
  <c r="C319" i="2"/>
  <c r="B319" i="2"/>
  <c r="A319" i="2"/>
  <c r="I180" i="2"/>
  <c r="H180" i="2"/>
  <c r="J180" i="2" s="1"/>
  <c r="C180" i="2" s="1"/>
  <c r="W299" i="2"/>
  <c r="T299" i="2"/>
  <c r="R299" i="2" s="1"/>
  <c r="W426" i="2"/>
  <c r="R426" i="2"/>
  <c r="T426" i="2"/>
  <c r="I473" i="2"/>
  <c r="J473" i="2" s="1"/>
  <c r="C473" i="2" s="1"/>
  <c r="H473" i="2"/>
  <c r="E281" i="2"/>
  <c r="E157" i="2"/>
  <c r="B157" i="2" s="1"/>
  <c r="H293" i="2"/>
  <c r="I293" i="2"/>
  <c r="J293" i="2" s="1"/>
  <c r="C293" i="2" s="1"/>
  <c r="T271" i="2"/>
  <c r="R271" i="2"/>
  <c r="W271" i="2"/>
  <c r="T383" i="2"/>
  <c r="R383" i="2"/>
  <c r="W383" i="2"/>
  <c r="I152" i="2"/>
  <c r="J152" i="2" s="1"/>
  <c r="C152" i="2" s="1"/>
  <c r="H152" i="2"/>
  <c r="I158" i="2"/>
  <c r="H158" i="2"/>
  <c r="J158" i="2" s="1"/>
  <c r="C158" i="2" s="1"/>
  <c r="T191" i="2"/>
  <c r="R191" i="2"/>
  <c r="W191" i="2"/>
  <c r="T237" i="2"/>
  <c r="R237" i="2" s="1"/>
  <c r="W237" i="2"/>
  <c r="E306" i="2"/>
  <c r="B306" i="2" s="1"/>
  <c r="X464" i="2"/>
  <c r="V464" i="2"/>
  <c r="F464" i="2"/>
  <c r="B464" i="2"/>
  <c r="A464" i="2"/>
  <c r="AJ464" i="2"/>
  <c r="C464" i="2"/>
  <c r="I475" i="2"/>
  <c r="J475" i="2" s="1"/>
  <c r="C475" i="2" s="1"/>
  <c r="H475" i="2"/>
  <c r="AJ92" i="2"/>
  <c r="F92" i="2"/>
  <c r="E92" i="2" s="1"/>
  <c r="V92" i="2"/>
  <c r="B92" i="2"/>
  <c r="C92" i="2"/>
  <c r="A92" i="2"/>
  <c r="X92" i="2"/>
  <c r="X5" i="2"/>
  <c r="V5" i="2"/>
  <c r="F5" i="2"/>
  <c r="E5" i="2" s="1"/>
  <c r="B5" i="2" s="1"/>
  <c r="AJ5" i="2"/>
  <c r="A5" i="2"/>
  <c r="I169" i="2"/>
  <c r="H169" i="2"/>
  <c r="J169" i="2" s="1"/>
  <c r="C169" i="2" s="1"/>
  <c r="W341" i="2"/>
  <c r="T341" i="2"/>
  <c r="R341" i="2"/>
  <c r="X361" i="2"/>
  <c r="V361" i="2"/>
  <c r="F361" i="2"/>
  <c r="E361" i="2" s="1"/>
  <c r="AJ361" i="2"/>
  <c r="B361" i="2"/>
  <c r="A361" i="2"/>
  <c r="R440" i="2"/>
  <c r="W440" i="2"/>
  <c r="T440" i="2"/>
  <c r="I181" i="2"/>
  <c r="H181" i="2"/>
  <c r="J181" i="2" s="1"/>
  <c r="C181" i="2" s="1"/>
  <c r="AJ216" i="2"/>
  <c r="F216" i="2"/>
  <c r="E216" i="2" s="1"/>
  <c r="B216" i="2" s="1"/>
  <c r="V216" i="2"/>
  <c r="A216" i="2"/>
  <c r="X216" i="2"/>
  <c r="I295" i="2"/>
  <c r="H295" i="2"/>
  <c r="J295" i="2" s="1"/>
  <c r="C295" i="2" s="1"/>
  <c r="E170" i="2"/>
  <c r="B170" i="2" s="1"/>
  <c r="I109" i="2"/>
  <c r="J109" i="2" s="1"/>
  <c r="C109" i="2" s="1"/>
  <c r="H109" i="2"/>
  <c r="E60" i="2"/>
  <c r="B60" i="2" s="1"/>
  <c r="AJ129" i="2"/>
  <c r="A129" i="2"/>
  <c r="F129" i="2"/>
  <c r="E129" i="2" s="1"/>
  <c r="B129" i="2" s="1"/>
  <c r="X129" i="2"/>
  <c r="V129" i="2"/>
  <c r="W404" i="2"/>
  <c r="T404" i="2"/>
  <c r="R404" i="2"/>
  <c r="F53" i="2"/>
  <c r="E53" i="2" s="1"/>
  <c r="B53" i="2" s="1"/>
  <c r="X53" i="2"/>
  <c r="A53" i="2"/>
  <c r="V53" i="2"/>
  <c r="AJ53" i="2"/>
  <c r="T215" i="2"/>
  <c r="R215" i="2"/>
  <c r="W215" i="2"/>
  <c r="I340" i="2"/>
  <c r="J340" i="2" s="1"/>
  <c r="C340" i="2" s="1"/>
  <c r="H340" i="2"/>
  <c r="I323" i="2"/>
  <c r="J323" i="2" s="1"/>
  <c r="C323" i="2" s="1"/>
  <c r="H323" i="2"/>
  <c r="AJ145" i="2"/>
  <c r="C145" i="2"/>
  <c r="A145" i="2"/>
  <c r="F145" i="2"/>
  <c r="B145" i="2"/>
  <c r="X145" i="2"/>
  <c r="V145" i="2"/>
  <c r="E443" i="2"/>
  <c r="B443" i="2" s="1"/>
  <c r="T403" i="2"/>
  <c r="W403" i="2"/>
  <c r="R403" i="2"/>
  <c r="E10" i="2"/>
  <c r="B10" i="2" s="1"/>
  <c r="AJ96" i="2"/>
  <c r="F96" i="2"/>
  <c r="E96" i="2" s="1"/>
  <c r="B96" i="2" s="1"/>
  <c r="A96" i="2"/>
  <c r="X96" i="2"/>
  <c r="V96" i="2"/>
  <c r="T150" i="2"/>
  <c r="R150" i="2"/>
  <c r="W150" i="2"/>
  <c r="X270" i="2"/>
  <c r="AJ270" i="2"/>
  <c r="F270" i="2"/>
  <c r="A270" i="2"/>
  <c r="V270" i="2"/>
  <c r="T348" i="2"/>
  <c r="R348" i="2"/>
  <c r="W348" i="2"/>
  <c r="H84" i="2"/>
  <c r="I84" i="2"/>
  <c r="J84" i="2" s="1"/>
  <c r="C84" i="2" s="1"/>
  <c r="E24" i="2"/>
  <c r="B24" i="2" s="1"/>
  <c r="E152" i="2"/>
  <c r="B152" i="2" s="1"/>
  <c r="W240" i="2"/>
  <c r="T240" i="2"/>
  <c r="R240" i="2"/>
  <c r="I306" i="2"/>
  <c r="H306" i="2"/>
  <c r="J306" i="2" s="1"/>
  <c r="C306" i="2" s="1"/>
  <c r="E475" i="2"/>
  <c r="B475" i="2" s="1"/>
  <c r="T381" i="2"/>
  <c r="R381" i="2"/>
  <c r="W381" i="2"/>
  <c r="V406" i="2"/>
  <c r="F406" i="2"/>
  <c r="A406" i="2"/>
  <c r="X406" i="2"/>
  <c r="AJ406" i="2"/>
  <c r="I390" i="2"/>
  <c r="H390" i="2"/>
  <c r="J390" i="2" s="1"/>
  <c r="C390" i="2" s="1"/>
  <c r="T283" i="2"/>
  <c r="R283" i="2"/>
  <c r="W283" i="2"/>
  <c r="I73" i="2"/>
  <c r="H73" i="2"/>
  <c r="J73" i="2" s="1"/>
  <c r="I249" i="2"/>
  <c r="J249" i="2" s="1"/>
  <c r="C249" i="2" s="1"/>
  <c r="H249" i="2"/>
  <c r="I170" i="2"/>
  <c r="J170" i="2" s="1"/>
  <c r="C170" i="2" s="1"/>
  <c r="H170" i="2"/>
  <c r="T358" i="2"/>
  <c r="R358" i="2"/>
  <c r="W358" i="2"/>
  <c r="E435" i="2"/>
  <c r="B435" i="2" s="1"/>
  <c r="T111" i="2"/>
  <c r="R111" i="2"/>
  <c r="W111" i="2"/>
  <c r="E136" i="2"/>
  <c r="B136" i="2" s="1"/>
  <c r="I130" i="2"/>
  <c r="H130" i="2"/>
  <c r="J130" i="2" s="1"/>
  <c r="X455" i="2"/>
  <c r="V455" i="2"/>
  <c r="F455" i="2"/>
  <c r="E455" i="2" s="1"/>
  <c r="B455" i="2" s="1"/>
  <c r="AJ455" i="2"/>
  <c r="A455" i="2"/>
  <c r="T202" i="2"/>
  <c r="R202" i="2"/>
  <c r="W202" i="2"/>
  <c r="T304" i="2"/>
  <c r="R304" i="2"/>
  <c r="W304" i="2"/>
  <c r="T28" i="2"/>
  <c r="R28" i="2" s="1"/>
  <c r="W28" i="2"/>
  <c r="X132" i="2"/>
  <c r="V132" i="2"/>
  <c r="F132" i="2"/>
  <c r="E132" i="2" s="1"/>
  <c r="B132" i="2" s="1"/>
  <c r="AJ132" i="2"/>
  <c r="A132" i="2"/>
  <c r="F264" i="2"/>
  <c r="X264" i="2"/>
  <c r="V264" i="2"/>
  <c r="A264" i="2"/>
  <c r="AJ264" i="2"/>
  <c r="X89" i="2"/>
  <c r="F89" i="2"/>
  <c r="C89" i="2"/>
  <c r="V89" i="2"/>
  <c r="B89" i="2"/>
  <c r="A89" i="2"/>
  <c r="AJ89" i="2"/>
  <c r="AJ135" i="2"/>
  <c r="A135" i="2"/>
  <c r="F135" i="2"/>
  <c r="X135" i="2"/>
  <c r="V135" i="2"/>
  <c r="T224" i="2"/>
  <c r="R224" i="2"/>
  <c r="W224" i="2"/>
  <c r="W486" i="2"/>
  <c r="T486" i="2"/>
  <c r="R486" i="2"/>
  <c r="I76" i="2"/>
  <c r="J76" i="2" s="1"/>
  <c r="C76" i="2" s="1"/>
  <c r="H76" i="2"/>
  <c r="I82" i="2"/>
  <c r="H82" i="2"/>
  <c r="J82" i="2" s="1"/>
  <c r="C82" i="2" s="1"/>
  <c r="F296" i="2"/>
  <c r="X296" i="2"/>
  <c r="V296" i="2"/>
  <c r="A296" i="2"/>
  <c r="AJ296" i="2"/>
  <c r="I177" i="2"/>
  <c r="H177" i="2"/>
  <c r="J177" i="2" s="1"/>
  <c r="C177" i="2" s="1"/>
  <c r="V20" i="2"/>
  <c r="F20" i="2"/>
  <c r="E20" i="2" s="1"/>
  <c r="AJ20" i="2"/>
  <c r="A20" i="2"/>
  <c r="B20" i="2"/>
  <c r="X20" i="2"/>
  <c r="I35" i="2"/>
  <c r="H35" i="2"/>
  <c r="J35" i="2" s="1"/>
  <c r="AJ113" i="2"/>
  <c r="A113" i="2"/>
  <c r="X113" i="2"/>
  <c r="V113" i="2"/>
  <c r="F113" i="2"/>
  <c r="W334" i="2"/>
  <c r="T334" i="2"/>
  <c r="R334" i="2"/>
  <c r="I476" i="2"/>
  <c r="J476" i="2" s="1"/>
  <c r="C476" i="2" s="1"/>
  <c r="H476" i="2"/>
  <c r="I22" i="2"/>
  <c r="J22" i="2" s="1"/>
  <c r="C22" i="2" s="1"/>
  <c r="H22" i="2"/>
  <c r="I121" i="2"/>
  <c r="J121" i="2" s="1"/>
  <c r="C121" i="2" s="1"/>
  <c r="H121" i="2"/>
  <c r="I192" i="2"/>
  <c r="H192" i="2"/>
  <c r="J192" i="2" s="1"/>
  <c r="C192" i="2" s="1"/>
  <c r="T218" i="2"/>
  <c r="R218" i="2"/>
  <c r="W218" i="2"/>
  <c r="I345" i="2"/>
  <c r="H345" i="2"/>
  <c r="J345" i="2" s="1"/>
  <c r="C345" i="2" s="1"/>
  <c r="E402" i="2"/>
  <c r="B402" i="2" s="1"/>
  <c r="W438" i="2"/>
  <c r="T438" i="2"/>
  <c r="R438" i="2"/>
  <c r="I148" i="2"/>
  <c r="H148" i="2"/>
  <c r="J148" i="2" s="1"/>
  <c r="C148" i="2" s="1"/>
  <c r="X105" i="2"/>
  <c r="AJ105" i="2"/>
  <c r="C105" i="2"/>
  <c r="B105" i="2"/>
  <c r="F105" i="2"/>
  <c r="A105" i="2"/>
  <c r="V105" i="2"/>
  <c r="E178" i="2"/>
  <c r="B178" i="2" s="1"/>
  <c r="E390" i="2"/>
  <c r="B390" i="2" s="1"/>
  <c r="AJ52" i="2"/>
  <c r="X52" i="2"/>
  <c r="A52" i="2"/>
  <c r="V52" i="2"/>
  <c r="F52" i="2"/>
  <c r="T450" i="2"/>
  <c r="R450" i="2"/>
  <c r="W450" i="2"/>
  <c r="X325" i="2"/>
  <c r="V325" i="2"/>
  <c r="F325" i="2"/>
  <c r="E325" i="2" s="1"/>
  <c r="AJ325" i="2"/>
  <c r="B325" i="2"/>
  <c r="A325" i="2"/>
  <c r="W487" i="2"/>
  <c r="T487" i="2"/>
  <c r="R487" i="2"/>
  <c r="W99" i="2"/>
  <c r="T99" i="2"/>
  <c r="R99" i="2"/>
  <c r="I112" i="2"/>
  <c r="H112" i="2"/>
  <c r="J112" i="2" s="1"/>
  <c r="C112" i="2" s="1"/>
  <c r="R107" i="2"/>
  <c r="T107" i="2"/>
  <c r="W107" i="2"/>
  <c r="A395" i="2"/>
  <c r="X395" i="2"/>
  <c r="V395" i="2"/>
  <c r="F395" i="2"/>
  <c r="E395" i="2" s="1"/>
  <c r="AJ395" i="2"/>
  <c r="C395" i="2"/>
  <c r="B395" i="2"/>
  <c r="I57" i="2"/>
  <c r="J57" i="2" s="1"/>
  <c r="C57" i="2" s="1"/>
  <c r="H57" i="2"/>
  <c r="AJ294" i="2"/>
  <c r="X294" i="2"/>
  <c r="F294" i="2"/>
  <c r="E294" i="2" s="1"/>
  <c r="B294" i="2" s="1"/>
  <c r="V294" i="2"/>
  <c r="A294" i="2"/>
  <c r="AJ354" i="2"/>
  <c r="A354" i="2"/>
  <c r="X354" i="2"/>
  <c r="V354" i="2"/>
  <c r="F354" i="2"/>
  <c r="I17" i="2"/>
  <c r="H17" i="2"/>
  <c r="J17" i="2" s="1"/>
  <c r="C17" i="2" s="1"/>
  <c r="X36" i="2"/>
  <c r="V36" i="2"/>
  <c r="F36" i="2"/>
  <c r="AJ36" i="2"/>
  <c r="A36" i="2"/>
  <c r="R151" i="2"/>
  <c r="W151" i="2"/>
  <c r="T151" i="2"/>
  <c r="W248" i="2"/>
  <c r="T248" i="2"/>
  <c r="R248" i="2" s="1"/>
  <c r="H462" i="2"/>
  <c r="I462" i="2"/>
  <c r="J462" i="2" s="1"/>
  <c r="C462" i="2" s="1"/>
  <c r="T342" i="2"/>
  <c r="R342" i="2" s="1"/>
  <c r="W342" i="2"/>
  <c r="T138" i="2"/>
  <c r="R138" i="2"/>
  <c r="W138" i="2"/>
  <c r="E302" i="2"/>
  <c r="B302" i="2" s="1"/>
  <c r="AJ451" i="2"/>
  <c r="C451" i="2"/>
  <c r="B451" i="2"/>
  <c r="A451" i="2"/>
  <c r="X451" i="2"/>
  <c r="F451" i="2"/>
  <c r="E451" i="2" s="1"/>
  <c r="V451" i="2"/>
  <c r="E323" i="2"/>
  <c r="B323" i="2" s="1"/>
  <c r="E7" i="2"/>
  <c r="B7" i="2" s="1"/>
  <c r="E76" i="2"/>
  <c r="B76" i="2" s="1"/>
  <c r="E82" i="2"/>
  <c r="B82" i="2" s="1"/>
  <c r="AJ430" i="2"/>
  <c r="B430" i="2"/>
  <c r="A430" i="2"/>
  <c r="V430" i="2"/>
  <c r="F430" i="2"/>
  <c r="E430" i="2" s="1"/>
  <c r="X430" i="2"/>
  <c r="E177" i="2"/>
  <c r="B177" i="2" s="1"/>
  <c r="H311" i="2"/>
  <c r="I311" i="2"/>
  <c r="J311" i="2" s="1"/>
  <c r="C311" i="2" s="1"/>
  <c r="I343" i="2"/>
  <c r="H343" i="2"/>
  <c r="J343" i="2" s="1"/>
  <c r="C343" i="2" s="1"/>
  <c r="E476" i="2"/>
  <c r="B476" i="2" s="1"/>
  <c r="E22" i="2"/>
  <c r="B22" i="2" s="1"/>
  <c r="T467" i="2"/>
  <c r="R467" i="2"/>
  <c r="W467" i="2"/>
  <c r="E255" i="2"/>
  <c r="E345" i="2"/>
  <c r="B345" i="2" s="1"/>
  <c r="I86" i="2"/>
  <c r="H86" i="2"/>
  <c r="J86" i="2" s="1"/>
  <c r="R297" i="2"/>
  <c r="T297" i="2"/>
  <c r="W297" i="2"/>
  <c r="T221" i="2"/>
  <c r="R221" i="2"/>
  <c r="W221" i="2"/>
  <c r="E148" i="2"/>
  <c r="B148" i="2" s="1"/>
  <c r="R12" i="2"/>
  <c r="T12" i="2"/>
  <c r="W12" i="2"/>
  <c r="X146" i="2"/>
  <c r="V146" i="2"/>
  <c r="AJ146" i="2"/>
  <c r="F146" i="2"/>
  <c r="A146" i="2"/>
  <c r="I416" i="2"/>
  <c r="H416" i="2"/>
  <c r="J416" i="2" s="1"/>
  <c r="I347" i="2"/>
  <c r="H347" i="2"/>
  <c r="J347" i="2" s="1"/>
  <c r="C347" i="2" s="1"/>
  <c r="A125" i="2"/>
  <c r="X125" i="2"/>
  <c r="AJ125" i="2"/>
  <c r="F125" i="2"/>
  <c r="E125" i="2" s="1"/>
  <c r="B125" i="2" s="1"/>
  <c r="V125" i="2"/>
  <c r="I482" i="2"/>
  <c r="J482" i="2" s="1"/>
  <c r="H482" i="2"/>
  <c r="V126" i="2"/>
  <c r="F126" i="2"/>
  <c r="E126" i="2" s="1"/>
  <c r="AJ126" i="2"/>
  <c r="B126" i="2"/>
  <c r="A126" i="2"/>
  <c r="X126" i="2"/>
  <c r="X439" i="2"/>
  <c r="AJ439" i="2"/>
  <c r="F439" i="2"/>
  <c r="A439" i="2"/>
  <c r="V439" i="2"/>
  <c r="R45" i="2"/>
  <c r="T45" i="2"/>
  <c r="W45" i="2"/>
  <c r="T155" i="2"/>
  <c r="R155" i="2" s="1"/>
  <c r="W155" i="2"/>
  <c r="I362" i="2"/>
  <c r="H362" i="2"/>
  <c r="J362" i="2" s="1"/>
  <c r="C362" i="2" s="1"/>
  <c r="H478" i="2"/>
  <c r="J478" i="2" s="1"/>
  <c r="C478" i="2" s="1"/>
  <c r="I478" i="2"/>
  <c r="X104" i="2"/>
  <c r="V104" i="2"/>
  <c r="F104" i="2"/>
  <c r="E104" i="2" s="1"/>
  <c r="AJ104" i="2"/>
  <c r="C104" i="2"/>
  <c r="B104" i="2"/>
  <c r="A104" i="2"/>
  <c r="T134" i="2"/>
  <c r="R134" i="2"/>
  <c r="W134" i="2"/>
  <c r="X276" i="2"/>
  <c r="V276" i="2"/>
  <c r="F276" i="2"/>
  <c r="E276" i="2" s="1"/>
  <c r="B276" i="2" s="1"/>
  <c r="AJ276" i="2"/>
  <c r="A276" i="2"/>
  <c r="I302" i="2"/>
  <c r="H302" i="2"/>
  <c r="J302" i="2" s="1"/>
  <c r="C302" i="2" s="1"/>
  <c r="I303" i="2"/>
  <c r="H303" i="2"/>
  <c r="J303" i="2" s="1"/>
  <c r="C303" i="2" s="1"/>
  <c r="W433" i="2"/>
  <c r="T433" i="2"/>
  <c r="R433" i="2"/>
  <c r="V232" i="2"/>
  <c r="F232" i="2"/>
  <c r="E232" i="2" s="1"/>
  <c r="AJ232" i="2"/>
  <c r="C232" i="2"/>
  <c r="B232" i="2"/>
  <c r="X232" i="2"/>
  <c r="A232" i="2"/>
  <c r="I236" i="2"/>
  <c r="H236" i="2"/>
  <c r="J236" i="2" s="1"/>
  <c r="X313" i="2"/>
  <c r="V313" i="2"/>
  <c r="F313" i="2"/>
  <c r="E313" i="2" s="1"/>
  <c r="B313" i="2" s="1"/>
  <c r="AJ313" i="2"/>
  <c r="A313" i="2"/>
  <c r="R228" i="2"/>
  <c r="W228" i="2"/>
  <c r="T228" i="2"/>
  <c r="T366" i="2"/>
  <c r="R366" i="2"/>
  <c r="W366" i="2"/>
  <c r="W37" i="2"/>
  <c r="R37" i="2"/>
  <c r="T37" i="2"/>
  <c r="I480" i="2"/>
  <c r="H480" i="2"/>
  <c r="J480" i="2" s="1"/>
  <c r="C480" i="2" s="1"/>
  <c r="E347" i="2"/>
  <c r="B347" i="2" s="1"/>
  <c r="E482" i="2"/>
  <c r="I93" i="2"/>
  <c r="J93" i="2" s="1"/>
  <c r="H93" i="2"/>
  <c r="V19" i="2"/>
  <c r="F19" i="2"/>
  <c r="C19" i="2"/>
  <c r="AJ19" i="2"/>
  <c r="B19" i="2"/>
  <c r="A19" i="2"/>
  <c r="X19" i="2"/>
  <c r="AJ401" i="2"/>
  <c r="X401" i="2"/>
  <c r="F401" i="2"/>
  <c r="V401" i="2"/>
  <c r="A401" i="2"/>
  <c r="W31" i="2"/>
  <c r="T31" i="2"/>
  <c r="R31" i="2" s="1"/>
  <c r="AJ316" i="2"/>
  <c r="A316" i="2"/>
  <c r="V316" i="2"/>
  <c r="F316" i="2"/>
  <c r="X316" i="2"/>
  <c r="I61" i="2"/>
  <c r="H61" i="2"/>
  <c r="J61" i="2" s="1"/>
  <c r="C61" i="2" s="1"/>
  <c r="I60" i="2"/>
  <c r="J60" i="2" s="1"/>
  <c r="C60" i="2" s="1"/>
  <c r="H60" i="2"/>
  <c r="I220" i="2"/>
  <c r="H220" i="2"/>
  <c r="J220" i="2" s="1"/>
  <c r="I443" i="2"/>
  <c r="H443" i="2"/>
  <c r="J443" i="2" s="1"/>
  <c r="C443" i="2" s="1"/>
  <c r="I470" i="2"/>
  <c r="H470" i="2"/>
  <c r="J470" i="2" s="1"/>
  <c r="C470" i="2" s="1"/>
  <c r="T367" i="2"/>
  <c r="W367" i="2"/>
  <c r="R367" i="2"/>
  <c r="W469" i="2"/>
  <c r="T469" i="2"/>
  <c r="R469" i="2" s="1"/>
  <c r="AJ284" i="2"/>
  <c r="A284" i="2"/>
  <c r="V284" i="2"/>
  <c r="F284" i="2"/>
  <c r="X284" i="2"/>
  <c r="E470" i="2"/>
  <c r="B470" i="2" s="1"/>
  <c r="X200" i="2"/>
  <c r="V200" i="2"/>
  <c r="F200" i="2"/>
  <c r="E200" i="2" s="1"/>
  <c r="AJ200" i="2"/>
  <c r="B200" i="2"/>
  <c r="C200" i="2"/>
  <c r="A200" i="2"/>
  <c r="T331" i="2"/>
  <c r="R331" i="2" s="1"/>
  <c r="W331" i="2"/>
  <c r="X256" i="2"/>
  <c r="V256" i="2"/>
  <c r="F256" i="2"/>
  <c r="E256" i="2" s="1"/>
  <c r="B256" i="2" s="1"/>
  <c r="A256" i="2"/>
  <c r="AJ256" i="2"/>
  <c r="E295" i="2"/>
  <c r="B295" i="2" s="1"/>
  <c r="X9" i="2"/>
  <c r="A9" i="2"/>
  <c r="AJ9" i="2"/>
  <c r="V9" i="2"/>
  <c r="F9" i="2"/>
  <c r="E40" i="2"/>
  <c r="X187" i="2"/>
  <c r="F187" i="2"/>
  <c r="E187" i="2" s="1"/>
  <c r="B187" i="2" s="1"/>
  <c r="V187" i="2"/>
  <c r="AJ187" i="2"/>
  <c r="A187" i="2"/>
  <c r="AJ261" i="2"/>
  <c r="F261" i="2"/>
  <c r="X261" i="2"/>
  <c r="V261" i="2"/>
  <c r="A261" i="2"/>
  <c r="I272" i="2"/>
  <c r="H272" i="2"/>
  <c r="J272" i="2" s="1"/>
  <c r="C272" i="2" s="1"/>
  <c r="I87" i="2"/>
  <c r="J87" i="2" s="1"/>
  <c r="H87" i="2"/>
  <c r="I189" i="2"/>
  <c r="H189" i="2"/>
  <c r="J189" i="2" s="1"/>
  <c r="R489" i="2"/>
  <c r="W489" i="2"/>
  <c r="T489" i="2"/>
  <c r="AJ91" i="2"/>
  <c r="F91" i="2"/>
  <c r="X91" i="2"/>
  <c r="V91" i="2"/>
  <c r="A91" i="2"/>
  <c r="R123" i="2"/>
  <c r="T123" i="2"/>
  <c r="W123" i="2"/>
  <c r="E362" i="2"/>
  <c r="B362" i="2" s="1"/>
  <c r="E290" i="2"/>
  <c r="B290" i="2" s="1"/>
  <c r="I432" i="2"/>
  <c r="J432" i="2" s="1"/>
  <c r="C432" i="2" s="1"/>
  <c r="H432" i="2"/>
  <c r="I38" i="2"/>
  <c r="H38" i="2"/>
  <c r="J38" i="2" s="1"/>
  <c r="C38" i="2" s="1"/>
  <c r="V50" i="2"/>
  <c r="F50" i="2"/>
  <c r="E50" i="2" s="1"/>
  <c r="B50" i="2" s="1"/>
  <c r="X50" i="2"/>
  <c r="A50" i="2"/>
  <c r="AJ50" i="2"/>
  <c r="T267" i="2"/>
  <c r="R267" i="2"/>
  <c r="W267" i="2"/>
  <c r="V167" i="2"/>
  <c r="F167" i="2"/>
  <c r="E167" i="2" s="1"/>
  <c r="AJ167" i="2"/>
  <c r="C167" i="2"/>
  <c r="B167" i="2"/>
  <c r="A167" i="2"/>
  <c r="X167" i="2"/>
  <c r="E35" i="2"/>
  <c r="AJ244" i="2"/>
  <c r="A244" i="2"/>
  <c r="X244" i="2"/>
  <c r="F244" i="2"/>
  <c r="V244" i="2"/>
  <c r="E190" i="2"/>
  <c r="B190" i="2" s="1"/>
  <c r="I350" i="2"/>
  <c r="H350" i="2"/>
  <c r="J350" i="2" s="1"/>
  <c r="C350" i="2" s="1"/>
  <c r="I24" i="2"/>
  <c r="H24" i="2"/>
  <c r="J24" i="2" s="1"/>
  <c r="C24" i="2" s="1"/>
  <c r="R349" i="2"/>
  <c r="T349" i="2"/>
  <c r="W349" i="2"/>
  <c r="W392" i="2"/>
  <c r="T392" i="2"/>
  <c r="R392" i="2"/>
  <c r="T481" i="2"/>
  <c r="R481" i="2"/>
  <c r="W481" i="2"/>
  <c r="I128" i="2"/>
  <c r="J128" i="2" s="1"/>
  <c r="C128" i="2" s="1"/>
  <c r="H128" i="2"/>
  <c r="W142" i="2"/>
  <c r="T142" i="2"/>
  <c r="R142" i="2"/>
  <c r="T330" i="2"/>
  <c r="R330" i="2"/>
  <c r="W330" i="2"/>
  <c r="X356" i="2"/>
  <c r="V356" i="2"/>
  <c r="F356" i="2"/>
  <c r="E356" i="2" s="1"/>
  <c r="AJ356" i="2"/>
  <c r="C356" i="2"/>
  <c r="B356" i="2"/>
  <c r="A356" i="2"/>
  <c r="W260" i="2"/>
  <c r="T260" i="2"/>
  <c r="R260" i="2"/>
  <c r="E57" i="2"/>
  <c r="B57" i="2" s="1"/>
  <c r="T258" i="2"/>
  <c r="R258" i="2" s="1"/>
  <c r="W258" i="2"/>
  <c r="A25" i="2"/>
  <c r="AJ25" i="2"/>
  <c r="F25" i="2"/>
  <c r="E25" i="2" s="1"/>
  <c r="B25" i="2" s="1"/>
  <c r="X25" i="2"/>
  <c r="V25" i="2"/>
  <c r="AJ63" i="2"/>
  <c r="A63" i="2"/>
  <c r="V63" i="2"/>
  <c r="F63" i="2"/>
  <c r="X63" i="2"/>
  <c r="R13" i="2"/>
  <c r="W13" i="2"/>
  <c r="T13" i="2"/>
  <c r="W201" i="2"/>
  <c r="T201" i="2"/>
  <c r="R201" i="2"/>
  <c r="I371" i="2"/>
  <c r="H371" i="2"/>
  <c r="J371" i="2" s="1"/>
  <c r="C371" i="2" s="1"/>
  <c r="T465" i="2"/>
  <c r="R465" i="2"/>
  <c r="W465" i="2"/>
  <c r="W231" i="2"/>
  <c r="T231" i="2"/>
  <c r="R231" i="2"/>
  <c r="T133" i="2"/>
  <c r="R133" i="2"/>
  <c r="W133" i="2"/>
  <c r="T449" i="2"/>
  <c r="R449" i="2"/>
  <c r="W449" i="2"/>
  <c r="E87" i="2"/>
  <c r="I280" i="2"/>
  <c r="H280" i="2"/>
  <c r="J280" i="2" s="1"/>
  <c r="T461" i="2"/>
  <c r="R461" i="2"/>
  <c r="W461" i="2"/>
  <c r="F159" i="2"/>
  <c r="V159" i="2"/>
  <c r="AJ159" i="2"/>
  <c r="A159" i="2"/>
  <c r="X159" i="2"/>
  <c r="E220" i="2"/>
  <c r="V380" i="2"/>
  <c r="F380" i="2"/>
  <c r="AJ380" i="2"/>
  <c r="A380" i="2"/>
  <c r="X380" i="2"/>
  <c r="T429" i="2"/>
  <c r="R429" i="2"/>
  <c r="W429" i="2"/>
  <c r="E69" i="2"/>
  <c r="B69" i="2" s="1"/>
  <c r="T51" i="2"/>
  <c r="R51" i="2"/>
  <c r="W51" i="2"/>
  <c r="E432" i="2"/>
  <c r="B432" i="2" s="1"/>
  <c r="H7" i="2"/>
  <c r="J7" i="2" s="1"/>
  <c r="C7" i="2" s="1"/>
  <c r="I7" i="2"/>
  <c r="E38" i="2"/>
  <c r="B38" i="2" s="1"/>
  <c r="W182" i="2"/>
  <c r="T182" i="2"/>
  <c r="R182" i="2"/>
  <c r="I321" i="2"/>
  <c r="J321" i="2" s="1"/>
  <c r="C321" i="2" s="1"/>
  <c r="H321" i="2"/>
  <c r="E236" i="2"/>
  <c r="AJ34" i="2"/>
  <c r="C34" i="2"/>
  <c r="B34" i="2"/>
  <c r="F34" i="2"/>
  <c r="A34" i="2"/>
  <c r="X34" i="2"/>
  <c r="V34" i="2"/>
  <c r="T140" i="2"/>
  <c r="R140" i="2"/>
  <c r="W140" i="2"/>
  <c r="X355" i="2"/>
  <c r="V355" i="2"/>
  <c r="F355" i="2"/>
  <c r="E355" i="2" s="1"/>
  <c r="B355" i="2" s="1"/>
  <c r="A355" i="2"/>
  <c r="AJ355" i="2"/>
  <c r="I373" i="2"/>
  <c r="J373" i="2" s="1"/>
  <c r="C373" i="2" s="1"/>
  <c r="H373" i="2"/>
  <c r="W115" i="2"/>
  <c r="T115" i="2"/>
  <c r="R115" i="2"/>
  <c r="I190" i="2"/>
  <c r="H190" i="2"/>
  <c r="J190" i="2" s="1"/>
  <c r="C190" i="2" s="1"/>
  <c r="I65" i="2"/>
  <c r="H65" i="2"/>
  <c r="J65" i="2" s="1"/>
  <c r="C65" i="2" s="1"/>
  <c r="AJ119" i="2"/>
  <c r="A119" i="2"/>
  <c r="F119" i="2"/>
  <c r="X119" i="2"/>
  <c r="V119" i="2"/>
  <c r="V214" i="2"/>
  <c r="AJ214" i="2"/>
  <c r="A214" i="2"/>
  <c r="X214" i="2"/>
  <c r="F214" i="2"/>
  <c r="E86" i="2"/>
  <c r="I418" i="2"/>
  <c r="J418" i="2" s="1"/>
  <c r="C418" i="2" s="1"/>
  <c r="H418" i="2"/>
  <c r="X32" i="2"/>
  <c r="V32" i="2"/>
  <c r="F32" i="2"/>
  <c r="AJ32" i="2"/>
  <c r="A32" i="2"/>
  <c r="W77" i="2"/>
  <c r="T77" i="2"/>
  <c r="R77" i="2" s="1"/>
  <c r="I425" i="2"/>
  <c r="H425" i="2"/>
  <c r="J425" i="2" s="1"/>
  <c r="C425" i="2" s="1"/>
  <c r="T172" i="2"/>
  <c r="R172" i="2"/>
  <c r="W172" i="2"/>
  <c r="X407" i="2"/>
  <c r="AJ407" i="2"/>
  <c r="A407" i="2"/>
  <c r="F407" i="2"/>
  <c r="V407" i="2"/>
  <c r="X252" i="2"/>
  <c r="V252" i="2"/>
  <c r="F252" i="2"/>
  <c r="E252" i="2" s="1"/>
  <c r="AJ252" i="2"/>
  <c r="B252" i="2"/>
  <c r="A252" i="2"/>
  <c r="X230" i="2"/>
  <c r="AJ230" i="2"/>
  <c r="F230" i="2"/>
  <c r="E230" i="2" s="1"/>
  <c r="B230" i="2" s="1"/>
  <c r="A230" i="2"/>
  <c r="V230" i="2"/>
  <c r="AJ446" i="2"/>
  <c r="X446" i="2"/>
  <c r="V446" i="2"/>
  <c r="F446" i="2"/>
  <c r="A446" i="2"/>
  <c r="B163" i="2"/>
  <c r="A163" i="2"/>
  <c r="F163" i="2"/>
  <c r="E163" i="2" s="1"/>
  <c r="X163" i="2"/>
  <c r="V163" i="2"/>
  <c r="AJ163" i="2"/>
  <c r="H289" i="2"/>
  <c r="I289" i="2"/>
  <c r="J289" i="2" s="1"/>
  <c r="C289" i="2" s="1"/>
  <c r="E128" i="2"/>
  <c r="B128" i="2" s="1"/>
  <c r="I435" i="2"/>
  <c r="H435" i="2"/>
  <c r="J435" i="2" s="1"/>
  <c r="C435" i="2" s="1"/>
  <c r="W211" i="2"/>
  <c r="T211" i="2"/>
  <c r="R211" i="2"/>
  <c r="V204" i="2"/>
  <c r="F204" i="2"/>
  <c r="E204" i="2" s="1"/>
  <c r="B204" i="2" s="1"/>
  <c r="A204" i="2"/>
  <c r="X204" i="2"/>
  <c r="AJ204" i="2"/>
  <c r="T393" i="2"/>
  <c r="R393" i="2" s="1"/>
  <c r="W393" i="2"/>
  <c r="T447" i="2"/>
  <c r="R447" i="2" s="1"/>
  <c r="W447" i="2"/>
  <c r="E289" i="2"/>
  <c r="B289" i="2" s="1"/>
  <c r="I408" i="2"/>
  <c r="H408" i="2"/>
  <c r="J408" i="2" s="1"/>
  <c r="C408" i="2" s="1"/>
  <c r="E17" i="2"/>
  <c r="B17" i="2" s="1"/>
  <c r="R15" i="2"/>
  <c r="W15" i="2"/>
  <c r="T15" i="2"/>
  <c r="AJ168" i="2"/>
  <c r="A168" i="2"/>
  <c r="X168" i="2"/>
  <c r="F168" i="2"/>
  <c r="V168" i="2"/>
  <c r="X324" i="2"/>
  <c r="V324" i="2"/>
  <c r="F324" i="2"/>
  <c r="AJ324" i="2"/>
  <c r="A324" i="2"/>
  <c r="AJ173" i="2"/>
  <c r="A173" i="2"/>
  <c r="V173" i="2"/>
  <c r="F173" i="2"/>
  <c r="E173" i="2" s="1"/>
  <c r="B173" i="2" s="1"/>
  <c r="X173" i="2"/>
  <c r="X382" i="2"/>
  <c r="V382" i="2"/>
  <c r="F382" i="2"/>
  <c r="AJ382" i="2"/>
  <c r="A382" i="2"/>
  <c r="E419" i="2"/>
  <c r="B419" i="2" s="1"/>
  <c r="T88" i="2"/>
  <c r="R88" i="2"/>
  <c r="W88" i="2"/>
  <c r="I131" i="2"/>
  <c r="J131" i="2" s="1"/>
  <c r="C131" i="2" s="1"/>
  <c r="H131" i="2"/>
  <c r="E272" i="2"/>
  <c r="B272" i="2" s="1"/>
  <c r="A400" i="2"/>
  <c r="X400" i="2"/>
  <c r="V400" i="2"/>
  <c r="F400" i="2"/>
  <c r="AJ400" i="2"/>
  <c r="W153" i="2"/>
  <c r="T153" i="2"/>
  <c r="R153" i="2"/>
  <c r="I67" i="2"/>
  <c r="J67" i="2" s="1"/>
  <c r="C67" i="2" s="1"/>
  <c r="H67" i="2"/>
  <c r="E198" i="2"/>
  <c r="B198" i="2" s="1"/>
  <c r="W405" i="2"/>
  <c r="T405" i="2"/>
  <c r="R405" i="2" s="1"/>
  <c r="R452" i="2"/>
  <c r="T452" i="2"/>
  <c r="W452" i="2"/>
  <c r="AJ139" i="2"/>
  <c r="A139" i="2"/>
  <c r="F139" i="2"/>
  <c r="X139" i="2"/>
  <c r="V139" i="2"/>
  <c r="E368" i="2"/>
  <c r="B368" i="2" s="1"/>
  <c r="X454" i="2"/>
  <c r="V454" i="2"/>
  <c r="F454" i="2"/>
  <c r="AJ454" i="2"/>
  <c r="C454" i="2"/>
  <c r="B454" i="2"/>
  <c r="A454" i="2"/>
  <c r="I69" i="2"/>
  <c r="J69" i="2" s="1"/>
  <c r="C69" i="2" s="1"/>
  <c r="H69" i="2"/>
  <c r="E59" i="2"/>
  <c r="B59" i="2" s="1"/>
  <c r="E233" i="2"/>
  <c r="B233" i="2" s="1"/>
  <c r="I71" i="2"/>
  <c r="H71" i="2"/>
  <c r="J71" i="2" s="1"/>
  <c r="C71" i="2" s="1"/>
  <c r="AJ291" i="2"/>
  <c r="X291" i="2"/>
  <c r="F291" i="2"/>
  <c r="E291" i="2" s="1"/>
  <c r="B291" i="2" s="1"/>
  <c r="A291" i="2"/>
  <c r="V291" i="2"/>
  <c r="E418" i="2"/>
  <c r="B418" i="2" s="1"/>
  <c r="I445" i="2"/>
  <c r="H445" i="2"/>
  <c r="J445" i="2" s="1"/>
  <c r="C445" i="2" s="1"/>
  <c r="AJ74" i="2"/>
  <c r="B74" i="2"/>
  <c r="A74" i="2"/>
  <c r="X74" i="2"/>
  <c r="F74" i="2"/>
  <c r="E74" i="2" s="1"/>
  <c r="V74" i="2"/>
  <c r="E425" i="2"/>
  <c r="B425" i="2" s="1"/>
  <c r="V278" i="2"/>
  <c r="F278" i="2"/>
  <c r="AJ278" i="2"/>
  <c r="A278" i="2"/>
  <c r="X278" i="2"/>
  <c r="I178" i="2"/>
  <c r="H178" i="2"/>
  <c r="J178" i="2" s="1"/>
  <c r="C178" i="2" s="1"/>
  <c r="R239" i="2"/>
  <c r="T239" i="2"/>
  <c r="W239" i="2"/>
  <c r="F6" i="2"/>
  <c r="A6" i="2"/>
  <c r="AJ6" i="2"/>
  <c r="X6" i="2"/>
  <c r="V6" i="2" s="1"/>
  <c r="I384" i="2"/>
  <c r="H384" i="2"/>
  <c r="J384" i="2" s="1"/>
  <c r="C384" i="2" s="1"/>
  <c r="X397" i="2"/>
  <c r="V397" i="2"/>
  <c r="F397" i="2"/>
  <c r="AJ397" i="2"/>
  <c r="C397" i="2"/>
  <c r="B397" i="2"/>
  <c r="A397" i="2"/>
  <c r="X217" i="2"/>
  <c r="F217" i="2"/>
  <c r="V217" i="2"/>
  <c r="A217" i="2"/>
  <c r="AJ217" i="2"/>
  <c r="W166" i="2"/>
  <c r="T166" i="2"/>
  <c r="R166" i="2" s="1"/>
  <c r="V388" i="2"/>
  <c r="F388" i="2"/>
  <c r="AJ388" i="2"/>
  <c r="A388" i="2"/>
  <c r="X388" i="2"/>
  <c r="A174" i="2"/>
  <c r="X174" i="2"/>
  <c r="V174" i="2"/>
  <c r="F174" i="2"/>
  <c r="E174" i="2" s="1"/>
  <c r="B174" i="2" s="1"/>
  <c r="AJ174" i="2"/>
  <c r="T43" i="2"/>
  <c r="R43" i="2"/>
  <c r="W43" i="2"/>
  <c r="X188" i="2"/>
  <c r="F188" i="2"/>
  <c r="V188" i="2"/>
  <c r="A188" i="2"/>
  <c r="AJ188" i="2"/>
  <c r="I307" i="2"/>
  <c r="J307" i="2" s="1"/>
  <c r="C307" i="2" s="1"/>
  <c r="H307" i="2"/>
  <c r="W127" i="2"/>
  <c r="T127" i="2"/>
  <c r="R127" i="2"/>
  <c r="R484" i="2"/>
  <c r="T484" i="2"/>
  <c r="W484" i="2"/>
  <c r="I198" i="2"/>
  <c r="H198" i="2"/>
  <c r="J198" i="2" s="1"/>
  <c r="C198" i="2" s="1"/>
  <c r="T207" i="2"/>
  <c r="R207" i="2"/>
  <c r="W207" i="2"/>
  <c r="I328" i="2"/>
  <c r="J328" i="2" s="1"/>
  <c r="C328" i="2" s="1"/>
  <c r="H328" i="2"/>
  <c r="I322" i="2"/>
  <c r="H322" i="2"/>
  <c r="J322" i="2" s="1"/>
  <c r="C322" i="2" s="1"/>
  <c r="I368" i="2"/>
  <c r="H368" i="2"/>
  <c r="J368" i="2" s="1"/>
  <c r="C368" i="2" s="1"/>
  <c r="T337" i="2"/>
  <c r="R337" i="2"/>
  <c r="W337" i="2"/>
  <c r="R108" i="2"/>
  <c r="W108" i="2"/>
  <c r="T108" i="2"/>
  <c r="I59" i="2"/>
  <c r="J59" i="2" s="1"/>
  <c r="C59" i="2" s="1"/>
  <c r="H59" i="2"/>
  <c r="T106" i="2"/>
  <c r="R106" i="2" s="1"/>
  <c r="W106" i="2"/>
  <c r="A141" i="2"/>
  <c r="X141" i="2"/>
  <c r="AJ141" i="2"/>
  <c r="C141" i="2"/>
  <c r="V141" i="2"/>
  <c r="F141" i="2"/>
  <c r="B141" i="2"/>
  <c r="T213" i="2"/>
  <c r="R213" i="2"/>
  <c r="W213" i="2"/>
  <c r="T48" i="2"/>
  <c r="R48" i="2"/>
  <c r="W48" i="2"/>
  <c r="X287" i="2"/>
  <c r="V287" i="2"/>
  <c r="F287" i="2"/>
  <c r="E287" i="2" s="1"/>
  <c r="B287" i="2" s="1"/>
  <c r="AJ287" i="2"/>
  <c r="A287" i="2"/>
  <c r="I437" i="2"/>
  <c r="J437" i="2" s="1"/>
  <c r="C437" i="2" s="1"/>
  <c r="H437" i="2"/>
  <c r="X114" i="2"/>
  <c r="V114" i="2"/>
  <c r="F114" i="2"/>
  <c r="E114" i="2" s="1"/>
  <c r="AJ114" i="2"/>
  <c r="A114" i="2"/>
  <c r="C114" i="2"/>
  <c r="B114" i="2"/>
  <c r="T288" i="2"/>
  <c r="R288" i="2"/>
  <c r="W288" i="2"/>
  <c r="T336" i="2"/>
  <c r="R336" i="2"/>
  <c r="W336" i="2"/>
  <c r="AJ18" i="2"/>
  <c r="F18" i="2"/>
  <c r="E18" i="2" s="1"/>
  <c r="B18" i="2" s="1"/>
  <c r="X18" i="2"/>
  <c r="A18" i="2"/>
  <c r="V18" i="2"/>
  <c r="E445" i="2"/>
  <c r="B445" i="2" s="1"/>
  <c r="T116" i="2"/>
  <c r="R116" i="2"/>
  <c r="W116" i="2"/>
  <c r="E480" i="2"/>
  <c r="B480" i="2" s="1"/>
  <c r="I46" i="2"/>
  <c r="H46" i="2"/>
  <c r="J46" i="2" s="1"/>
  <c r="C46" i="2" s="1"/>
  <c r="V143" i="2"/>
  <c r="F143" i="2"/>
  <c r="AJ143" i="2"/>
  <c r="A143" i="2"/>
  <c r="X143" i="2"/>
  <c r="I423" i="2"/>
  <c r="J423" i="2" s="1"/>
  <c r="C423" i="2" s="1"/>
  <c r="H423" i="2"/>
  <c r="R203" i="2"/>
  <c r="W203" i="2"/>
  <c r="T203" i="2"/>
  <c r="AJ457" i="2"/>
  <c r="C457" i="2"/>
  <c r="B457" i="2"/>
  <c r="A457" i="2"/>
  <c r="V457" i="2"/>
  <c r="F457" i="2"/>
  <c r="X457" i="2"/>
  <c r="I477" i="2"/>
  <c r="J477" i="2" s="1"/>
  <c r="C477" i="2" s="1"/>
  <c r="H477" i="2"/>
  <c r="X427" i="2"/>
  <c r="V427" i="2"/>
  <c r="F427" i="2"/>
  <c r="E427" i="2" s="1"/>
  <c r="B427" i="2" s="1"/>
  <c r="AJ427" i="2"/>
  <c r="A427" i="2"/>
  <c r="AJ394" i="2"/>
  <c r="B394" i="2"/>
  <c r="A394" i="2"/>
  <c r="X394" i="2"/>
  <c r="V394" i="2"/>
  <c r="F394" i="2"/>
  <c r="E394" i="2" s="1"/>
  <c r="X251" i="2"/>
  <c r="V251" i="2"/>
  <c r="F251" i="2"/>
  <c r="E251" i="2" s="1"/>
  <c r="B251" i="2" s="1"/>
  <c r="AJ251" i="2"/>
  <c r="A251" i="2"/>
  <c r="X83" i="2"/>
  <c r="V83" i="2"/>
  <c r="F83" i="2"/>
  <c r="E83" i="2" s="1"/>
  <c r="B83" i="2" s="1"/>
  <c r="AJ83" i="2"/>
  <c r="A83" i="2"/>
  <c r="T320" i="2"/>
  <c r="R320" i="2"/>
  <c r="W320" i="2"/>
  <c r="W110" i="2"/>
  <c r="T110" i="2"/>
  <c r="R110" i="2"/>
  <c r="W357" i="2"/>
  <c r="T357" i="2"/>
  <c r="R357" i="2"/>
  <c r="I448" i="2"/>
  <c r="H448" i="2"/>
  <c r="J448" i="2" s="1"/>
  <c r="C448" i="2" s="1"/>
  <c r="W4" i="2"/>
  <c r="R4" i="2"/>
  <c r="T4" i="2"/>
  <c r="T238" i="2"/>
  <c r="R238" i="2"/>
  <c r="W238" i="2"/>
  <c r="I40" i="2"/>
  <c r="J40" i="2" s="1"/>
  <c r="H40" i="2"/>
  <c r="X120" i="2"/>
  <c r="A120" i="2"/>
  <c r="V120" i="2"/>
  <c r="AJ120" i="2"/>
  <c r="F120" i="2"/>
  <c r="T162" i="2"/>
  <c r="R162" i="2"/>
  <c r="W162" i="2"/>
  <c r="I42" i="2"/>
  <c r="H42" i="2"/>
  <c r="J42" i="2" s="1"/>
  <c r="C42" i="2" s="1"/>
  <c r="X428" i="2"/>
  <c r="V428" i="2"/>
  <c r="F428" i="2"/>
  <c r="E428" i="2" s="1"/>
  <c r="AJ428" i="2"/>
  <c r="B428" i="2"/>
  <c r="A428" i="2"/>
  <c r="R95" i="2"/>
  <c r="T95" i="2"/>
  <c r="W95" i="2"/>
  <c r="AJ389" i="2"/>
  <c r="B389" i="2"/>
  <c r="A389" i="2"/>
  <c r="X389" i="2"/>
  <c r="V389" i="2"/>
  <c r="F389" i="2"/>
  <c r="E389" i="2" s="1"/>
  <c r="T353" i="2"/>
  <c r="R353" i="2"/>
  <c r="W353" i="2"/>
  <c r="T227" i="2"/>
  <c r="R227" i="2"/>
  <c r="W227" i="2"/>
  <c r="X387" i="2"/>
  <c r="V387" i="2"/>
  <c r="F387" i="2"/>
  <c r="E387" i="2" s="1"/>
  <c r="AJ387" i="2"/>
  <c r="B387" i="2"/>
  <c r="A387" i="2"/>
  <c r="R16" i="2"/>
  <c r="W16" i="2"/>
  <c r="T16" i="2"/>
  <c r="T154" i="2"/>
  <c r="R154" i="2"/>
  <c r="W154" i="2"/>
  <c r="I194" i="2"/>
  <c r="J194" i="2" s="1"/>
  <c r="C194" i="2" s="1"/>
  <c r="H194" i="2"/>
  <c r="W137" i="2"/>
  <c r="T137" i="2"/>
  <c r="R137" i="2" s="1"/>
  <c r="T385" i="2"/>
  <c r="R385" i="2" s="1"/>
  <c r="W385" i="2"/>
  <c r="E46" i="2"/>
  <c r="B46" i="2" s="1"/>
  <c r="X314" i="2"/>
  <c r="V314" i="2"/>
  <c r="F314" i="2"/>
  <c r="AJ314" i="2"/>
  <c r="A314" i="2"/>
  <c r="T97" i="2"/>
  <c r="R97" i="2"/>
  <c r="W97" i="2"/>
  <c r="E423" i="2"/>
  <c r="B423" i="2" s="1"/>
  <c r="I377" i="2"/>
  <c r="H377" i="2"/>
  <c r="J377" i="2" s="1"/>
  <c r="C377" i="2" s="1"/>
  <c r="A317" i="2"/>
  <c r="X317" i="2"/>
  <c r="V317" i="2"/>
  <c r="F317" i="2"/>
  <c r="AJ317" i="2"/>
  <c r="E411" i="2"/>
  <c r="B411" i="2" s="1"/>
  <c r="X308" i="2"/>
  <c r="V308" i="2"/>
  <c r="F308" i="2"/>
  <c r="AJ308" i="2"/>
  <c r="A308" i="2"/>
  <c r="T374" i="2"/>
  <c r="R374" i="2"/>
  <c r="W374" i="2"/>
  <c r="T483" i="2"/>
  <c r="R483" i="2" s="1"/>
  <c r="W483" i="2"/>
  <c r="T253" i="2"/>
  <c r="R253" i="2"/>
  <c r="W253" i="2"/>
  <c r="W72" i="2"/>
  <c r="T72" i="2"/>
  <c r="R72" i="2"/>
  <c r="T351" i="2"/>
  <c r="R351" i="2"/>
  <c r="W351" i="2"/>
  <c r="T149" i="2"/>
  <c r="R149" i="2"/>
  <c r="W149" i="2"/>
  <c r="T424" i="2"/>
  <c r="R424" i="2"/>
  <c r="W424" i="2"/>
  <c r="T100" i="2"/>
  <c r="R100" i="2"/>
  <c r="W100" i="2"/>
  <c r="I103" i="2"/>
  <c r="J103" i="2" s="1"/>
  <c r="C103" i="2" s="1"/>
  <c r="H103" i="2"/>
  <c r="A209" i="2"/>
  <c r="X209" i="2"/>
  <c r="V209" i="2"/>
  <c r="F209" i="2"/>
  <c r="AJ209" i="2"/>
  <c r="A85" i="2"/>
  <c r="X85" i="2"/>
  <c r="V85" i="2" s="1"/>
  <c r="AJ85" i="2"/>
  <c r="F85" i="2"/>
  <c r="V49" i="2"/>
  <c r="A49" i="2"/>
  <c r="AJ49" i="2"/>
  <c r="X49" i="2"/>
  <c r="F49" i="2"/>
  <c r="X235" i="2"/>
  <c r="AJ235" i="2"/>
  <c r="A235" i="2"/>
  <c r="V235" i="2"/>
  <c r="F235" i="2"/>
  <c r="E235" i="2" s="1"/>
  <c r="B235" i="2" s="1"/>
  <c r="I286" i="2"/>
  <c r="J286" i="2" s="1"/>
  <c r="C286" i="2" s="1"/>
  <c r="H286" i="2"/>
  <c r="E371" i="2"/>
  <c r="B371" i="2" s="1"/>
  <c r="E23" i="2"/>
  <c r="B23" i="2" s="1"/>
  <c r="I66" i="2"/>
  <c r="J66" i="2" s="1"/>
  <c r="C66" i="2" s="1"/>
  <c r="H66" i="2"/>
  <c r="X346" i="2"/>
  <c r="V346" i="2"/>
  <c r="F346" i="2"/>
  <c r="E346" i="2" s="1"/>
  <c r="B346" i="2" s="1"/>
  <c r="AJ346" i="2"/>
  <c r="A346" i="2"/>
  <c r="I485" i="2"/>
  <c r="H485" i="2"/>
  <c r="J485" i="2" s="1"/>
  <c r="C485" i="2" s="1"/>
  <c r="T273" i="2"/>
  <c r="R273" i="2"/>
  <c r="W273" i="2"/>
  <c r="E42" i="2"/>
  <c r="B42" i="2" s="1"/>
  <c r="T90" i="2"/>
  <c r="R90" i="2"/>
  <c r="W90" i="2"/>
  <c r="R160" i="2"/>
  <c r="T160" i="2"/>
  <c r="W160" i="2"/>
  <c r="E322" i="2"/>
  <c r="B322" i="2" s="1"/>
  <c r="R414" i="2"/>
  <c r="T414" i="2"/>
  <c r="W414" i="2"/>
  <c r="X225" i="2"/>
  <c r="V225" i="2" s="1"/>
  <c r="A225" i="2"/>
  <c r="AJ225" i="2"/>
  <c r="F225" i="2"/>
  <c r="E274" i="2"/>
  <c r="B274" i="2" s="1"/>
  <c r="T78" i="2"/>
  <c r="R78" i="2"/>
  <c r="W78" i="2"/>
  <c r="AJ359" i="2"/>
  <c r="A359" i="2"/>
  <c r="V359" i="2"/>
  <c r="F359" i="2"/>
  <c r="E359" i="2" s="1"/>
  <c r="B359" i="2" s="1"/>
  <c r="X359" i="2"/>
  <c r="I422" i="2"/>
  <c r="J422" i="2" s="1"/>
  <c r="C422" i="2" s="1"/>
  <c r="H422" i="2"/>
  <c r="X245" i="2"/>
  <c r="V245" i="2"/>
  <c r="F245" i="2"/>
  <c r="E245" i="2" s="1"/>
  <c r="B245" i="2"/>
  <c r="AJ245" i="2"/>
  <c r="A245" i="2"/>
  <c r="E329" i="2"/>
  <c r="B329" i="2" s="1"/>
  <c r="T378" i="2"/>
  <c r="R378" i="2"/>
  <c r="W378" i="2"/>
  <c r="I333" i="2"/>
  <c r="J333" i="2" s="1"/>
  <c r="C333" i="2" s="1"/>
  <c r="H333" i="2"/>
  <c r="E249" i="2"/>
  <c r="B249" i="2" s="1"/>
  <c r="V259" i="2"/>
  <c r="A259" i="2"/>
  <c r="AJ259" i="2"/>
  <c r="F259" i="2"/>
  <c r="X259" i="2"/>
  <c r="E377" i="2"/>
  <c r="B377" i="2" s="1"/>
  <c r="I458" i="2"/>
  <c r="H458" i="2"/>
  <c r="J458" i="2" s="1"/>
  <c r="C458" i="2" s="1"/>
  <c r="T363" i="2"/>
  <c r="R363" i="2"/>
  <c r="W363" i="2"/>
  <c r="T413" i="2"/>
  <c r="R413" i="2"/>
  <c r="W413" i="2"/>
  <c r="E422" i="2"/>
  <c r="B422" i="2" s="1"/>
  <c r="W171" i="2"/>
  <c r="T171" i="2"/>
  <c r="R171" i="2" s="1"/>
  <c r="W277" i="2"/>
  <c r="T277" i="2"/>
  <c r="R277" i="2" s="1"/>
  <c r="W412" i="2"/>
  <c r="T412" i="2"/>
  <c r="R412" i="2"/>
  <c r="X442" i="2"/>
  <c r="V442" i="2"/>
  <c r="F442" i="2"/>
  <c r="AJ442" i="2"/>
  <c r="A442" i="2"/>
  <c r="E333" i="2"/>
  <c r="B333" i="2" s="1"/>
  <c r="X175" i="2"/>
  <c r="V175" i="2"/>
  <c r="F175" i="2"/>
  <c r="E175" i="2" s="1"/>
  <c r="AJ175" i="2"/>
  <c r="B175" i="2"/>
  <c r="A175" i="2"/>
  <c r="T3" i="2"/>
  <c r="W3" i="2"/>
  <c r="R3" i="2"/>
  <c r="R122" i="2"/>
  <c r="W122" i="2"/>
  <c r="T122" i="2"/>
  <c r="I144" i="2"/>
  <c r="J144" i="2" s="1"/>
  <c r="H144" i="2"/>
  <c r="T124" i="2"/>
  <c r="R124" i="2"/>
  <c r="W124" i="2"/>
  <c r="T268" i="2"/>
  <c r="R268" i="2"/>
  <c r="W268" i="2"/>
  <c r="I184" i="2"/>
  <c r="H184" i="2"/>
  <c r="J184" i="2" s="1"/>
  <c r="C184" i="2" s="1"/>
  <c r="I310" i="2"/>
  <c r="J310" i="2" s="1"/>
  <c r="C310" i="2" s="1"/>
  <c r="H310" i="2"/>
  <c r="X161" i="2"/>
  <c r="V161" i="2"/>
  <c r="F161" i="2"/>
  <c r="E161" i="2" s="1"/>
  <c r="AJ161" i="2"/>
  <c r="B161" i="2"/>
  <c r="A161" i="2"/>
  <c r="X26" i="2"/>
  <c r="V26" i="2"/>
  <c r="F26" i="2"/>
  <c r="E26" i="2" s="1"/>
  <c r="B26" i="2"/>
  <c r="A26" i="2"/>
  <c r="AJ26" i="2"/>
  <c r="I290" i="2"/>
  <c r="H290" i="2"/>
  <c r="J290" i="2" s="1"/>
  <c r="C290" i="2" s="1"/>
  <c r="X431" i="2"/>
  <c r="V431" i="2"/>
  <c r="F431" i="2"/>
  <c r="E431" i="2" s="1"/>
  <c r="AJ431" i="2"/>
  <c r="B431" i="2"/>
  <c r="A431" i="2"/>
  <c r="I421" i="2"/>
  <c r="H421" i="2"/>
  <c r="J421" i="2" s="1"/>
  <c r="C421" i="2" s="1"/>
  <c r="I41" i="2"/>
  <c r="J41" i="2" s="1"/>
  <c r="H41" i="2"/>
  <c r="X391" i="2"/>
  <c r="V391" i="2"/>
  <c r="F391" i="2"/>
  <c r="AJ391" i="2"/>
  <c r="A391" i="2"/>
  <c r="H274" i="2"/>
  <c r="I274" i="2"/>
  <c r="J274" i="2" s="1"/>
  <c r="C274" i="2" s="1"/>
  <c r="I10" i="2"/>
  <c r="J10" i="2" s="1"/>
  <c r="C10" i="2" s="1"/>
  <c r="H10" i="2"/>
  <c r="E103" i="2"/>
  <c r="B103" i="2" s="1"/>
  <c r="I165" i="2"/>
  <c r="H165" i="2"/>
  <c r="J165" i="2" s="1"/>
  <c r="C165" i="2" s="1"/>
  <c r="I360" i="2"/>
  <c r="H360" i="2"/>
  <c r="J360" i="2" s="1"/>
  <c r="C360" i="2" s="1"/>
  <c r="A436" i="2"/>
  <c r="X436" i="2"/>
  <c r="AJ436" i="2"/>
  <c r="V436" i="2"/>
  <c r="F436" i="2"/>
  <c r="E436" i="2" s="1"/>
  <c r="B436" i="2" s="1"/>
  <c r="E448" i="2"/>
  <c r="B448" i="2" s="1"/>
  <c r="X176" i="2"/>
  <c r="V176" i="2"/>
  <c r="F176" i="2"/>
  <c r="E176" i="2" s="1"/>
  <c r="B176" i="2" s="1"/>
  <c r="AJ176" i="2"/>
  <c r="A176" i="2"/>
  <c r="X266" i="2"/>
  <c r="V266" i="2"/>
  <c r="F266" i="2"/>
  <c r="E266" i="2" s="1"/>
  <c r="B266" i="2" s="1"/>
  <c r="AJ266" i="2"/>
  <c r="A266" i="2"/>
  <c r="E312" i="2"/>
  <c r="B312" i="2" s="1"/>
  <c r="E310" i="2"/>
  <c r="B310" i="2" s="1"/>
  <c r="V369" i="2"/>
  <c r="F369" i="2"/>
  <c r="AJ369" i="2"/>
  <c r="A369" i="2"/>
  <c r="X369" i="2"/>
  <c r="V164" i="2"/>
  <c r="F164" i="2"/>
  <c r="A164" i="2"/>
  <c r="AJ164" i="2"/>
  <c r="X164" i="2"/>
  <c r="T196" i="2"/>
  <c r="R196" i="2" s="1"/>
  <c r="W196" i="2"/>
  <c r="AJ338" i="2"/>
  <c r="C338" i="2"/>
  <c r="B338" i="2"/>
  <c r="A338" i="2"/>
  <c r="X338" i="2"/>
  <c r="V338" i="2"/>
  <c r="F338" i="2"/>
  <c r="E338" i="2" s="1"/>
  <c r="T488" i="2"/>
  <c r="R488" i="2"/>
  <c r="W488" i="2"/>
  <c r="I234" i="2"/>
  <c r="H234" i="2"/>
  <c r="J234" i="2" s="1"/>
  <c r="C234" i="2" s="1"/>
  <c r="E21" i="2"/>
  <c r="W206" i="2"/>
  <c r="T206" i="2"/>
  <c r="R206" i="2"/>
  <c r="E328" i="2"/>
  <c r="B328" i="2" s="1"/>
  <c r="E474" i="2"/>
  <c r="B474" i="2" s="1"/>
  <c r="T156" i="2"/>
  <c r="R156" i="2" s="1"/>
  <c r="W156" i="2"/>
  <c r="I305" i="2"/>
  <c r="H305" i="2"/>
  <c r="J305" i="2" s="1"/>
  <c r="C305" i="2" s="1"/>
  <c r="X459" i="2"/>
  <c r="V459" i="2"/>
  <c r="F459" i="2"/>
  <c r="AJ459" i="2"/>
  <c r="C459" i="2"/>
  <c r="A459" i="2"/>
  <c r="B459" i="2"/>
  <c r="I441" i="2"/>
  <c r="J441" i="2" s="1"/>
  <c r="C441" i="2" s="1"/>
  <c r="H441" i="2"/>
  <c r="E41" i="2"/>
  <c r="T327" i="2"/>
  <c r="R327" i="2"/>
  <c r="W327" i="2"/>
  <c r="R379" i="2"/>
  <c r="T379" i="2"/>
  <c r="W379" i="2"/>
  <c r="T27" i="2"/>
  <c r="R27" i="2"/>
  <c r="W27" i="2"/>
  <c r="E275" i="2"/>
  <c r="B275" i="2" s="1"/>
  <c r="I292" i="2"/>
  <c r="J292" i="2" s="1"/>
  <c r="C292" i="2" s="1"/>
  <c r="H292" i="2"/>
  <c r="T242" i="2"/>
  <c r="R242" i="2"/>
  <c r="W242" i="2"/>
  <c r="W339" i="2"/>
  <c r="R339" i="2"/>
  <c r="T339" i="2"/>
  <c r="I233" i="2"/>
  <c r="J233" i="2" s="1"/>
  <c r="C233" i="2" s="1"/>
  <c r="H233" i="2"/>
  <c r="X444" i="2"/>
  <c r="V444" i="2"/>
  <c r="F444" i="2"/>
  <c r="AJ444" i="2"/>
  <c r="A444" i="2"/>
  <c r="T62" i="2"/>
  <c r="R62" i="2" s="1"/>
  <c r="W62" i="2"/>
  <c r="I147" i="2"/>
  <c r="H147" i="2"/>
  <c r="J147" i="2" s="1"/>
  <c r="AJ117" i="2"/>
  <c r="F117" i="2"/>
  <c r="X117" i="2"/>
  <c r="V117" i="2"/>
  <c r="A117" i="2"/>
  <c r="E8" i="2"/>
  <c r="B8" i="2" s="1"/>
  <c r="I282" i="2"/>
  <c r="J282" i="2" s="1"/>
  <c r="C282" i="2" s="1"/>
  <c r="H282" i="2"/>
  <c r="I329" i="2"/>
  <c r="J329" i="2" s="1"/>
  <c r="C329" i="2" s="1"/>
  <c r="H329" i="2"/>
  <c r="A193" i="2"/>
  <c r="AJ193" i="2"/>
  <c r="X193" i="2"/>
  <c r="B193" i="2"/>
  <c r="V193" i="2"/>
  <c r="F193" i="2"/>
  <c r="E193" i="2" s="1"/>
  <c r="W471" i="2"/>
  <c r="T471" i="2"/>
  <c r="R471" i="2"/>
  <c r="X241" i="2"/>
  <c r="V241" i="2"/>
  <c r="F241" i="2"/>
  <c r="AJ241" i="2"/>
  <c r="A241" i="2"/>
  <c r="A479" i="2"/>
  <c r="X479" i="2"/>
  <c r="AJ479" i="2"/>
  <c r="C479" i="2"/>
  <c r="B479" i="2"/>
  <c r="V479" i="2"/>
  <c r="F479" i="2"/>
  <c r="E479" i="2" s="1"/>
  <c r="AJ58" i="2"/>
  <c r="A58" i="2"/>
  <c r="X58" i="2"/>
  <c r="V58" i="2"/>
  <c r="F58" i="2"/>
  <c r="I298" i="2"/>
  <c r="H298" i="2"/>
  <c r="J298" i="2" s="1"/>
  <c r="C298" i="2" s="1"/>
  <c r="X309" i="2"/>
  <c r="V309" i="2"/>
  <c r="F309" i="2"/>
  <c r="AJ309" i="2"/>
  <c r="C309" i="2"/>
  <c r="B309" i="2"/>
  <c r="A309" i="2"/>
  <c r="I466" i="2"/>
  <c r="H466" i="2"/>
  <c r="J466" i="2" s="1"/>
  <c r="C466" i="2" s="1"/>
  <c r="T434" i="2"/>
  <c r="R434" i="2"/>
  <c r="W434" i="2"/>
  <c r="A463" i="2"/>
  <c r="X463" i="2"/>
  <c r="AJ463" i="2"/>
  <c r="V463" i="2"/>
  <c r="F463" i="2"/>
  <c r="E463" i="2" s="1"/>
  <c r="B463" i="2" s="1"/>
  <c r="W460" i="2"/>
  <c r="T460" i="2"/>
  <c r="R460" i="2"/>
  <c r="I411" i="2"/>
  <c r="H411" i="2"/>
  <c r="J411" i="2" s="1"/>
  <c r="C411" i="2" s="1"/>
  <c r="T399" i="2"/>
  <c r="R399" i="2"/>
  <c r="W399" i="2"/>
  <c r="S2" i="2"/>
  <c r="P2" i="2"/>
  <c r="AE2" i="2"/>
  <c r="Z2" i="2" s="1"/>
  <c r="D2" i="2" s="1"/>
  <c r="E309" i="2" l="1"/>
  <c r="I479" i="2"/>
  <c r="H479" i="2"/>
  <c r="J479" i="2" s="1"/>
  <c r="X339" i="2"/>
  <c r="V339" i="2"/>
  <c r="F339" i="2"/>
  <c r="AJ339" i="2"/>
  <c r="A339" i="2"/>
  <c r="I338" i="2"/>
  <c r="H338" i="2"/>
  <c r="J338" i="2" s="1"/>
  <c r="E369" i="2"/>
  <c r="B369" i="2" s="1"/>
  <c r="V413" i="2"/>
  <c r="F413" i="2"/>
  <c r="AJ413" i="2"/>
  <c r="A413" i="2"/>
  <c r="X413" i="2"/>
  <c r="AJ424" i="2"/>
  <c r="A424" i="2"/>
  <c r="X424" i="2"/>
  <c r="V424" i="2"/>
  <c r="F424" i="2"/>
  <c r="E424" i="2" s="1"/>
  <c r="B424" i="2" s="1"/>
  <c r="E317" i="2"/>
  <c r="B317" i="2" s="1"/>
  <c r="AJ162" i="2"/>
  <c r="A162" i="2"/>
  <c r="F162" i="2"/>
  <c r="E162" i="2" s="1"/>
  <c r="B162" i="2" s="1"/>
  <c r="V162" i="2"/>
  <c r="X162" i="2"/>
  <c r="I83" i="2"/>
  <c r="H83" i="2"/>
  <c r="J83" i="2" s="1"/>
  <c r="C83" i="2" s="1"/>
  <c r="V207" i="2"/>
  <c r="F207" i="2"/>
  <c r="E207" i="2" s="1"/>
  <c r="B207" i="2" s="1"/>
  <c r="AJ207" i="2"/>
  <c r="A207" i="2"/>
  <c r="X207" i="2"/>
  <c r="E400" i="2"/>
  <c r="B400" i="2" s="1"/>
  <c r="E382" i="2"/>
  <c r="B382" i="2" s="1"/>
  <c r="I355" i="2"/>
  <c r="J355" i="2" s="1"/>
  <c r="C355" i="2" s="1"/>
  <c r="H355" i="2"/>
  <c r="I34" i="2"/>
  <c r="H34" i="2"/>
  <c r="J34" i="2" s="1"/>
  <c r="E159" i="2"/>
  <c r="B159" i="2" s="1"/>
  <c r="X465" i="2"/>
  <c r="V465" i="2"/>
  <c r="F465" i="2"/>
  <c r="AJ465" i="2"/>
  <c r="C465" i="2"/>
  <c r="B465" i="2"/>
  <c r="A465" i="2"/>
  <c r="E316" i="2"/>
  <c r="B316" i="2" s="1"/>
  <c r="X366" i="2"/>
  <c r="AJ366" i="2"/>
  <c r="V366" i="2"/>
  <c r="B366" i="2"/>
  <c r="A366" i="2"/>
  <c r="F366" i="2"/>
  <c r="C366" i="2"/>
  <c r="I276" i="2"/>
  <c r="J276" i="2" s="1"/>
  <c r="C276" i="2" s="1"/>
  <c r="H276" i="2"/>
  <c r="V218" i="2"/>
  <c r="A218" i="2"/>
  <c r="AJ218" i="2"/>
  <c r="F218" i="2"/>
  <c r="E218" i="2" s="1"/>
  <c r="B218" i="2" s="1"/>
  <c r="X218" i="2"/>
  <c r="I296" i="2"/>
  <c r="J296" i="2" s="1"/>
  <c r="C296" i="2" s="1"/>
  <c r="H296" i="2"/>
  <c r="X304" i="2"/>
  <c r="V304" i="2"/>
  <c r="F304" i="2"/>
  <c r="E304" i="2" s="1"/>
  <c r="B304" i="2" s="1"/>
  <c r="AJ304" i="2"/>
  <c r="A304" i="2"/>
  <c r="V111" i="2"/>
  <c r="F111" i="2"/>
  <c r="AJ111" i="2"/>
  <c r="A111" i="2"/>
  <c r="X111" i="2"/>
  <c r="V150" i="2"/>
  <c r="F150" i="2"/>
  <c r="E150" i="2" s="1"/>
  <c r="B150" i="2"/>
  <c r="A150" i="2"/>
  <c r="X150" i="2"/>
  <c r="AJ150" i="2"/>
  <c r="E464" i="2"/>
  <c r="A285" i="2"/>
  <c r="X285" i="2"/>
  <c r="V285" i="2" s="1"/>
  <c r="F285" i="2"/>
  <c r="AJ285" i="2"/>
  <c r="I456" i="2"/>
  <c r="J456" i="2" s="1"/>
  <c r="C456" i="2" s="1"/>
  <c r="H456" i="2"/>
  <c r="E223" i="2"/>
  <c r="B223" i="2" s="1"/>
  <c r="V315" i="2"/>
  <c r="F315" i="2"/>
  <c r="AJ315" i="2"/>
  <c r="A315" i="2"/>
  <c r="X315" i="2"/>
  <c r="AJ299" i="2"/>
  <c r="A299" i="2"/>
  <c r="X299" i="2"/>
  <c r="V299" i="2"/>
  <c r="F299" i="2"/>
  <c r="E299" i="2" s="1"/>
  <c r="B299" i="2"/>
  <c r="X240" i="2"/>
  <c r="V240" i="2"/>
  <c r="F240" i="2"/>
  <c r="E240" i="2" s="1"/>
  <c r="B240" i="2" s="1"/>
  <c r="A240" i="2"/>
  <c r="AJ240" i="2"/>
  <c r="I195" i="2"/>
  <c r="H195" i="2"/>
  <c r="J195" i="2" s="1"/>
  <c r="C195" i="2" s="1"/>
  <c r="A64" i="2"/>
  <c r="X64" i="2"/>
  <c r="AJ64" i="2"/>
  <c r="V64" i="2"/>
  <c r="F64" i="2"/>
  <c r="E64" i="2" s="1"/>
  <c r="B64" i="2"/>
  <c r="X122" i="2"/>
  <c r="V122" i="2"/>
  <c r="F122" i="2"/>
  <c r="E122" i="2" s="1"/>
  <c r="B122" i="2" s="1"/>
  <c r="AJ122" i="2"/>
  <c r="A122" i="2"/>
  <c r="I442" i="2"/>
  <c r="H442" i="2"/>
  <c r="J442" i="2" s="1"/>
  <c r="C442" i="2" s="1"/>
  <c r="AJ414" i="2"/>
  <c r="A414" i="2"/>
  <c r="V414" i="2"/>
  <c r="F414" i="2"/>
  <c r="E414" i="2" s="1"/>
  <c r="B414" i="2" s="1"/>
  <c r="X414" i="2"/>
  <c r="V374" i="2"/>
  <c r="F374" i="2"/>
  <c r="E374" i="2" s="1"/>
  <c r="B374" i="2"/>
  <c r="X374" i="2"/>
  <c r="AJ374" i="2"/>
  <c r="A374" i="2"/>
  <c r="X385" i="2"/>
  <c r="V385" i="2"/>
  <c r="F385" i="2"/>
  <c r="AJ385" i="2"/>
  <c r="A385" i="2"/>
  <c r="X48" i="2"/>
  <c r="AJ48" i="2"/>
  <c r="F48" i="2"/>
  <c r="A48" i="2"/>
  <c r="V48" i="2"/>
  <c r="E188" i="2"/>
  <c r="B188" i="2" s="1"/>
  <c r="I388" i="2"/>
  <c r="H388" i="2"/>
  <c r="J388" i="2" s="1"/>
  <c r="C388" i="2" s="1"/>
  <c r="I397" i="2"/>
  <c r="H397" i="2"/>
  <c r="J397" i="2" s="1"/>
  <c r="I74" i="2"/>
  <c r="J74" i="2" s="1"/>
  <c r="C74" i="2" s="1"/>
  <c r="H74" i="2"/>
  <c r="A452" i="2"/>
  <c r="X452" i="2"/>
  <c r="V452" i="2"/>
  <c r="F452" i="2"/>
  <c r="E452" i="2" s="1"/>
  <c r="B452" i="2" s="1"/>
  <c r="AJ452" i="2"/>
  <c r="E168" i="2"/>
  <c r="B168" i="2" s="1"/>
  <c r="V393" i="2"/>
  <c r="F393" i="2"/>
  <c r="AJ393" i="2"/>
  <c r="A393" i="2"/>
  <c r="X393" i="2"/>
  <c r="E407" i="2"/>
  <c r="B407" i="2" s="1"/>
  <c r="E91" i="2"/>
  <c r="B91" i="2" s="1"/>
  <c r="H9" i="2"/>
  <c r="I9" i="2"/>
  <c r="J9" i="2" s="1"/>
  <c r="C9" i="2" s="1"/>
  <c r="X155" i="2"/>
  <c r="F155" i="2"/>
  <c r="E155" i="2" s="1"/>
  <c r="B155" i="2"/>
  <c r="A155" i="2"/>
  <c r="AJ155" i="2"/>
  <c r="V155" i="2"/>
  <c r="I354" i="2"/>
  <c r="H354" i="2"/>
  <c r="J354" i="2" s="1"/>
  <c r="C354" i="2" s="1"/>
  <c r="I406" i="2"/>
  <c r="J406" i="2" s="1"/>
  <c r="C406" i="2" s="1"/>
  <c r="H406" i="2"/>
  <c r="E145" i="2"/>
  <c r="AJ197" i="2"/>
  <c r="X197" i="2"/>
  <c r="V197" i="2"/>
  <c r="F197" i="2"/>
  <c r="E197" i="2" s="1"/>
  <c r="B197" i="2" s="1"/>
  <c r="A197" i="2"/>
  <c r="E364" i="2"/>
  <c r="B364" i="2" s="1"/>
  <c r="AJ44" i="2"/>
  <c r="A44" i="2"/>
  <c r="V44" i="2"/>
  <c r="F44" i="2"/>
  <c r="E44" i="2" s="1"/>
  <c r="B44" i="2" s="1"/>
  <c r="X44" i="2"/>
  <c r="I317" i="2"/>
  <c r="H317" i="2"/>
  <c r="J317" i="2" s="1"/>
  <c r="C317" i="2" s="1"/>
  <c r="X196" i="2"/>
  <c r="V196" i="2"/>
  <c r="F196" i="2"/>
  <c r="E196" i="2" s="1"/>
  <c r="AJ196" i="2"/>
  <c r="B196" i="2"/>
  <c r="A196" i="2"/>
  <c r="V461" i="2"/>
  <c r="F461" i="2"/>
  <c r="E461" i="2" s="1"/>
  <c r="B461" i="2" s="1"/>
  <c r="AJ461" i="2"/>
  <c r="A461" i="2"/>
  <c r="X461" i="2"/>
  <c r="V62" i="2"/>
  <c r="F62" i="2"/>
  <c r="E62" i="2" s="1"/>
  <c r="AJ62" i="2"/>
  <c r="B62" i="2"/>
  <c r="A62" i="2"/>
  <c r="X62" i="2"/>
  <c r="X206" i="2"/>
  <c r="V206" i="2"/>
  <c r="F206" i="2"/>
  <c r="AJ206" i="2"/>
  <c r="C206" i="2"/>
  <c r="A206" i="2"/>
  <c r="B206" i="2"/>
  <c r="E442" i="2"/>
  <c r="B442" i="2" s="1"/>
  <c r="X363" i="2"/>
  <c r="V363" i="2"/>
  <c r="F363" i="2"/>
  <c r="E363" i="2" s="1"/>
  <c r="B363" i="2" s="1"/>
  <c r="AJ363" i="2"/>
  <c r="A363" i="2"/>
  <c r="AJ378" i="2"/>
  <c r="C378" i="2"/>
  <c r="B378" i="2"/>
  <c r="A378" i="2"/>
  <c r="X378" i="2"/>
  <c r="V378" i="2"/>
  <c r="F378" i="2"/>
  <c r="E378" i="2" s="1"/>
  <c r="AJ149" i="2"/>
  <c r="A149" i="2"/>
  <c r="F149" i="2"/>
  <c r="E149" i="2" s="1"/>
  <c r="B149" i="2" s="1"/>
  <c r="X149" i="2"/>
  <c r="V149" i="2"/>
  <c r="I387" i="2"/>
  <c r="J387" i="2" s="1"/>
  <c r="C387" i="2" s="1"/>
  <c r="H387" i="2"/>
  <c r="I389" i="2"/>
  <c r="J389" i="2" s="1"/>
  <c r="C389" i="2" s="1"/>
  <c r="H389" i="2"/>
  <c r="AJ203" i="2"/>
  <c r="A203" i="2"/>
  <c r="F203" i="2"/>
  <c r="X203" i="2"/>
  <c r="V203" i="2"/>
  <c r="E388" i="2"/>
  <c r="B388" i="2" s="1"/>
  <c r="E397" i="2"/>
  <c r="E32" i="2"/>
  <c r="B32" i="2" s="1"/>
  <c r="E119" i="2"/>
  <c r="B119" i="2" s="1"/>
  <c r="I356" i="2"/>
  <c r="H356" i="2"/>
  <c r="J356" i="2" s="1"/>
  <c r="I244" i="2"/>
  <c r="H244" i="2"/>
  <c r="J244" i="2" s="1"/>
  <c r="C244" i="2" s="1"/>
  <c r="E261" i="2"/>
  <c r="B261" i="2" s="1"/>
  <c r="I200" i="2"/>
  <c r="J200" i="2" s="1"/>
  <c r="H200" i="2"/>
  <c r="A367" i="2"/>
  <c r="F367" i="2"/>
  <c r="X367" i="2"/>
  <c r="V367" i="2"/>
  <c r="AJ367" i="2"/>
  <c r="I19" i="2"/>
  <c r="J19" i="2" s="1"/>
  <c r="H19" i="2"/>
  <c r="I232" i="2"/>
  <c r="H232" i="2"/>
  <c r="J232" i="2" s="1"/>
  <c r="I126" i="2"/>
  <c r="H126" i="2"/>
  <c r="J126" i="2" s="1"/>
  <c r="C126" i="2" s="1"/>
  <c r="I451" i="2"/>
  <c r="H451" i="2"/>
  <c r="J451" i="2" s="1"/>
  <c r="AJ107" i="2"/>
  <c r="C107" i="2"/>
  <c r="B107" i="2"/>
  <c r="A107" i="2"/>
  <c r="V107" i="2"/>
  <c r="F107" i="2"/>
  <c r="E107" i="2" s="1"/>
  <c r="X107" i="2"/>
  <c r="E105" i="2"/>
  <c r="V202" i="2"/>
  <c r="F202" i="2"/>
  <c r="AJ202" i="2"/>
  <c r="A202" i="2"/>
  <c r="X202" i="2"/>
  <c r="I361" i="2"/>
  <c r="J361" i="2" s="1"/>
  <c r="C361" i="2" s="1"/>
  <c r="H361" i="2"/>
  <c r="E222" i="2"/>
  <c r="B222" i="2" s="1"/>
  <c r="I246" i="2"/>
  <c r="J246" i="2" s="1"/>
  <c r="C246" i="2" s="1"/>
  <c r="H246" i="2"/>
  <c r="E98" i="2"/>
  <c r="B98" i="2" s="1"/>
  <c r="I210" i="2"/>
  <c r="H210" i="2"/>
  <c r="J210" i="2" s="1"/>
  <c r="C210" i="2" s="1"/>
  <c r="I223" i="2"/>
  <c r="H223" i="2"/>
  <c r="J223" i="2" s="1"/>
  <c r="C223" i="2" s="1"/>
  <c r="V472" i="2"/>
  <c r="F472" i="2"/>
  <c r="E472" i="2" s="1"/>
  <c r="AJ472" i="2"/>
  <c r="B472" i="2"/>
  <c r="A472" i="2"/>
  <c r="X472" i="2"/>
  <c r="X288" i="2"/>
  <c r="V288" i="2"/>
  <c r="F288" i="2"/>
  <c r="AJ288" i="2"/>
  <c r="A288" i="2"/>
  <c r="A447" i="2"/>
  <c r="AJ447" i="2"/>
  <c r="X447" i="2"/>
  <c r="V447" i="2"/>
  <c r="F447" i="2"/>
  <c r="I394" i="2"/>
  <c r="H394" i="2"/>
  <c r="J394" i="2" s="1"/>
  <c r="C394" i="2" s="1"/>
  <c r="V243" i="2"/>
  <c r="F243" i="2"/>
  <c r="E243" i="2" s="1"/>
  <c r="B243" i="2" s="1"/>
  <c r="AJ243" i="2"/>
  <c r="A243" i="2"/>
  <c r="X243" i="2"/>
  <c r="I193" i="2"/>
  <c r="J193" i="2" s="1"/>
  <c r="C193" i="2" s="1"/>
  <c r="H193" i="2"/>
  <c r="I235" i="2"/>
  <c r="J235" i="2" s="1"/>
  <c r="C235" i="2" s="1"/>
  <c r="H235" i="2"/>
  <c r="V95" i="2"/>
  <c r="F95" i="2"/>
  <c r="AJ95" i="2"/>
  <c r="A95" i="2"/>
  <c r="X95" i="2"/>
  <c r="E120" i="2"/>
  <c r="B120" i="2" s="1"/>
  <c r="X43" i="2"/>
  <c r="V43" i="2"/>
  <c r="F43" i="2"/>
  <c r="E43" i="2" s="1"/>
  <c r="AJ43" i="2"/>
  <c r="C43" i="2"/>
  <c r="B43" i="2"/>
  <c r="A43" i="2"/>
  <c r="X392" i="2"/>
  <c r="V392" i="2"/>
  <c r="F392" i="2"/>
  <c r="AJ392" i="2"/>
  <c r="A392" i="2"/>
  <c r="B228" i="2"/>
  <c r="A228" i="2"/>
  <c r="F228" i="2"/>
  <c r="X228" i="2"/>
  <c r="C228" i="2"/>
  <c r="V228" i="2"/>
  <c r="AJ228" i="2"/>
  <c r="V134" i="2"/>
  <c r="F134" i="2"/>
  <c r="A134" i="2"/>
  <c r="X134" i="2"/>
  <c r="AJ134" i="2"/>
  <c r="I113" i="2"/>
  <c r="H113" i="2"/>
  <c r="J113" i="2" s="1"/>
  <c r="C113" i="2" s="1"/>
  <c r="E135" i="2"/>
  <c r="B135" i="2" s="1"/>
  <c r="V358" i="2"/>
  <c r="F358" i="2"/>
  <c r="AJ358" i="2"/>
  <c r="C358" i="2"/>
  <c r="B358" i="2"/>
  <c r="A358" i="2"/>
  <c r="X358" i="2"/>
  <c r="X237" i="2"/>
  <c r="V237" i="2"/>
  <c r="F237" i="2"/>
  <c r="E237" i="2" s="1"/>
  <c r="AJ237" i="2"/>
  <c r="B237" i="2"/>
  <c r="A237" i="2"/>
  <c r="B468" i="2"/>
  <c r="A468" i="2"/>
  <c r="X468" i="2"/>
  <c r="V468" i="2"/>
  <c r="F468" i="2"/>
  <c r="E468" i="2" s="1"/>
  <c r="AJ468" i="2"/>
  <c r="E246" i="2"/>
  <c r="B246" i="2" s="1"/>
  <c r="I98" i="2"/>
  <c r="H98" i="2"/>
  <c r="J98" i="2" s="1"/>
  <c r="C98" i="2" s="1"/>
  <c r="I85" i="2"/>
  <c r="J85" i="2" s="1"/>
  <c r="C85" i="2" s="1"/>
  <c r="H85" i="2"/>
  <c r="X231" i="2"/>
  <c r="V231" i="2"/>
  <c r="F231" i="2"/>
  <c r="E231" i="2" s="1"/>
  <c r="B231" i="2" s="1"/>
  <c r="A231" i="2"/>
  <c r="AJ231" i="2"/>
  <c r="X260" i="2"/>
  <c r="V260" i="2"/>
  <c r="F260" i="2"/>
  <c r="E260" i="2" s="1"/>
  <c r="B260" i="2" s="1"/>
  <c r="A260" i="2"/>
  <c r="AJ260" i="2"/>
  <c r="I401" i="2"/>
  <c r="H401" i="2"/>
  <c r="J401" i="2" s="1"/>
  <c r="C401" i="2" s="1"/>
  <c r="I161" i="2"/>
  <c r="J161" i="2" s="1"/>
  <c r="C161" i="2" s="1"/>
  <c r="H161" i="2"/>
  <c r="H446" i="2"/>
  <c r="J446" i="2" s="1"/>
  <c r="C446" i="2" s="1"/>
  <c r="I446" i="2"/>
  <c r="X469" i="2"/>
  <c r="V469" i="2"/>
  <c r="F469" i="2"/>
  <c r="AJ469" i="2"/>
  <c r="A469" i="2"/>
  <c r="X271" i="2"/>
  <c r="AJ271" i="2"/>
  <c r="A271" i="2"/>
  <c r="V271" i="2"/>
  <c r="F271" i="2"/>
  <c r="E271" i="2" s="1"/>
  <c r="B271" i="2" s="1"/>
  <c r="I463" i="2"/>
  <c r="H463" i="2"/>
  <c r="J463" i="2" s="1"/>
  <c r="C463" i="2" s="1"/>
  <c r="E58" i="2"/>
  <c r="B58" i="2" s="1"/>
  <c r="X3" i="2"/>
  <c r="V3" i="2" s="1"/>
  <c r="AJ3" i="2"/>
  <c r="F3" i="2"/>
  <c r="A3" i="2"/>
  <c r="I346" i="2"/>
  <c r="J346" i="2" s="1"/>
  <c r="C346" i="2" s="1"/>
  <c r="H346" i="2"/>
  <c r="H120" i="2"/>
  <c r="J120" i="2" s="1"/>
  <c r="C120" i="2" s="1"/>
  <c r="I120" i="2"/>
  <c r="I427" i="2"/>
  <c r="J427" i="2" s="1"/>
  <c r="C427" i="2" s="1"/>
  <c r="H427" i="2"/>
  <c r="I114" i="2"/>
  <c r="H114" i="2"/>
  <c r="J114" i="2" s="1"/>
  <c r="V213" i="2"/>
  <c r="AJ213" i="2"/>
  <c r="A213" i="2"/>
  <c r="X213" i="2"/>
  <c r="F213" i="2"/>
  <c r="E213" i="2" s="1"/>
  <c r="B213" i="2" s="1"/>
  <c r="AJ108" i="2"/>
  <c r="F108" i="2"/>
  <c r="A108" i="2"/>
  <c r="X108" i="2"/>
  <c r="V108" i="2"/>
  <c r="B484" i="2"/>
  <c r="A484" i="2"/>
  <c r="X484" i="2"/>
  <c r="V484" i="2"/>
  <c r="F484" i="2"/>
  <c r="C484" i="2"/>
  <c r="AJ484" i="2"/>
  <c r="I163" i="2"/>
  <c r="H163" i="2"/>
  <c r="J163" i="2" s="1"/>
  <c r="C163" i="2" s="1"/>
  <c r="I407" i="2"/>
  <c r="H407" i="2"/>
  <c r="J407" i="2" s="1"/>
  <c r="C407" i="2" s="1"/>
  <c r="A349" i="2"/>
  <c r="X349" i="2"/>
  <c r="F349" i="2"/>
  <c r="AJ349" i="2"/>
  <c r="V349" i="2"/>
  <c r="I91" i="2"/>
  <c r="J91" i="2" s="1"/>
  <c r="C91" i="2" s="1"/>
  <c r="H91" i="2"/>
  <c r="I261" i="2"/>
  <c r="J261" i="2" s="1"/>
  <c r="C261" i="2" s="1"/>
  <c r="H261" i="2"/>
  <c r="I316" i="2"/>
  <c r="J316" i="2" s="1"/>
  <c r="C316" i="2" s="1"/>
  <c r="H316" i="2"/>
  <c r="E19" i="2"/>
  <c r="B45" i="2"/>
  <c r="A45" i="2"/>
  <c r="X45" i="2"/>
  <c r="F45" i="2"/>
  <c r="AJ45" i="2"/>
  <c r="C45" i="2"/>
  <c r="V45" i="2"/>
  <c r="E146" i="2"/>
  <c r="B146" i="2" s="1"/>
  <c r="X138" i="2"/>
  <c r="V138" i="2"/>
  <c r="F138" i="2"/>
  <c r="E138" i="2" s="1"/>
  <c r="B138" i="2" s="1"/>
  <c r="AJ138" i="2"/>
  <c r="A138" i="2"/>
  <c r="X450" i="2"/>
  <c r="V450" i="2"/>
  <c r="F450" i="2"/>
  <c r="E450" i="2" s="1"/>
  <c r="AJ450" i="2"/>
  <c r="C450" i="2"/>
  <c r="B450" i="2"/>
  <c r="A450" i="2"/>
  <c r="E296" i="2"/>
  <c r="B296" i="2" s="1"/>
  <c r="E264" i="2"/>
  <c r="B264" i="2" s="1"/>
  <c r="I145" i="2"/>
  <c r="J145" i="2" s="1"/>
  <c r="H145" i="2"/>
  <c r="I319" i="2"/>
  <c r="J319" i="2" s="1"/>
  <c r="H319" i="2"/>
  <c r="I279" i="2"/>
  <c r="J279" i="2" s="1"/>
  <c r="C279" i="2" s="1"/>
  <c r="H279" i="2"/>
  <c r="E199" i="2"/>
  <c r="B199" i="2" s="1"/>
  <c r="I420" i="2"/>
  <c r="J420" i="2" s="1"/>
  <c r="C420" i="2" s="1"/>
  <c r="H420" i="2"/>
  <c r="X352" i="2"/>
  <c r="V352" i="2"/>
  <c r="F352" i="2"/>
  <c r="E352" i="2" s="1"/>
  <c r="AJ352" i="2"/>
  <c r="B352" i="2"/>
  <c r="A352" i="2"/>
  <c r="AJ332" i="2"/>
  <c r="A332" i="2"/>
  <c r="X332" i="2"/>
  <c r="V332" i="2"/>
  <c r="F332" i="2"/>
  <c r="E332" i="2" s="1"/>
  <c r="B332" i="2"/>
  <c r="I400" i="2"/>
  <c r="H400" i="2"/>
  <c r="J400" i="2" s="1"/>
  <c r="C400" i="2" s="1"/>
  <c r="I431" i="2"/>
  <c r="H431" i="2"/>
  <c r="J431" i="2" s="1"/>
  <c r="C431" i="2" s="1"/>
  <c r="I391" i="2"/>
  <c r="H391" i="2"/>
  <c r="J391" i="2" s="1"/>
  <c r="C391" i="2" s="1"/>
  <c r="I359" i="2"/>
  <c r="J359" i="2" s="1"/>
  <c r="C359" i="2" s="1"/>
  <c r="H359" i="2"/>
  <c r="V160" i="2"/>
  <c r="F160" i="2"/>
  <c r="E160" i="2" s="1"/>
  <c r="B160" i="2" s="1"/>
  <c r="A160" i="2"/>
  <c r="X160" i="2"/>
  <c r="AJ160" i="2"/>
  <c r="I209" i="2"/>
  <c r="H209" i="2"/>
  <c r="J209" i="2" s="1"/>
  <c r="C209" i="2" s="1"/>
  <c r="X351" i="2"/>
  <c r="V351" i="2"/>
  <c r="F351" i="2"/>
  <c r="AJ351" i="2"/>
  <c r="A351" i="2"/>
  <c r="X357" i="2"/>
  <c r="V357" i="2"/>
  <c r="F357" i="2"/>
  <c r="AJ357" i="2"/>
  <c r="A357" i="2"/>
  <c r="I454" i="2"/>
  <c r="H454" i="2"/>
  <c r="J454" i="2" s="1"/>
  <c r="I204" i="2"/>
  <c r="J204" i="2" s="1"/>
  <c r="C204" i="2" s="1"/>
  <c r="H204" i="2"/>
  <c r="I119" i="2"/>
  <c r="H119" i="2"/>
  <c r="J119" i="2" s="1"/>
  <c r="C119" i="2" s="1"/>
  <c r="X182" i="2"/>
  <c r="V182" i="2"/>
  <c r="F182" i="2"/>
  <c r="E182" i="2" s="1"/>
  <c r="B182" i="2" s="1"/>
  <c r="AJ182" i="2"/>
  <c r="A182" i="2"/>
  <c r="I380" i="2"/>
  <c r="H380" i="2"/>
  <c r="J380" i="2" s="1"/>
  <c r="C380" i="2" s="1"/>
  <c r="I256" i="2"/>
  <c r="H256" i="2"/>
  <c r="J256" i="2" s="1"/>
  <c r="C256" i="2" s="1"/>
  <c r="I146" i="2"/>
  <c r="H146" i="2"/>
  <c r="J146" i="2" s="1"/>
  <c r="C146" i="2" s="1"/>
  <c r="I36" i="2"/>
  <c r="H36" i="2"/>
  <c r="J36" i="2" s="1"/>
  <c r="C36" i="2" s="1"/>
  <c r="I105" i="2"/>
  <c r="J105" i="2" s="1"/>
  <c r="H105" i="2"/>
  <c r="AJ348" i="2"/>
  <c r="C348" i="2"/>
  <c r="B348" i="2"/>
  <c r="A348" i="2"/>
  <c r="V348" i="2"/>
  <c r="F348" i="2"/>
  <c r="E348" i="2" s="1"/>
  <c r="X348" i="2"/>
  <c r="A404" i="2"/>
  <c r="X404" i="2"/>
  <c r="AJ404" i="2"/>
  <c r="F404" i="2"/>
  <c r="V404" i="2"/>
  <c r="I199" i="2"/>
  <c r="H199" i="2"/>
  <c r="J199" i="2" s="1"/>
  <c r="C199" i="2" s="1"/>
  <c r="I364" i="2"/>
  <c r="H364" i="2"/>
  <c r="J364" i="2" s="1"/>
  <c r="C364" i="2" s="1"/>
  <c r="I318" i="2"/>
  <c r="H318" i="2"/>
  <c r="J318" i="2" s="1"/>
  <c r="C318" i="2" s="1"/>
  <c r="AJ101" i="2"/>
  <c r="A101" i="2"/>
  <c r="F101" i="2"/>
  <c r="X101" i="2"/>
  <c r="V101" i="2"/>
  <c r="I55" i="2"/>
  <c r="H55" i="2"/>
  <c r="J55" i="2" s="1"/>
  <c r="C55" i="2" s="1"/>
  <c r="X106" i="2"/>
  <c r="V106" i="2"/>
  <c r="F106" i="2"/>
  <c r="E106" i="2" s="1"/>
  <c r="B106" i="2" s="1"/>
  <c r="A106" i="2"/>
  <c r="AJ106" i="2"/>
  <c r="I382" i="2"/>
  <c r="J382" i="2" s="1"/>
  <c r="C382" i="2" s="1"/>
  <c r="H382" i="2"/>
  <c r="V429" i="2"/>
  <c r="F429" i="2"/>
  <c r="E429" i="2" s="1"/>
  <c r="AJ429" i="2"/>
  <c r="C429" i="2"/>
  <c r="B429" i="2"/>
  <c r="A429" i="2"/>
  <c r="X429" i="2"/>
  <c r="V297" i="2"/>
  <c r="AJ297" i="2"/>
  <c r="F297" i="2"/>
  <c r="E297" i="2" s="1"/>
  <c r="B297" i="2"/>
  <c r="A297" i="2"/>
  <c r="X297" i="2"/>
  <c r="AJ151" i="2"/>
  <c r="A151" i="2"/>
  <c r="F151" i="2"/>
  <c r="X151" i="2"/>
  <c r="V151" i="2"/>
  <c r="I325" i="2"/>
  <c r="J325" i="2" s="1"/>
  <c r="C325" i="2" s="1"/>
  <c r="H325" i="2"/>
  <c r="I241" i="2"/>
  <c r="H241" i="2"/>
  <c r="J241" i="2" s="1"/>
  <c r="C241" i="2" s="1"/>
  <c r="I459" i="2"/>
  <c r="H459" i="2"/>
  <c r="J459" i="2" s="1"/>
  <c r="V434" i="2"/>
  <c r="F434" i="2"/>
  <c r="E434" i="2" s="1"/>
  <c r="AJ434" i="2"/>
  <c r="B434" i="2"/>
  <c r="A434" i="2"/>
  <c r="X434" i="2"/>
  <c r="E241" i="2"/>
  <c r="B241" i="2" s="1"/>
  <c r="X27" i="2"/>
  <c r="AJ27" i="2"/>
  <c r="A27" i="2"/>
  <c r="V27" i="2"/>
  <c r="F27" i="2"/>
  <c r="E27" i="2" s="1"/>
  <c r="B27" i="2"/>
  <c r="E459" i="2"/>
  <c r="V488" i="2"/>
  <c r="F488" i="2"/>
  <c r="E488" i="2" s="1"/>
  <c r="AJ488" i="2"/>
  <c r="B488" i="2"/>
  <c r="A488" i="2"/>
  <c r="X488" i="2"/>
  <c r="I164" i="2"/>
  <c r="H164" i="2"/>
  <c r="J164" i="2" s="1"/>
  <c r="C164" i="2" s="1"/>
  <c r="I266" i="2"/>
  <c r="H266" i="2"/>
  <c r="J266" i="2" s="1"/>
  <c r="C266" i="2" s="1"/>
  <c r="I436" i="2"/>
  <c r="J436" i="2" s="1"/>
  <c r="C436" i="2" s="1"/>
  <c r="H436" i="2"/>
  <c r="E391" i="2"/>
  <c r="B391" i="2" s="1"/>
  <c r="V78" i="2"/>
  <c r="F78" i="2"/>
  <c r="AJ78" i="2"/>
  <c r="A78" i="2"/>
  <c r="X78" i="2"/>
  <c r="E49" i="2"/>
  <c r="B49" i="2" s="1"/>
  <c r="E209" i="2"/>
  <c r="B209" i="2" s="1"/>
  <c r="A97" i="2"/>
  <c r="F97" i="2"/>
  <c r="X97" i="2"/>
  <c r="V97" i="2"/>
  <c r="AJ97" i="2"/>
  <c r="X137" i="2"/>
  <c r="V137" i="2" s="1"/>
  <c r="F137" i="2"/>
  <c r="AJ137" i="2"/>
  <c r="A137" i="2"/>
  <c r="AJ227" i="2"/>
  <c r="C227" i="2"/>
  <c r="B227" i="2"/>
  <c r="X227" i="2"/>
  <c r="F227" i="2"/>
  <c r="A227" i="2"/>
  <c r="V227" i="2"/>
  <c r="I251" i="2"/>
  <c r="J251" i="2" s="1"/>
  <c r="C251" i="2" s="1"/>
  <c r="H251" i="2"/>
  <c r="V337" i="2"/>
  <c r="F337" i="2"/>
  <c r="AJ337" i="2"/>
  <c r="A337" i="2"/>
  <c r="X337" i="2"/>
  <c r="X166" i="2"/>
  <c r="V166" i="2"/>
  <c r="F166" i="2"/>
  <c r="E166" i="2" s="1"/>
  <c r="AJ166" i="2"/>
  <c r="A166" i="2"/>
  <c r="B166" i="2"/>
  <c r="E454" i="2"/>
  <c r="V405" i="2"/>
  <c r="A405" i="2"/>
  <c r="AJ405" i="2"/>
  <c r="F405" i="2"/>
  <c r="E405" i="2" s="1"/>
  <c r="B405" i="2" s="1"/>
  <c r="X405" i="2"/>
  <c r="I168" i="2"/>
  <c r="H168" i="2"/>
  <c r="J168" i="2" s="1"/>
  <c r="C168" i="2" s="1"/>
  <c r="I230" i="2"/>
  <c r="H230" i="2"/>
  <c r="J230" i="2" s="1"/>
  <c r="C230" i="2" s="1"/>
  <c r="V172" i="2"/>
  <c r="F172" i="2"/>
  <c r="E172" i="2" s="1"/>
  <c r="B172" i="2" s="1"/>
  <c r="AJ172" i="2"/>
  <c r="A172" i="2"/>
  <c r="X172" i="2"/>
  <c r="V140" i="2"/>
  <c r="F140" i="2"/>
  <c r="E140" i="2" s="1"/>
  <c r="B140" i="2" s="1"/>
  <c r="AJ140" i="2"/>
  <c r="A140" i="2"/>
  <c r="X140" i="2"/>
  <c r="E380" i="2"/>
  <c r="B380" i="2" s="1"/>
  <c r="X449" i="2"/>
  <c r="V449" i="2"/>
  <c r="F449" i="2"/>
  <c r="E449" i="2" s="1"/>
  <c r="B449" i="2" s="1"/>
  <c r="AJ449" i="2"/>
  <c r="A449" i="2"/>
  <c r="X201" i="2"/>
  <c r="V201" i="2"/>
  <c r="F201" i="2"/>
  <c r="E201" i="2" s="1"/>
  <c r="AJ201" i="2"/>
  <c r="C201" i="2"/>
  <c r="B201" i="2"/>
  <c r="A201" i="2"/>
  <c r="I25" i="2"/>
  <c r="H25" i="2"/>
  <c r="J25" i="2" s="1"/>
  <c r="C25" i="2" s="1"/>
  <c r="V330" i="2"/>
  <c r="F330" i="2"/>
  <c r="E330" i="2" s="1"/>
  <c r="B330" i="2" s="1"/>
  <c r="A330" i="2"/>
  <c r="X330" i="2"/>
  <c r="AJ330" i="2"/>
  <c r="AJ489" i="2"/>
  <c r="A489" i="2"/>
  <c r="V489" i="2"/>
  <c r="F489" i="2"/>
  <c r="X489" i="2"/>
  <c r="I313" i="2"/>
  <c r="J313" i="2" s="1"/>
  <c r="C313" i="2" s="1"/>
  <c r="H313" i="2"/>
  <c r="E36" i="2"/>
  <c r="B36" i="2" s="1"/>
  <c r="I135" i="2"/>
  <c r="J135" i="2" s="1"/>
  <c r="C135" i="2" s="1"/>
  <c r="H135" i="2"/>
  <c r="E406" i="2"/>
  <c r="B406" i="2" s="1"/>
  <c r="V191" i="2"/>
  <c r="F191" i="2"/>
  <c r="A191" i="2"/>
  <c r="C191" i="2"/>
  <c r="X191" i="2"/>
  <c r="B191" i="2"/>
  <c r="AJ191" i="2"/>
  <c r="I79" i="2"/>
  <c r="H79" i="2"/>
  <c r="J79" i="2" s="1"/>
  <c r="X30" i="2"/>
  <c r="V30" i="2"/>
  <c r="F30" i="2"/>
  <c r="E30" i="2" s="1"/>
  <c r="A30" i="2"/>
  <c r="B30" i="2"/>
  <c r="AJ30" i="2"/>
  <c r="I222" i="2"/>
  <c r="J222" i="2" s="1"/>
  <c r="C222" i="2" s="1"/>
  <c r="H222" i="2"/>
  <c r="V219" i="2"/>
  <c r="C219" i="2"/>
  <c r="B219" i="2"/>
  <c r="A219" i="2"/>
  <c r="AJ219" i="2"/>
  <c r="F219" i="2"/>
  <c r="E219" i="2" s="1"/>
  <c r="X219" i="2"/>
  <c r="X460" i="2"/>
  <c r="V460" i="2"/>
  <c r="F460" i="2"/>
  <c r="E460" i="2" s="1"/>
  <c r="AJ460" i="2"/>
  <c r="B460" i="2"/>
  <c r="A460" i="2"/>
  <c r="AJ399" i="2"/>
  <c r="A399" i="2"/>
  <c r="X399" i="2"/>
  <c r="V399" i="2"/>
  <c r="F399" i="2"/>
  <c r="E399" i="2" s="1"/>
  <c r="B399" i="2" s="1"/>
  <c r="I26" i="2"/>
  <c r="J26" i="2" s="1"/>
  <c r="C26" i="2" s="1"/>
  <c r="H26" i="2"/>
  <c r="I308" i="2"/>
  <c r="J308" i="2" s="1"/>
  <c r="C308" i="2" s="1"/>
  <c r="H308" i="2"/>
  <c r="H217" i="2"/>
  <c r="J217" i="2" s="1"/>
  <c r="C217" i="2" s="1"/>
  <c r="I217" i="2"/>
  <c r="H278" i="2"/>
  <c r="J278" i="2" s="1"/>
  <c r="C278" i="2" s="1"/>
  <c r="I278" i="2"/>
  <c r="X88" i="2"/>
  <c r="F88" i="2"/>
  <c r="E88" i="2" s="1"/>
  <c r="B88" i="2" s="1"/>
  <c r="V88" i="2"/>
  <c r="A88" i="2"/>
  <c r="AJ88" i="2"/>
  <c r="I187" i="2"/>
  <c r="H187" i="2"/>
  <c r="J187" i="2" s="1"/>
  <c r="C187" i="2" s="1"/>
  <c r="X31" i="2"/>
  <c r="AJ31" i="2"/>
  <c r="V31" i="2"/>
  <c r="F31" i="2"/>
  <c r="E31" i="2" s="1"/>
  <c r="B31" i="2" s="1"/>
  <c r="A31" i="2"/>
  <c r="X433" i="2"/>
  <c r="V433" i="2"/>
  <c r="F433" i="2"/>
  <c r="AJ433" i="2"/>
  <c r="C433" i="2"/>
  <c r="B433" i="2"/>
  <c r="A433" i="2"/>
  <c r="AJ467" i="2"/>
  <c r="C467" i="2"/>
  <c r="B467" i="2"/>
  <c r="A467" i="2"/>
  <c r="X467" i="2"/>
  <c r="F467" i="2"/>
  <c r="E467" i="2" s="1"/>
  <c r="V467" i="2"/>
  <c r="I430" i="2"/>
  <c r="H430" i="2"/>
  <c r="J430" i="2" s="1"/>
  <c r="C430" i="2" s="1"/>
  <c r="V342" i="2"/>
  <c r="F342" i="2"/>
  <c r="E342" i="2" s="1"/>
  <c r="B342" i="2" s="1"/>
  <c r="AJ342" i="2"/>
  <c r="A342" i="2"/>
  <c r="X342" i="2"/>
  <c r="I89" i="2"/>
  <c r="J89" i="2" s="1"/>
  <c r="H89" i="2"/>
  <c r="X212" i="2"/>
  <c r="V212" i="2"/>
  <c r="F212" i="2"/>
  <c r="AJ212" i="2"/>
  <c r="A212" i="2"/>
  <c r="X226" i="2"/>
  <c r="V226" i="2"/>
  <c r="F226" i="2"/>
  <c r="A226" i="2"/>
  <c r="AJ226" i="2"/>
  <c r="I396" i="2"/>
  <c r="H396" i="2"/>
  <c r="J396" i="2" s="1"/>
  <c r="I309" i="2"/>
  <c r="J309" i="2" s="1"/>
  <c r="H309" i="2"/>
  <c r="I117" i="2"/>
  <c r="H117" i="2"/>
  <c r="J117" i="2" s="1"/>
  <c r="C117" i="2" s="1"/>
  <c r="I369" i="2"/>
  <c r="J369" i="2" s="1"/>
  <c r="C369" i="2" s="1"/>
  <c r="H369" i="2"/>
  <c r="AJ483" i="2"/>
  <c r="A483" i="2"/>
  <c r="X483" i="2"/>
  <c r="V483" i="2"/>
  <c r="F483" i="2"/>
  <c r="B239" i="2"/>
  <c r="A239" i="2"/>
  <c r="X239" i="2"/>
  <c r="V239" i="2"/>
  <c r="AJ239" i="2"/>
  <c r="F239" i="2"/>
  <c r="C239" i="2"/>
  <c r="X481" i="2"/>
  <c r="V481" i="2"/>
  <c r="F481" i="2"/>
  <c r="E481" i="2" s="1"/>
  <c r="B481" i="2" s="1"/>
  <c r="AJ481" i="2"/>
  <c r="A481" i="2"/>
  <c r="I139" i="2"/>
  <c r="H139" i="2"/>
  <c r="J139" i="2" s="1"/>
  <c r="C139" i="2" s="1"/>
  <c r="I32" i="2"/>
  <c r="H32" i="2"/>
  <c r="J32" i="2" s="1"/>
  <c r="C32" i="2" s="1"/>
  <c r="I444" i="2"/>
  <c r="H444" i="2"/>
  <c r="J444" i="2" s="1"/>
  <c r="C444" i="2" s="1"/>
  <c r="X412" i="2"/>
  <c r="V412" i="2"/>
  <c r="F412" i="2"/>
  <c r="E412" i="2" s="1"/>
  <c r="B412" i="2" s="1"/>
  <c r="AJ412" i="2"/>
  <c r="A412" i="2"/>
  <c r="E444" i="2"/>
  <c r="B444" i="2" s="1"/>
  <c r="E164" i="2"/>
  <c r="B164" i="2" s="1"/>
  <c r="AJ268" i="2"/>
  <c r="V268" i="2"/>
  <c r="F268" i="2"/>
  <c r="E268" i="2" s="1"/>
  <c r="B268" i="2" s="1"/>
  <c r="A268" i="2"/>
  <c r="X268" i="2"/>
  <c r="I245" i="2"/>
  <c r="J245" i="2" s="1"/>
  <c r="C245" i="2" s="1"/>
  <c r="H245" i="2"/>
  <c r="V90" i="2"/>
  <c r="F90" i="2"/>
  <c r="A90" i="2"/>
  <c r="X90" i="2"/>
  <c r="AJ90" i="2"/>
  <c r="I49" i="2"/>
  <c r="H49" i="2"/>
  <c r="J49" i="2" s="1"/>
  <c r="C49" i="2" s="1"/>
  <c r="E308" i="2"/>
  <c r="B308" i="2" s="1"/>
  <c r="X110" i="2"/>
  <c r="V110" i="2"/>
  <c r="F110" i="2"/>
  <c r="E110" i="2" s="1"/>
  <c r="B110" i="2" s="1"/>
  <c r="AJ110" i="2"/>
  <c r="A110" i="2"/>
  <c r="E141" i="2"/>
  <c r="I174" i="2"/>
  <c r="J174" i="2" s="1"/>
  <c r="C174" i="2" s="1"/>
  <c r="H174" i="2"/>
  <c r="E278" i="2"/>
  <c r="B278" i="2" s="1"/>
  <c r="I173" i="2"/>
  <c r="J173" i="2" s="1"/>
  <c r="C173" i="2" s="1"/>
  <c r="H173" i="2"/>
  <c r="X15" i="2"/>
  <c r="F15" i="2"/>
  <c r="A15" i="2"/>
  <c r="V15" i="2"/>
  <c r="AJ15" i="2"/>
  <c r="E214" i="2"/>
  <c r="B214" i="2" s="1"/>
  <c r="X13" i="2"/>
  <c r="AJ13" i="2"/>
  <c r="A13" i="2"/>
  <c r="F13" i="2"/>
  <c r="E13" i="2" s="1"/>
  <c r="B13" i="2" s="1"/>
  <c r="V13" i="2"/>
  <c r="V258" i="2"/>
  <c r="A258" i="2"/>
  <c r="AJ258" i="2"/>
  <c r="X258" i="2"/>
  <c r="F258" i="2"/>
  <c r="E258" i="2" s="1"/>
  <c r="B258" i="2" s="1"/>
  <c r="H167" i="2"/>
  <c r="J167" i="2" s="1"/>
  <c r="I167" i="2"/>
  <c r="E284" i="2"/>
  <c r="B284" i="2" s="1"/>
  <c r="I294" i="2"/>
  <c r="J294" i="2" s="1"/>
  <c r="C294" i="2" s="1"/>
  <c r="H294" i="2"/>
  <c r="E52" i="2"/>
  <c r="B52" i="2" s="1"/>
  <c r="I132" i="2"/>
  <c r="J132" i="2" s="1"/>
  <c r="C132" i="2" s="1"/>
  <c r="H132" i="2"/>
  <c r="I455" i="2"/>
  <c r="J455" i="2" s="1"/>
  <c r="C455" i="2" s="1"/>
  <c r="H455" i="2"/>
  <c r="X381" i="2"/>
  <c r="V381" i="2"/>
  <c r="F381" i="2"/>
  <c r="AJ381" i="2"/>
  <c r="A381" i="2"/>
  <c r="H96" i="2"/>
  <c r="J96" i="2" s="1"/>
  <c r="C96" i="2" s="1"/>
  <c r="I96" i="2"/>
  <c r="X341" i="2"/>
  <c r="V341" i="2"/>
  <c r="F341" i="2"/>
  <c r="E341" i="2" s="1"/>
  <c r="AJ341" i="2"/>
  <c r="B341" i="2"/>
  <c r="A341" i="2"/>
  <c r="I92" i="2"/>
  <c r="J92" i="2" s="1"/>
  <c r="H92" i="2"/>
  <c r="A301" i="2"/>
  <c r="AJ301" i="2"/>
  <c r="X301" i="2"/>
  <c r="V301" i="2"/>
  <c r="F301" i="2"/>
  <c r="V37" i="2"/>
  <c r="F37" i="2"/>
  <c r="AJ37" i="2"/>
  <c r="A37" i="2"/>
  <c r="X37" i="2"/>
  <c r="F116" i="2"/>
  <c r="X116" i="2"/>
  <c r="V116" i="2"/>
  <c r="A116" i="2"/>
  <c r="AJ116" i="2"/>
  <c r="X154" i="2"/>
  <c r="V154" i="2"/>
  <c r="F154" i="2"/>
  <c r="E154" i="2" s="1"/>
  <c r="AJ154" i="2"/>
  <c r="C154" i="2"/>
  <c r="B154" i="2"/>
  <c r="A154" i="2"/>
  <c r="V353" i="2"/>
  <c r="F353" i="2"/>
  <c r="AJ353" i="2"/>
  <c r="A353" i="2"/>
  <c r="X353" i="2"/>
  <c r="I428" i="2"/>
  <c r="H428" i="2"/>
  <c r="J428" i="2" s="1"/>
  <c r="C428" i="2" s="1"/>
  <c r="X320" i="2"/>
  <c r="V320" i="2" s="1"/>
  <c r="F320" i="2"/>
  <c r="AJ320" i="2"/>
  <c r="A320" i="2"/>
  <c r="V127" i="2"/>
  <c r="F127" i="2"/>
  <c r="AJ127" i="2"/>
  <c r="C127" i="2"/>
  <c r="B127" i="2"/>
  <c r="A127" i="2"/>
  <c r="X127" i="2"/>
  <c r="AJ133" i="2"/>
  <c r="B133" i="2"/>
  <c r="A133" i="2"/>
  <c r="X133" i="2"/>
  <c r="V133" i="2"/>
  <c r="F133" i="2"/>
  <c r="E133" i="2" s="1"/>
  <c r="I104" i="2"/>
  <c r="J104" i="2" s="1"/>
  <c r="H104" i="2"/>
  <c r="A12" i="2"/>
  <c r="AJ12" i="2"/>
  <c r="X12" i="2"/>
  <c r="F12" i="2"/>
  <c r="E12" i="2" s="1"/>
  <c r="V12" i="2"/>
  <c r="C12" i="2"/>
  <c r="B12" i="2"/>
  <c r="V99" i="2"/>
  <c r="F99" i="2"/>
  <c r="A99" i="2"/>
  <c r="X99" i="2"/>
  <c r="AJ99" i="2"/>
  <c r="X215" i="2"/>
  <c r="V215" i="2"/>
  <c r="F215" i="2"/>
  <c r="E215" i="2" s="1"/>
  <c r="B215" i="2" s="1"/>
  <c r="A215" i="2"/>
  <c r="AJ215" i="2"/>
  <c r="H216" i="2"/>
  <c r="I216" i="2"/>
  <c r="J216" i="2" s="1"/>
  <c r="C216" i="2" s="1"/>
  <c r="X453" i="2"/>
  <c r="V453" i="2"/>
  <c r="F453" i="2"/>
  <c r="E453" i="2" s="1"/>
  <c r="B453" i="2" s="1"/>
  <c r="AJ453" i="2"/>
  <c r="A453" i="2"/>
  <c r="X386" i="2"/>
  <c r="V386" i="2"/>
  <c r="F386" i="2"/>
  <c r="E386" i="2" s="1"/>
  <c r="B386" i="2" s="1"/>
  <c r="AJ386" i="2"/>
  <c r="A386" i="2"/>
  <c r="I81" i="2"/>
  <c r="J81" i="2" s="1"/>
  <c r="C81" i="2" s="1"/>
  <c r="H81" i="2"/>
  <c r="V118" i="2"/>
  <c r="F118" i="2"/>
  <c r="A118" i="2"/>
  <c r="X118" i="2"/>
  <c r="AJ118" i="2"/>
  <c r="H264" i="2"/>
  <c r="I264" i="2"/>
  <c r="J264" i="2" s="1"/>
  <c r="C264" i="2" s="1"/>
  <c r="I457" i="2"/>
  <c r="J457" i="2" s="1"/>
  <c r="H457" i="2"/>
  <c r="X277" i="2"/>
  <c r="V277" i="2"/>
  <c r="F277" i="2"/>
  <c r="AJ277" i="2"/>
  <c r="A277" i="2"/>
  <c r="I259" i="2"/>
  <c r="J259" i="2" s="1"/>
  <c r="C259" i="2" s="1"/>
  <c r="H259" i="2"/>
  <c r="E225" i="2"/>
  <c r="B225" i="2" s="1"/>
  <c r="X72" i="2"/>
  <c r="V72" i="2"/>
  <c r="F72" i="2"/>
  <c r="E72" i="2" s="1"/>
  <c r="B72" i="2" s="1"/>
  <c r="AJ72" i="2"/>
  <c r="A72" i="2"/>
  <c r="I143" i="2"/>
  <c r="H143" i="2"/>
  <c r="J143" i="2" s="1"/>
  <c r="C143" i="2" s="1"/>
  <c r="I18" i="2"/>
  <c r="H18" i="2"/>
  <c r="J18" i="2" s="1"/>
  <c r="C18" i="2" s="1"/>
  <c r="I6" i="2"/>
  <c r="J6" i="2" s="1"/>
  <c r="C6" i="2" s="1"/>
  <c r="H6" i="2"/>
  <c r="X51" i="2"/>
  <c r="V51" i="2"/>
  <c r="F51" i="2"/>
  <c r="E51" i="2" s="1"/>
  <c r="AJ51" i="2"/>
  <c r="C51" i="2"/>
  <c r="B51" i="2"/>
  <c r="A51" i="2"/>
  <c r="E439" i="2"/>
  <c r="B439" i="2" s="1"/>
  <c r="I20" i="2"/>
  <c r="H20" i="2"/>
  <c r="J20" i="2" s="1"/>
  <c r="C20" i="2" s="1"/>
  <c r="AJ263" i="2"/>
  <c r="A263" i="2"/>
  <c r="V263" i="2"/>
  <c r="X263" i="2"/>
  <c r="F263" i="2"/>
  <c r="E263" i="2" s="1"/>
  <c r="B263" i="2" s="1"/>
  <c r="I102" i="2"/>
  <c r="J102" i="2" s="1"/>
  <c r="H102" i="2"/>
  <c r="I375" i="2"/>
  <c r="J375" i="2" s="1"/>
  <c r="C375" i="2" s="1"/>
  <c r="H375" i="2"/>
  <c r="I50" i="2"/>
  <c r="J50" i="2" s="1"/>
  <c r="C50" i="2" s="1"/>
  <c r="H50" i="2"/>
  <c r="V248" i="2"/>
  <c r="F248" i="2"/>
  <c r="AJ248" i="2"/>
  <c r="A248" i="2"/>
  <c r="X248" i="2"/>
  <c r="AJ4" i="2"/>
  <c r="X4" i="2"/>
  <c r="V4" i="2" s="1"/>
  <c r="A4" i="2"/>
  <c r="F4" i="2"/>
  <c r="I63" i="2"/>
  <c r="H63" i="2"/>
  <c r="J63" i="2" s="1"/>
  <c r="C63" i="2" s="1"/>
  <c r="E259" i="2"/>
  <c r="B259" i="2" s="1"/>
  <c r="AJ156" i="2"/>
  <c r="F156" i="2"/>
  <c r="A156" i="2"/>
  <c r="X156" i="2"/>
  <c r="V156" i="2"/>
  <c r="V124" i="2"/>
  <c r="F124" i="2"/>
  <c r="A124" i="2"/>
  <c r="X124" i="2"/>
  <c r="AJ124" i="2"/>
  <c r="I225" i="2"/>
  <c r="H225" i="2"/>
  <c r="J225" i="2" s="1"/>
  <c r="C225" i="2" s="1"/>
  <c r="X253" i="2"/>
  <c r="V253" i="2"/>
  <c r="F253" i="2"/>
  <c r="E253" i="2" s="1"/>
  <c r="AJ253" i="2"/>
  <c r="B253" i="2"/>
  <c r="A253" i="2"/>
  <c r="AJ238" i="2"/>
  <c r="C238" i="2"/>
  <c r="B238" i="2"/>
  <c r="A238" i="2"/>
  <c r="X238" i="2"/>
  <c r="V238" i="2"/>
  <c r="F238" i="2"/>
  <c r="E238" i="2" s="1"/>
  <c r="E457" i="2"/>
  <c r="E143" i="2"/>
  <c r="B143" i="2" s="1"/>
  <c r="X336" i="2"/>
  <c r="V336" i="2"/>
  <c r="F336" i="2"/>
  <c r="E336" i="2" s="1"/>
  <c r="AJ336" i="2"/>
  <c r="B336" i="2"/>
  <c r="A336" i="2"/>
  <c r="I141" i="2"/>
  <c r="H141" i="2"/>
  <c r="J141" i="2" s="1"/>
  <c r="E217" i="2"/>
  <c r="B217" i="2" s="1"/>
  <c r="I291" i="2"/>
  <c r="J291" i="2" s="1"/>
  <c r="C291" i="2" s="1"/>
  <c r="H291" i="2"/>
  <c r="E446" i="2"/>
  <c r="B446" i="2" s="1"/>
  <c r="I252" i="2"/>
  <c r="J252" i="2" s="1"/>
  <c r="C252" i="2" s="1"/>
  <c r="H252" i="2"/>
  <c r="I214" i="2"/>
  <c r="J214" i="2" s="1"/>
  <c r="C214" i="2" s="1"/>
  <c r="H214" i="2"/>
  <c r="E63" i="2"/>
  <c r="B63" i="2" s="1"/>
  <c r="X142" i="2"/>
  <c r="V142" i="2"/>
  <c r="F142" i="2"/>
  <c r="E142" i="2" s="1"/>
  <c r="AJ142" i="2"/>
  <c r="C142" i="2"/>
  <c r="B142" i="2"/>
  <c r="A142" i="2"/>
  <c r="AJ267" i="2"/>
  <c r="A267" i="2"/>
  <c r="F267" i="2"/>
  <c r="X267" i="2"/>
  <c r="V267" i="2"/>
  <c r="AJ123" i="2"/>
  <c r="F123" i="2"/>
  <c r="A123" i="2"/>
  <c r="X123" i="2"/>
  <c r="V123" i="2"/>
  <c r="E401" i="2"/>
  <c r="B401" i="2" s="1"/>
  <c r="I125" i="2"/>
  <c r="J125" i="2" s="1"/>
  <c r="C125" i="2" s="1"/>
  <c r="H125" i="2"/>
  <c r="E354" i="2"/>
  <c r="B354" i="2" s="1"/>
  <c r="V438" i="2"/>
  <c r="F438" i="2"/>
  <c r="E438" i="2" s="1"/>
  <c r="X438" i="2"/>
  <c r="B438" i="2"/>
  <c r="A438" i="2"/>
  <c r="AJ438" i="2"/>
  <c r="E270" i="2"/>
  <c r="B270" i="2" s="1"/>
  <c r="AJ403" i="2"/>
  <c r="F403" i="2"/>
  <c r="E403" i="2" s="1"/>
  <c r="B403" i="2" s="1"/>
  <c r="X403" i="2"/>
  <c r="A403" i="2"/>
  <c r="V403" i="2"/>
  <c r="X426" i="2"/>
  <c r="V426" i="2"/>
  <c r="F426" i="2"/>
  <c r="E426" i="2" s="1"/>
  <c r="AJ426" i="2"/>
  <c r="B426" i="2"/>
  <c r="A426" i="2"/>
  <c r="X75" i="2"/>
  <c r="V75" i="2"/>
  <c r="F75" i="2"/>
  <c r="AJ75" i="2"/>
  <c r="A75" i="2"/>
  <c r="I415" i="2"/>
  <c r="J415" i="2" s="1"/>
  <c r="H415" i="2"/>
  <c r="E375" i="2"/>
  <c r="B375" i="2" s="1"/>
  <c r="I94" i="2"/>
  <c r="H94" i="2"/>
  <c r="J94" i="2" s="1"/>
  <c r="C94" i="2" s="1"/>
  <c r="X11" i="2"/>
  <c r="A11" i="2"/>
  <c r="V11" i="2"/>
  <c r="F11" i="2"/>
  <c r="AJ11" i="2"/>
  <c r="F254" i="2"/>
  <c r="X254" i="2"/>
  <c r="V254" i="2"/>
  <c r="A254" i="2"/>
  <c r="AJ254" i="2"/>
  <c r="A379" i="2"/>
  <c r="X379" i="2"/>
  <c r="V379" i="2"/>
  <c r="F379" i="2"/>
  <c r="AJ379" i="2"/>
  <c r="X471" i="2"/>
  <c r="V471" i="2"/>
  <c r="F471" i="2"/>
  <c r="E471" i="2" s="1"/>
  <c r="B471" i="2" s="1"/>
  <c r="AJ471" i="2"/>
  <c r="A471" i="2"/>
  <c r="X327" i="2"/>
  <c r="V327" i="2"/>
  <c r="A327" i="2"/>
  <c r="AJ327" i="2"/>
  <c r="F327" i="2"/>
  <c r="E327" i="2" s="1"/>
  <c r="B327" i="2" s="1"/>
  <c r="AJ273" i="2"/>
  <c r="A273" i="2"/>
  <c r="F273" i="2"/>
  <c r="X273" i="2"/>
  <c r="V273" i="2"/>
  <c r="X100" i="2"/>
  <c r="V100" i="2"/>
  <c r="F100" i="2"/>
  <c r="AJ100" i="2"/>
  <c r="C100" i="2"/>
  <c r="B100" i="2"/>
  <c r="A100" i="2"/>
  <c r="I314" i="2"/>
  <c r="H314" i="2"/>
  <c r="J314" i="2" s="1"/>
  <c r="C314" i="2" s="1"/>
  <c r="I188" i="2"/>
  <c r="H188" i="2"/>
  <c r="J188" i="2" s="1"/>
  <c r="C188" i="2" s="1"/>
  <c r="E6" i="2"/>
  <c r="B6" i="2" s="1"/>
  <c r="E139" i="2"/>
  <c r="B139" i="2" s="1"/>
  <c r="X153" i="2"/>
  <c r="V153" i="2"/>
  <c r="F153" i="2"/>
  <c r="E153" i="2" s="1"/>
  <c r="B153" i="2" s="1"/>
  <c r="AJ153" i="2"/>
  <c r="A153" i="2"/>
  <c r="I324" i="2"/>
  <c r="J324" i="2" s="1"/>
  <c r="C324" i="2" s="1"/>
  <c r="H324" i="2"/>
  <c r="X115" i="2"/>
  <c r="V115" i="2"/>
  <c r="F115" i="2"/>
  <c r="E115" i="2" s="1"/>
  <c r="C115" i="2"/>
  <c r="AJ115" i="2"/>
  <c r="B115" i="2"/>
  <c r="A115" i="2"/>
  <c r="E34" i="2"/>
  <c r="X331" i="2"/>
  <c r="V331" i="2"/>
  <c r="F331" i="2"/>
  <c r="AJ331" i="2"/>
  <c r="A331" i="2"/>
  <c r="I439" i="2"/>
  <c r="J439" i="2" s="1"/>
  <c r="C439" i="2" s="1"/>
  <c r="H439" i="2"/>
  <c r="X487" i="2"/>
  <c r="V487" i="2"/>
  <c r="F487" i="2"/>
  <c r="AJ487" i="2"/>
  <c r="A487" i="2"/>
  <c r="X334" i="2"/>
  <c r="V334" i="2"/>
  <c r="F334" i="2"/>
  <c r="A334" i="2"/>
  <c r="C334" i="2"/>
  <c r="B334" i="2"/>
  <c r="AJ334" i="2"/>
  <c r="X486" i="2"/>
  <c r="V486" i="2"/>
  <c r="F486" i="2"/>
  <c r="AJ486" i="2"/>
  <c r="A486" i="2"/>
  <c r="E89" i="2"/>
  <c r="A28" i="2"/>
  <c r="X28" i="2"/>
  <c r="V28" i="2" s="1"/>
  <c r="F28" i="2"/>
  <c r="AJ28" i="2"/>
  <c r="V283" i="2"/>
  <c r="F283" i="2"/>
  <c r="E283" i="2" s="1"/>
  <c r="AJ283" i="2"/>
  <c r="B283" i="2"/>
  <c r="A283" i="2"/>
  <c r="X283" i="2"/>
  <c r="I53" i="2"/>
  <c r="H53" i="2"/>
  <c r="J53" i="2" s="1"/>
  <c r="C53" i="2" s="1"/>
  <c r="I129" i="2"/>
  <c r="J129" i="2" s="1"/>
  <c r="C129" i="2" s="1"/>
  <c r="H129" i="2"/>
  <c r="I464" i="2"/>
  <c r="H464" i="2"/>
  <c r="J464" i="2" s="1"/>
  <c r="E415" i="2"/>
  <c r="X247" i="2"/>
  <c r="V247" i="2"/>
  <c r="F247" i="2"/>
  <c r="AJ247" i="2"/>
  <c r="A247" i="2"/>
  <c r="AJ257" i="2"/>
  <c r="A257" i="2"/>
  <c r="X257" i="2"/>
  <c r="F257" i="2"/>
  <c r="V257" i="2"/>
  <c r="X242" i="2"/>
  <c r="V242" i="2"/>
  <c r="F242" i="2"/>
  <c r="AJ242" i="2"/>
  <c r="A242" i="2"/>
  <c r="I175" i="2"/>
  <c r="H175" i="2"/>
  <c r="J175" i="2" s="1"/>
  <c r="C175" i="2" s="1"/>
  <c r="I58" i="2"/>
  <c r="H58" i="2"/>
  <c r="J58" i="2" s="1"/>
  <c r="C58" i="2" s="1"/>
  <c r="E117" i="2"/>
  <c r="B117" i="2" s="1"/>
  <c r="I176" i="2"/>
  <c r="J176" i="2" s="1"/>
  <c r="C176" i="2" s="1"/>
  <c r="H176" i="2"/>
  <c r="X171" i="2"/>
  <c r="V171" i="2"/>
  <c r="F171" i="2"/>
  <c r="AJ171" i="2"/>
  <c r="A171" i="2"/>
  <c r="E85" i="2"/>
  <c r="B85" i="2" s="1"/>
  <c r="E314" i="2"/>
  <c r="B314" i="2" s="1"/>
  <c r="X16" i="2"/>
  <c r="V16" i="2"/>
  <c r="F16" i="2"/>
  <c r="AJ16" i="2"/>
  <c r="A16" i="2"/>
  <c r="I287" i="2"/>
  <c r="J287" i="2" s="1"/>
  <c r="C287" i="2" s="1"/>
  <c r="H287" i="2"/>
  <c r="E324" i="2"/>
  <c r="B324" i="2" s="1"/>
  <c r="X211" i="2"/>
  <c r="V211" i="2"/>
  <c r="F211" i="2"/>
  <c r="E211" i="2" s="1"/>
  <c r="B211" i="2" s="1"/>
  <c r="AJ211" i="2"/>
  <c r="A211" i="2"/>
  <c r="X77" i="2"/>
  <c r="V77" i="2"/>
  <c r="F77" i="2"/>
  <c r="E77" i="2" s="1"/>
  <c r="AJ77" i="2"/>
  <c r="B77" i="2"/>
  <c r="A77" i="2"/>
  <c r="I159" i="2"/>
  <c r="J159" i="2" s="1"/>
  <c r="C159" i="2" s="1"/>
  <c r="H159" i="2"/>
  <c r="E244" i="2"/>
  <c r="B244" i="2" s="1"/>
  <c r="E9" i="2"/>
  <c r="B9" i="2" s="1"/>
  <c r="I284" i="2"/>
  <c r="J284" i="2" s="1"/>
  <c r="C284" i="2" s="1"/>
  <c r="H284" i="2"/>
  <c r="V221" i="2"/>
  <c r="F221" i="2"/>
  <c r="E221" i="2" s="1"/>
  <c r="B221" i="2" s="1"/>
  <c r="X221" i="2"/>
  <c r="A221" i="2"/>
  <c r="AJ221" i="2"/>
  <c r="I395" i="2"/>
  <c r="H395" i="2"/>
  <c r="J395" i="2" s="1"/>
  <c r="I52" i="2"/>
  <c r="J52" i="2" s="1"/>
  <c r="C52" i="2" s="1"/>
  <c r="H52" i="2"/>
  <c r="E113" i="2"/>
  <c r="B113" i="2" s="1"/>
  <c r="B224" i="2"/>
  <c r="A224" i="2"/>
  <c r="AJ224" i="2"/>
  <c r="X224" i="2"/>
  <c r="V224" i="2"/>
  <c r="F224" i="2"/>
  <c r="E224" i="2" s="1"/>
  <c r="I270" i="2"/>
  <c r="H270" i="2"/>
  <c r="J270" i="2" s="1"/>
  <c r="C270" i="2" s="1"/>
  <c r="V440" i="2"/>
  <c r="F440" i="2"/>
  <c r="E440" i="2" s="1"/>
  <c r="B440" i="2"/>
  <c r="A440" i="2"/>
  <c r="X440" i="2"/>
  <c r="AJ440" i="2"/>
  <c r="I5" i="2"/>
  <c r="J5" i="2" s="1"/>
  <c r="C5" i="2" s="1"/>
  <c r="H5" i="2"/>
  <c r="AJ383" i="2"/>
  <c r="A383" i="2"/>
  <c r="X383" i="2"/>
  <c r="V383" i="2"/>
  <c r="F383" i="2"/>
  <c r="H33" i="2"/>
  <c r="J33" i="2" s="1"/>
  <c r="C33" i="2" s="1"/>
  <c r="I33" i="2"/>
  <c r="X417" i="2"/>
  <c r="V417" i="2"/>
  <c r="F417" i="2"/>
  <c r="E417" i="2" s="1"/>
  <c r="B417" i="2" s="1"/>
  <c r="AJ417" i="2"/>
  <c r="A417" i="2"/>
  <c r="I335" i="2"/>
  <c r="H335" i="2"/>
  <c r="J335" i="2" s="1"/>
  <c r="C335" i="2" s="1"/>
  <c r="X376" i="2"/>
  <c r="V376" i="2"/>
  <c r="F376" i="2"/>
  <c r="AJ376" i="2"/>
  <c r="A376" i="2"/>
  <c r="W2" i="2"/>
  <c r="T2" i="2"/>
  <c r="R2" i="2" s="1"/>
  <c r="I171" i="2" l="1"/>
  <c r="J171" i="2" s="1"/>
  <c r="C171" i="2" s="1"/>
  <c r="H171" i="2"/>
  <c r="I31" i="2"/>
  <c r="H31" i="2"/>
  <c r="J31" i="2" s="1"/>
  <c r="C31" i="2" s="1"/>
  <c r="I357" i="2"/>
  <c r="J357" i="2" s="1"/>
  <c r="C357" i="2" s="1"/>
  <c r="H357" i="2"/>
  <c r="I206" i="2"/>
  <c r="H206" i="2"/>
  <c r="J206" i="2" s="1"/>
  <c r="I155" i="2"/>
  <c r="H155" i="2"/>
  <c r="J155" i="2" s="1"/>
  <c r="C155" i="2" s="1"/>
  <c r="I374" i="2"/>
  <c r="J374" i="2" s="1"/>
  <c r="C374" i="2" s="1"/>
  <c r="H374" i="2"/>
  <c r="I315" i="2"/>
  <c r="H315" i="2"/>
  <c r="J315" i="2" s="1"/>
  <c r="C315" i="2" s="1"/>
  <c r="I413" i="2"/>
  <c r="J413" i="2" s="1"/>
  <c r="C413" i="2" s="1"/>
  <c r="H413" i="2"/>
  <c r="I440" i="2"/>
  <c r="J440" i="2" s="1"/>
  <c r="C440" i="2" s="1"/>
  <c r="H440" i="2"/>
  <c r="E171" i="2"/>
  <c r="B171" i="2" s="1"/>
  <c r="E334" i="2"/>
  <c r="E331" i="2"/>
  <c r="B331" i="2" s="1"/>
  <c r="I153" i="2"/>
  <c r="J153" i="2" s="1"/>
  <c r="C153" i="2" s="1"/>
  <c r="H153" i="2"/>
  <c r="I238" i="2"/>
  <c r="H238" i="2"/>
  <c r="J238" i="2" s="1"/>
  <c r="I4" i="2"/>
  <c r="J4" i="2" s="1"/>
  <c r="C4" i="2" s="1"/>
  <c r="H4" i="2"/>
  <c r="E118" i="2"/>
  <c r="B118" i="2" s="1"/>
  <c r="E99" i="2"/>
  <c r="B99" i="2" s="1"/>
  <c r="I116" i="2"/>
  <c r="H116" i="2"/>
  <c r="J116" i="2" s="1"/>
  <c r="C116" i="2" s="1"/>
  <c r="I15" i="2"/>
  <c r="J15" i="2" s="1"/>
  <c r="C15" i="2" s="1"/>
  <c r="H15" i="2"/>
  <c r="I110" i="2"/>
  <c r="J110" i="2" s="1"/>
  <c r="C110" i="2" s="1"/>
  <c r="H110" i="2"/>
  <c r="E489" i="2"/>
  <c r="B489" i="2" s="1"/>
  <c r="I151" i="2"/>
  <c r="J151" i="2" s="1"/>
  <c r="C151" i="2" s="1"/>
  <c r="H151" i="2"/>
  <c r="I101" i="2"/>
  <c r="J101" i="2" s="1"/>
  <c r="C101" i="2" s="1"/>
  <c r="H101" i="2"/>
  <c r="E357" i="2"/>
  <c r="B357" i="2" s="1"/>
  <c r="I107" i="2"/>
  <c r="J107" i="2" s="1"/>
  <c r="H107" i="2"/>
  <c r="E206" i="2"/>
  <c r="I44" i="2"/>
  <c r="J44" i="2" s="1"/>
  <c r="C44" i="2" s="1"/>
  <c r="H44" i="2"/>
  <c r="I122" i="2"/>
  <c r="J122" i="2" s="1"/>
  <c r="C122" i="2" s="1"/>
  <c r="H122" i="2"/>
  <c r="E315" i="2"/>
  <c r="B315" i="2" s="1"/>
  <c r="E413" i="2"/>
  <c r="B413" i="2" s="1"/>
  <c r="I467" i="2"/>
  <c r="H467" i="2"/>
  <c r="J467" i="2" s="1"/>
  <c r="E257" i="2"/>
  <c r="B257" i="2" s="1"/>
  <c r="E273" i="2"/>
  <c r="B273" i="2" s="1"/>
  <c r="E254" i="2"/>
  <c r="B254" i="2" s="1"/>
  <c r="I253" i="2"/>
  <c r="J253" i="2" s="1"/>
  <c r="C253" i="2" s="1"/>
  <c r="H253" i="2"/>
  <c r="I277" i="2"/>
  <c r="H277" i="2"/>
  <c r="J277" i="2" s="1"/>
  <c r="C277" i="2" s="1"/>
  <c r="I301" i="2"/>
  <c r="J301" i="2" s="1"/>
  <c r="C301" i="2" s="1"/>
  <c r="H301" i="2"/>
  <c r="I381" i="2"/>
  <c r="H381" i="2"/>
  <c r="J381" i="2" s="1"/>
  <c r="C381" i="2" s="1"/>
  <c r="I226" i="2"/>
  <c r="J226" i="2" s="1"/>
  <c r="C226" i="2" s="1"/>
  <c r="H226" i="2"/>
  <c r="I88" i="2"/>
  <c r="J88" i="2" s="1"/>
  <c r="C88" i="2" s="1"/>
  <c r="H88" i="2"/>
  <c r="I405" i="2"/>
  <c r="J405" i="2" s="1"/>
  <c r="C405" i="2" s="1"/>
  <c r="H405" i="2"/>
  <c r="H337" i="2"/>
  <c r="I337" i="2"/>
  <c r="J337" i="2" s="1"/>
  <c r="C337" i="2" s="1"/>
  <c r="E137" i="2"/>
  <c r="B137" i="2" s="1"/>
  <c r="I78" i="2"/>
  <c r="J78" i="2" s="1"/>
  <c r="C78" i="2" s="1"/>
  <c r="H78" i="2"/>
  <c r="I349" i="2"/>
  <c r="J349" i="2" s="1"/>
  <c r="C349" i="2" s="1"/>
  <c r="H349" i="2"/>
  <c r="H134" i="2"/>
  <c r="I134" i="2"/>
  <c r="J134" i="2" s="1"/>
  <c r="C134" i="2" s="1"/>
  <c r="I392" i="2"/>
  <c r="H392" i="2"/>
  <c r="J392" i="2" s="1"/>
  <c r="C392" i="2" s="1"/>
  <c r="I95" i="2"/>
  <c r="H95" i="2"/>
  <c r="J95" i="2" s="1"/>
  <c r="C95" i="2" s="1"/>
  <c r="I378" i="2"/>
  <c r="J378" i="2" s="1"/>
  <c r="H378" i="2"/>
  <c r="E48" i="2"/>
  <c r="B48" i="2" s="1"/>
  <c r="I162" i="2"/>
  <c r="J162" i="2" s="1"/>
  <c r="C162" i="2" s="1"/>
  <c r="H162" i="2"/>
  <c r="E75" i="2"/>
  <c r="B75" i="2" s="1"/>
  <c r="I403" i="2"/>
  <c r="H403" i="2"/>
  <c r="J403" i="2" s="1"/>
  <c r="C403" i="2" s="1"/>
  <c r="E123" i="2"/>
  <c r="B123" i="2" s="1"/>
  <c r="I336" i="2"/>
  <c r="J336" i="2" s="1"/>
  <c r="C336" i="2" s="1"/>
  <c r="H336" i="2"/>
  <c r="E156" i="2"/>
  <c r="B156" i="2" s="1"/>
  <c r="E277" i="2"/>
  <c r="B277" i="2" s="1"/>
  <c r="I215" i="2"/>
  <c r="H215" i="2"/>
  <c r="J215" i="2" s="1"/>
  <c r="C215" i="2" s="1"/>
  <c r="E381" i="2"/>
  <c r="B381" i="2" s="1"/>
  <c r="I258" i="2"/>
  <c r="J258" i="2" s="1"/>
  <c r="C258" i="2" s="1"/>
  <c r="H258" i="2"/>
  <c r="E15" i="2"/>
  <c r="B15" i="2" s="1"/>
  <c r="E483" i="2"/>
  <c r="B483" i="2" s="1"/>
  <c r="E337" i="2"/>
  <c r="B337" i="2" s="1"/>
  <c r="E78" i="2"/>
  <c r="B78" i="2" s="1"/>
  <c r="I348" i="2"/>
  <c r="J348" i="2" s="1"/>
  <c r="H348" i="2"/>
  <c r="E349" i="2"/>
  <c r="B349" i="2" s="1"/>
  <c r="I237" i="2"/>
  <c r="H237" i="2"/>
  <c r="J237" i="2" s="1"/>
  <c r="C237" i="2" s="1"/>
  <c r="E392" i="2"/>
  <c r="B392" i="2" s="1"/>
  <c r="E95" i="2"/>
  <c r="B95" i="2" s="1"/>
  <c r="E447" i="2"/>
  <c r="B447" i="2" s="1"/>
  <c r="H196" i="2"/>
  <c r="J196" i="2" s="1"/>
  <c r="C196" i="2" s="1"/>
  <c r="I196" i="2"/>
  <c r="I48" i="2"/>
  <c r="H48" i="2"/>
  <c r="J48" i="2" s="1"/>
  <c r="C48" i="2" s="1"/>
  <c r="I137" i="2"/>
  <c r="J137" i="2" s="1"/>
  <c r="C137" i="2" s="1"/>
  <c r="H137" i="2"/>
  <c r="I182" i="2"/>
  <c r="H182" i="2"/>
  <c r="J182" i="2" s="1"/>
  <c r="C182" i="2" s="1"/>
  <c r="I221" i="2"/>
  <c r="J221" i="2" s="1"/>
  <c r="C221" i="2" s="1"/>
  <c r="H221" i="2"/>
  <c r="I16" i="2"/>
  <c r="H16" i="2"/>
  <c r="J16" i="2" s="1"/>
  <c r="C16" i="2" s="1"/>
  <c r="I11" i="2"/>
  <c r="H11" i="2"/>
  <c r="J11" i="2" s="1"/>
  <c r="C11" i="2" s="1"/>
  <c r="I263" i="2"/>
  <c r="H263" i="2"/>
  <c r="J263" i="2" s="1"/>
  <c r="C263" i="2" s="1"/>
  <c r="I489" i="2"/>
  <c r="J489" i="2" s="1"/>
  <c r="C489" i="2" s="1"/>
  <c r="H489" i="2"/>
  <c r="I352" i="2"/>
  <c r="J352" i="2" s="1"/>
  <c r="C352" i="2" s="1"/>
  <c r="H352" i="2"/>
  <c r="I45" i="2"/>
  <c r="J45" i="2" s="1"/>
  <c r="H45" i="2"/>
  <c r="I472" i="2"/>
  <c r="H472" i="2"/>
  <c r="J472" i="2" s="1"/>
  <c r="C472" i="2" s="1"/>
  <c r="I366" i="2"/>
  <c r="H366" i="2"/>
  <c r="J366" i="2" s="1"/>
  <c r="I487" i="2"/>
  <c r="H487" i="2"/>
  <c r="J487" i="2" s="1"/>
  <c r="C487" i="2" s="1"/>
  <c r="I115" i="2"/>
  <c r="J115" i="2" s="1"/>
  <c r="H115" i="2"/>
  <c r="I438" i="2"/>
  <c r="H438" i="2"/>
  <c r="J438" i="2" s="1"/>
  <c r="C438" i="2" s="1"/>
  <c r="I248" i="2"/>
  <c r="J248" i="2" s="1"/>
  <c r="C248" i="2" s="1"/>
  <c r="H248" i="2"/>
  <c r="I127" i="2"/>
  <c r="J127" i="2" s="1"/>
  <c r="H127" i="2"/>
  <c r="H353" i="2"/>
  <c r="J353" i="2" s="1"/>
  <c r="C353" i="2" s="1"/>
  <c r="I353" i="2"/>
  <c r="E116" i="2"/>
  <c r="B116" i="2" s="1"/>
  <c r="I268" i="2"/>
  <c r="H268" i="2"/>
  <c r="J268" i="2" s="1"/>
  <c r="C268" i="2" s="1"/>
  <c r="I433" i="2"/>
  <c r="J433" i="2" s="1"/>
  <c r="H433" i="2"/>
  <c r="I330" i="2"/>
  <c r="J330" i="2" s="1"/>
  <c r="C330" i="2" s="1"/>
  <c r="H330" i="2"/>
  <c r="I97" i="2"/>
  <c r="H97" i="2"/>
  <c r="J97" i="2" s="1"/>
  <c r="C97" i="2" s="1"/>
  <c r="I297" i="2"/>
  <c r="J297" i="2" s="1"/>
  <c r="C297" i="2" s="1"/>
  <c r="H297" i="2"/>
  <c r="I351" i="2"/>
  <c r="J351" i="2" s="1"/>
  <c r="C351" i="2" s="1"/>
  <c r="H351" i="2"/>
  <c r="E45" i="2"/>
  <c r="I202" i="2"/>
  <c r="J202" i="2" s="1"/>
  <c r="C202" i="2" s="1"/>
  <c r="H202" i="2"/>
  <c r="I218" i="2"/>
  <c r="J218" i="2" s="1"/>
  <c r="C218" i="2" s="1"/>
  <c r="H218" i="2"/>
  <c r="I434" i="2"/>
  <c r="J434" i="2" s="1"/>
  <c r="C434" i="2" s="1"/>
  <c r="H434" i="2"/>
  <c r="I201" i="2"/>
  <c r="J201" i="2" s="1"/>
  <c r="H201" i="2"/>
  <c r="I77" i="2"/>
  <c r="H77" i="2"/>
  <c r="J77" i="2" s="1"/>
  <c r="C77" i="2" s="1"/>
  <c r="E383" i="2"/>
  <c r="B383" i="2" s="1"/>
  <c r="E16" i="2"/>
  <c r="B16" i="2" s="1"/>
  <c r="I257" i="2"/>
  <c r="J257" i="2" s="1"/>
  <c r="C257" i="2" s="1"/>
  <c r="H257" i="2"/>
  <c r="E487" i="2"/>
  <c r="B487" i="2" s="1"/>
  <c r="I273" i="2"/>
  <c r="J273" i="2" s="1"/>
  <c r="C273" i="2" s="1"/>
  <c r="H273" i="2"/>
  <c r="E11" i="2"/>
  <c r="B11" i="2" s="1"/>
  <c r="I123" i="2"/>
  <c r="J123" i="2" s="1"/>
  <c r="C123" i="2" s="1"/>
  <c r="H123" i="2"/>
  <c r="I156" i="2"/>
  <c r="J156" i="2" s="1"/>
  <c r="C156" i="2" s="1"/>
  <c r="H156" i="2"/>
  <c r="E248" i="2"/>
  <c r="B248" i="2" s="1"/>
  <c r="I386" i="2"/>
  <c r="J386" i="2" s="1"/>
  <c r="C386" i="2" s="1"/>
  <c r="H386" i="2"/>
  <c r="I12" i="2"/>
  <c r="H12" i="2"/>
  <c r="J12" i="2" s="1"/>
  <c r="E127" i="2"/>
  <c r="E353" i="2"/>
  <c r="B353" i="2" s="1"/>
  <c r="I90" i="2"/>
  <c r="J90" i="2" s="1"/>
  <c r="C90" i="2" s="1"/>
  <c r="H90" i="2"/>
  <c r="E226" i="2"/>
  <c r="B226" i="2" s="1"/>
  <c r="I342" i="2"/>
  <c r="H342" i="2"/>
  <c r="J342" i="2" s="1"/>
  <c r="C342" i="2" s="1"/>
  <c r="E433" i="2"/>
  <c r="E191" i="2"/>
  <c r="E351" i="2"/>
  <c r="B351" i="2" s="1"/>
  <c r="H450" i="2"/>
  <c r="J450" i="2" s="1"/>
  <c r="I450" i="2"/>
  <c r="E108" i="2"/>
  <c r="B108" i="2" s="1"/>
  <c r="I260" i="2"/>
  <c r="H260" i="2"/>
  <c r="J260" i="2" s="1"/>
  <c r="C260" i="2" s="1"/>
  <c r="E134" i="2"/>
  <c r="B134" i="2" s="1"/>
  <c r="E202" i="2"/>
  <c r="B202" i="2" s="1"/>
  <c r="I363" i="2"/>
  <c r="H363" i="2"/>
  <c r="J363" i="2" s="1"/>
  <c r="C363" i="2" s="1"/>
  <c r="I62" i="2"/>
  <c r="J62" i="2" s="1"/>
  <c r="C62" i="2" s="1"/>
  <c r="H62" i="2"/>
  <c r="I285" i="2"/>
  <c r="H285" i="2"/>
  <c r="J285" i="2" s="1"/>
  <c r="C285" i="2" s="1"/>
  <c r="I207" i="2"/>
  <c r="J207" i="2" s="1"/>
  <c r="C207" i="2" s="1"/>
  <c r="H207" i="2"/>
  <c r="I339" i="2"/>
  <c r="H339" i="2"/>
  <c r="J339" i="2" s="1"/>
  <c r="C339" i="2" s="1"/>
  <c r="I452" i="2"/>
  <c r="H452" i="2"/>
  <c r="J452" i="2" s="1"/>
  <c r="C452" i="2" s="1"/>
  <c r="I399" i="2"/>
  <c r="J399" i="2" s="1"/>
  <c r="C399" i="2" s="1"/>
  <c r="H399" i="2"/>
  <c r="I108" i="2"/>
  <c r="H108" i="2"/>
  <c r="J108" i="2" s="1"/>
  <c r="C108" i="2" s="1"/>
  <c r="I271" i="2"/>
  <c r="J271" i="2" s="1"/>
  <c r="C271" i="2" s="1"/>
  <c r="H271" i="2"/>
  <c r="I447" i="2"/>
  <c r="J447" i="2" s="1"/>
  <c r="C447" i="2" s="1"/>
  <c r="H447" i="2"/>
  <c r="I197" i="2"/>
  <c r="H197" i="2"/>
  <c r="J197" i="2" s="1"/>
  <c r="C197" i="2" s="1"/>
  <c r="I64" i="2"/>
  <c r="H64" i="2"/>
  <c r="J64" i="2" s="1"/>
  <c r="C64" i="2" s="1"/>
  <c r="E285" i="2"/>
  <c r="B285" i="2" s="1"/>
  <c r="I111" i="2"/>
  <c r="H111" i="2"/>
  <c r="J111" i="2" s="1"/>
  <c r="C111" i="2" s="1"/>
  <c r="I465" i="2"/>
  <c r="J465" i="2" s="1"/>
  <c r="H465" i="2"/>
  <c r="I239" i="2"/>
  <c r="H239" i="2"/>
  <c r="J239" i="2" s="1"/>
  <c r="I417" i="2"/>
  <c r="H417" i="2"/>
  <c r="J417" i="2" s="1"/>
  <c r="C417" i="2" s="1"/>
  <c r="I133" i="2"/>
  <c r="J133" i="2" s="1"/>
  <c r="C133" i="2" s="1"/>
  <c r="H133" i="2"/>
  <c r="I486" i="2"/>
  <c r="J486" i="2" s="1"/>
  <c r="C486" i="2" s="1"/>
  <c r="H486" i="2"/>
  <c r="E376" i="2"/>
  <c r="B376" i="2" s="1"/>
  <c r="E486" i="2"/>
  <c r="B486" i="2" s="1"/>
  <c r="I327" i="2"/>
  <c r="H327" i="2"/>
  <c r="J327" i="2" s="1"/>
  <c r="C327" i="2" s="1"/>
  <c r="E379" i="2"/>
  <c r="B379" i="2" s="1"/>
  <c r="I72" i="2"/>
  <c r="J72" i="2" s="1"/>
  <c r="C72" i="2" s="1"/>
  <c r="H72" i="2"/>
  <c r="I481" i="2"/>
  <c r="H481" i="2"/>
  <c r="J481" i="2" s="1"/>
  <c r="C481" i="2" s="1"/>
  <c r="I30" i="2"/>
  <c r="J30" i="2" s="1"/>
  <c r="C30" i="2" s="1"/>
  <c r="H30" i="2"/>
  <c r="I449" i="2"/>
  <c r="J449" i="2" s="1"/>
  <c r="C449" i="2" s="1"/>
  <c r="H449" i="2"/>
  <c r="I172" i="2"/>
  <c r="H172" i="2"/>
  <c r="J172" i="2" s="1"/>
  <c r="C172" i="2" s="1"/>
  <c r="H228" i="2"/>
  <c r="I228" i="2"/>
  <c r="J228" i="2" s="1"/>
  <c r="I367" i="2"/>
  <c r="H367" i="2"/>
  <c r="J367" i="2" s="1"/>
  <c r="C367" i="2" s="1"/>
  <c r="I385" i="2"/>
  <c r="H385" i="2"/>
  <c r="J385" i="2" s="1"/>
  <c r="C385" i="2" s="1"/>
  <c r="E111" i="2"/>
  <c r="B111" i="2" s="1"/>
  <c r="E465" i="2"/>
  <c r="E339" i="2"/>
  <c r="B339" i="2" s="1"/>
  <c r="I331" i="2"/>
  <c r="H331" i="2"/>
  <c r="J331" i="2" s="1"/>
  <c r="C331" i="2" s="1"/>
  <c r="I140" i="2"/>
  <c r="H140" i="2"/>
  <c r="J140" i="2" s="1"/>
  <c r="C140" i="2" s="1"/>
  <c r="I142" i="2"/>
  <c r="H142" i="2"/>
  <c r="J142" i="2" s="1"/>
  <c r="I283" i="2"/>
  <c r="H283" i="2"/>
  <c r="J283" i="2" s="1"/>
  <c r="C283" i="2" s="1"/>
  <c r="I426" i="2"/>
  <c r="H426" i="2"/>
  <c r="J426" i="2" s="1"/>
  <c r="C426" i="2" s="1"/>
  <c r="I124" i="2"/>
  <c r="J124" i="2" s="1"/>
  <c r="C124" i="2" s="1"/>
  <c r="H124" i="2"/>
  <c r="I341" i="2"/>
  <c r="J341" i="2" s="1"/>
  <c r="C341" i="2" s="1"/>
  <c r="H341" i="2"/>
  <c r="I483" i="2"/>
  <c r="H483" i="2"/>
  <c r="J483" i="2" s="1"/>
  <c r="C483" i="2" s="1"/>
  <c r="E227" i="2"/>
  <c r="I27" i="2"/>
  <c r="J27" i="2" s="1"/>
  <c r="C27" i="2" s="1"/>
  <c r="H27" i="2"/>
  <c r="E404" i="2"/>
  <c r="B404" i="2" s="1"/>
  <c r="I468" i="2"/>
  <c r="H468" i="2"/>
  <c r="J468" i="2" s="1"/>
  <c r="C468" i="2" s="1"/>
  <c r="I43" i="2"/>
  <c r="J43" i="2" s="1"/>
  <c r="H43" i="2"/>
  <c r="E385" i="2"/>
  <c r="B385" i="2" s="1"/>
  <c r="I414" i="2"/>
  <c r="H414" i="2"/>
  <c r="J414" i="2" s="1"/>
  <c r="C414" i="2" s="1"/>
  <c r="I299" i="2"/>
  <c r="H299" i="2"/>
  <c r="J299" i="2" s="1"/>
  <c r="C299" i="2" s="1"/>
  <c r="I424" i="2"/>
  <c r="H424" i="2"/>
  <c r="J424" i="2" s="1"/>
  <c r="C424" i="2" s="1"/>
  <c r="H106" i="2"/>
  <c r="I106" i="2"/>
  <c r="J106" i="2" s="1"/>
  <c r="C106" i="2" s="1"/>
  <c r="I75" i="2"/>
  <c r="J75" i="2" s="1"/>
  <c r="C75" i="2" s="1"/>
  <c r="H75" i="2"/>
  <c r="I379" i="2"/>
  <c r="J379" i="2" s="1"/>
  <c r="C379" i="2" s="1"/>
  <c r="H379" i="2"/>
  <c r="E267" i="2"/>
  <c r="B267" i="2" s="1"/>
  <c r="H118" i="2"/>
  <c r="J118" i="2" s="1"/>
  <c r="C118" i="2" s="1"/>
  <c r="I118" i="2"/>
  <c r="I99" i="2"/>
  <c r="J99" i="2" s="1"/>
  <c r="C99" i="2" s="1"/>
  <c r="H99" i="2"/>
  <c r="I37" i="2"/>
  <c r="H37" i="2"/>
  <c r="J37" i="2" s="1"/>
  <c r="C37" i="2" s="1"/>
  <c r="I412" i="2"/>
  <c r="J412" i="2" s="1"/>
  <c r="C412" i="2" s="1"/>
  <c r="H412" i="2"/>
  <c r="I166" i="2"/>
  <c r="H166" i="2"/>
  <c r="J166" i="2" s="1"/>
  <c r="C166" i="2" s="1"/>
  <c r="E97" i="2"/>
  <c r="B97" i="2" s="1"/>
  <c r="I404" i="2"/>
  <c r="H404" i="2"/>
  <c r="J404" i="2" s="1"/>
  <c r="C404" i="2" s="1"/>
  <c r="E3" i="2"/>
  <c r="B3" i="2" s="1"/>
  <c r="I488" i="2"/>
  <c r="J488" i="2" s="1"/>
  <c r="C488" i="2" s="1"/>
  <c r="H488" i="2"/>
  <c r="I471" i="2"/>
  <c r="H471" i="2"/>
  <c r="J471" i="2" s="1"/>
  <c r="C471" i="2" s="1"/>
  <c r="I191" i="2"/>
  <c r="J191" i="2" s="1"/>
  <c r="H191" i="2"/>
  <c r="I247" i="2"/>
  <c r="H247" i="2"/>
  <c r="J247" i="2" s="1"/>
  <c r="C247" i="2" s="1"/>
  <c r="I211" i="2"/>
  <c r="J211" i="2" s="1"/>
  <c r="C211" i="2" s="1"/>
  <c r="H211" i="2"/>
  <c r="E247" i="2"/>
  <c r="B247" i="2" s="1"/>
  <c r="I334" i="2"/>
  <c r="H334" i="2"/>
  <c r="J334" i="2" s="1"/>
  <c r="E4" i="2"/>
  <c r="B4" i="2" s="1"/>
  <c r="I51" i="2"/>
  <c r="H51" i="2"/>
  <c r="J51" i="2" s="1"/>
  <c r="H320" i="2"/>
  <c r="J320" i="2" s="1"/>
  <c r="C320" i="2" s="1"/>
  <c r="I320" i="2"/>
  <c r="I154" i="2"/>
  <c r="J154" i="2" s="1"/>
  <c r="H154" i="2"/>
  <c r="E37" i="2"/>
  <c r="B37" i="2" s="1"/>
  <c r="H13" i="2"/>
  <c r="I13" i="2"/>
  <c r="J13" i="2" s="1"/>
  <c r="C13" i="2" s="1"/>
  <c r="E90" i="2"/>
  <c r="B90" i="2" s="1"/>
  <c r="I460" i="2"/>
  <c r="H460" i="2"/>
  <c r="J460" i="2" s="1"/>
  <c r="C460" i="2" s="1"/>
  <c r="I429" i="2"/>
  <c r="H429" i="2"/>
  <c r="J429" i="2" s="1"/>
  <c r="I160" i="2"/>
  <c r="H160" i="2"/>
  <c r="J160" i="2" s="1"/>
  <c r="C160" i="2" s="1"/>
  <c r="I484" i="2"/>
  <c r="J484" i="2" s="1"/>
  <c r="H484" i="2"/>
  <c r="I358" i="2"/>
  <c r="H358" i="2"/>
  <c r="J358" i="2" s="1"/>
  <c r="I149" i="2"/>
  <c r="H149" i="2"/>
  <c r="J149" i="2" s="1"/>
  <c r="C149" i="2" s="1"/>
  <c r="I219" i="2"/>
  <c r="H219" i="2"/>
  <c r="J219" i="2" s="1"/>
  <c r="I224" i="2"/>
  <c r="H224" i="2"/>
  <c r="J224" i="2" s="1"/>
  <c r="C224" i="2" s="1"/>
  <c r="I100" i="2"/>
  <c r="J100" i="2" s="1"/>
  <c r="H100" i="2"/>
  <c r="I254" i="2"/>
  <c r="J254" i="2" s="1"/>
  <c r="C254" i="2" s="1"/>
  <c r="H254" i="2"/>
  <c r="E320" i="2"/>
  <c r="B320" i="2" s="1"/>
  <c r="H212" i="2"/>
  <c r="J212" i="2" s="1"/>
  <c r="C212" i="2" s="1"/>
  <c r="I212" i="2"/>
  <c r="E151" i="2"/>
  <c r="B151" i="2" s="1"/>
  <c r="E101" i="2"/>
  <c r="B101" i="2" s="1"/>
  <c r="I213" i="2"/>
  <c r="J213" i="2" s="1"/>
  <c r="C213" i="2" s="1"/>
  <c r="H213" i="2"/>
  <c r="H3" i="2"/>
  <c r="I3" i="2"/>
  <c r="J3" i="2" s="1"/>
  <c r="C3" i="2" s="1"/>
  <c r="I469" i="2"/>
  <c r="H469" i="2"/>
  <c r="J469" i="2" s="1"/>
  <c r="C469" i="2" s="1"/>
  <c r="E358" i="2"/>
  <c r="E228" i="2"/>
  <c r="I288" i="2"/>
  <c r="H288" i="2"/>
  <c r="J288" i="2" s="1"/>
  <c r="C288" i="2" s="1"/>
  <c r="E203" i="2"/>
  <c r="B203" i="2" s="1"/>
  <c r="I393" i="2"/>
  <c r="J393" i="2" s="1"/>
  <c r="C393" i="2" s="1"/>
  <c r="H393" i="2"/>
  <c r="I240" i="2"/>
  <c r="H240" i="2"/>
  <c r="J240" i="2" s="1"/>
  <c r="C240" i="2" s="1"/>
  <c r="I332" i="2"/>
  <c r="H332" i="2"/>
  <c r="J332" i="2" s="1"/>
  <c r="C332" i="2" s="1"/>
  <c r="I203" i="2"/>
  <c r="J203" i="2" s="1"/>
  <c r="C203" i="2" s="1"/>
  <c r="H203" i="2"/>
  <c r="I376" i="2"/>
  <c r="J376" i="2" s="1"/>
  <c r="C376" i="2" s="1"/>
  <c r="H376" i="2"/>
  <c r="I383" i="2"/>
  <c r="J383" i="2" s="1"/>
  <c r="C383" i="2" s="1"/>
  <c r="H383" i="2"/>
  <c r="I242" i="2"/>
  <c r="H242" i="2"/>
  <c r="J242" i="2" s="1"/>
  <c r="C242" i="2" s="1"/>
  <c r="H28" i="2"/>
  <c r="J28" i="2" s="1"/>
  <c r="C28" i="2" s="1"/>
  <c r="I28" i="2"/>
  <c r="E242" i="2"/>
  <c r="B242" i="2" s="1"/>
  <c r="E28" i="2"/>
  <c r="B28" i="2" s="1"/>
  <c r="E100" i="2"/>
  <c r="I267" i="2"/>
  <c r="H267" i="2"/>
  <c r="J267" i="2" s="1"/>
  <c r="C267" i="2" s="1"/>
  <c r="E124" i="2"/>
  <c r="B124" i="2" s="1"/>
  <c r="I453" i="2"/>
  <c r="J453" i="2" s="1"/>
  <c r="C453" i="2" s="1"/>
  <c r="H453" i="2"/>
  <c r="E301" i="2"/>
  <c r="B301" i="2" s="1"/>
  <c r="E239" i="2"/>
  <c r="E212" i="2"/>
  <c r="B212" i="2" s="1"/>
  <c r="H227" i="2"/>
  <c r="J227" i="2" s="1"/>
  <c r="I227" i="2"/>
  <c r="I138" i="2"/>
  <c r="J138" i="2" s="1"/>
  <c r="C138" i="2" s="1"/>
  <c r="H138" i="2"/>
  <c r="E484" i="2"/>
  <c r="E469" i="2"/>
  <c r="B469" i="2" s="1"/>
  <c r="I231" i="2"/>
  <c r="H231" i="2"/>
  <c r="J231" i="2" s="1"/>
  <c r="C231" i="2" s="1"/>
  <c r="H243" i="2"/>
  <c r="J243" i="2" s="1"/>
  <c r="C243" i="2" s="1"/>
  <c r="I243" i="2"/>
  <c r="E288" i="2"/>
  <c r="B288" i="2" s="1"/>
  <c r="E367" i="2"/>
  <c r="B367" i="2" s="1"/>
  <c r="I461" i="2"/>
  <c r="H461" i="2"/>
  <c r="J461" i="2" s="1"/>
  <c r="C461" i="2" s="1"/>
  <c r="E393" i="2"/>
  <c r="B393" i="2" s="1"/>
  <c r="H150" i="2"/>
  <c r="J150" i="2" s="1"/>
  <c r="C150" i="2" s="1"/>
  <c r="I150" i="2"/>
  <c r="H304" i="2"/>
  <c r="J304" i="2" s="1"/>
  <c r="C304" i="2" s="1"/>
  <c r="I304" i="2"/>
  <c r="E366" i="2"/>
  <c r="AJ2" i="2"/>
  <c r="X2" i="2"/>
  <c r="V2" i="2"/>
  <c r="A2" i="2"/>
  <c r="F2" i="2"/>
  <c r="I2" i="2" l="1"/>
  <c r="H2" i="2"/>
  <c r="E2" i="2"/>
  <c r="B2" i="2" s="1"/>
  <c r="J2" i="2" l="1"/>
  <c r="C2" i="2" s="1"/>
</calcChain>
</file>

<file path=xl/sharedStrings.xml><?xml version="1.0" encoding="utf-8"?>
<sst xmlns="http://schemas.openxmlformats.org/spreadsheetml/2006/main" count="1899" uniqueCount="1553">
  <si>
    <t>Voornaam</t>
  </si>
  <si>
    <t>Middelste naam</t>
  </si>
  <si>
    <t>Achternaam</t>
  </si>
  <si>
    <t>Bedrijf</t>
  </si>
  <si>
    <t>Realname</t>
  </si>
  <si>
    <t>Komma1</t>
  </si>
  <si>
    <t>Haakje1</t>
  </si>
  <si>
    <t>Haakje2</t>
  </si>
  <si>
    <t>Tel Bedrijf</t>
  </si>
  <si>
    <t>Nid bedrijf</t>
  </si>
  <si>
    <t>Nid thuis</t>
  </si>
  <si>
    <t>Tel thuis</t>
  </si>
  <si>
    <t>Nid mobiel</t>
  </si>
  <si>
    <t>Tel mobiel</t>
  </si>
  <si>
    <t>Nid Werk</t>
  </si>
  <si>
    <t>Tel werk</t>
  </si>
  <si>
    <t>String TELEPHONY</t>
  </si>
  <si>
    <t>String NUMBER bedrijf</t>
  </si>
  <si>
    <t>Prio bedrijf</t>
  </si>
  <si>
    <t>Prio thuis</t>
  </si>
  <si>
    <t>Prio mobiel</t>
  </si>
  <si>
    <t>Prio werk</t>
  </si>
  <si>
    <t>String NUMBER thuis</t>
  </si>
  <si>
    <t>String NUMBER mobiel</t>
  </si>
  <si>
    <t>String NUMBER werk</t>
  </si>
  <si>
    <t xml:space="preserve">String CONTACT </t>
  </si>
  <si>
    <t>String TELEPHONY + NUMBER</t>
  </si>
  <si>
    <t>Email</t>
  </si>
  <si>
    <t>String email</t>
  </si>
  <si>
    <t>Mod_time</t>
  </si>
  <si>
    <t>Unique-id</t>
  </si>
  <si>
    <t>String NO email</t>
  </si>
  <si>
    <t>String YES email</t>
  </si>
  <si>
    <t>&lt;?xml version="1.0" encoding="UTF-8"?&gt;&lt;phonebooks&gt;&lt;phonebook name="iCloud Contacts"&gt;</t>
  </si>
  <si>
    <t>Hoofdtelefoon bedrijf</t>
  </si>
  <si>
    <t>Telefoon op werk</t>
  </si>
  <si>
    <t>Telefoon thuis</t>
  </si>
  <si>
    <t>Mobiele telefoon</t>
  </si>
  <si>
    <t>E-mailadres</t>
  </si>
  <si>
    <t>Ron</t>
  </si>
  <si>
    <t>(Aannemer)</t>
  </si>
  <si>
    <t>Kora</t>
  </si>
  <si>
    <t>Abbink</t>
  </si>
  <si>
    <t>Koremi</t>
  </si>
  <si>
    <t>+31 10 420 40 90</t>
  </si>
  <si>
    <t>+31 6 36 38 47 21</t>
  </si>
  <si>
    <t>Adam Brand Store</t>
  </si>
  <si>
    <t>Kledingwinkel</t>
  </si>
  <si>
    <t>+31 883274327</t>
  </si>
  <si>
    <t>+31 104202632</t>
  </si>
  <si>
    <t>Alarmnummer</t>
  </si>
  <si>
    <t>Hulpdiensten</t>
  </si>
  <si>
    <t>Amber</t>
  </si>
  <si>
    <t>Alert</t>
  </si>
  <si>
    <t>Annet</t>
  </si>
  <si>
    <t>Alingh-van der Schalk</t>
  </si>
  <si>
    <t>Yogapraktijk Pachamama</t>
  </si>
  <si>
    <t>+31 6 48382506</t>
  </si>
  <si>
    <t>info@yogapraktijkpachamama.nl</t>
  </si>
  <si>
    <t>Ad</t>
  </si>
  <si>
    <t>Ambachtsheer</t>
  </si>
  <si>
    <t>+31 165533596</t>
  </si>
  <si>
    <t>+31 637600120</t>
  </si>
  <si>
    <t>adambachtsheer@hotmail.nl</t>
  </si>
  <si>
    <t>Apotheek Hesseplaats</t>
  </si>
  <si>
    <t>Apotheek</t>
  </si>
  <si>
    <t>+31 104555552</t>
  </si>
  <si>
    <t>Ardea</t>
  </si>
  <si>
    <t>Ford Garage</t>
  </si>
  <si>
    <t>+31 102070707</t>
  </si>
  <si>
    <t>+31 102070753</t>
  </si>
  <si>
    <t>Anton</t>
  </si>
  <si>
    <t>Arema</t>
  </si>
  <si>
    <t>+31 610605441</t>
  </si>
  <si>
    <t>arema.muziek@12move.nl</t>
  </si>
  <si>
    <t>Corina</t>
  </si>
  <si>
    <t>Arends</t>
  </si>
  <si>
    <t>c.arends@yurtlife.nl</t>
  </si>
  <si>
    <t>Kirsten</t>
  </si>
  <si>
    <t>Baaijens</t>
  </si>
  <si>
    <t>+31 357440204</t>
  </si>
  <si>
    <t>Baderie</t>
  </si>
  <si>
    <t>+31 105218434</t>
  </si>
  <si>
    <t>Bakker Ammerlaan</t>
  </si>
  <si>
    <t>+31 107600010</t>
  </si>
  <si>
    <t>Martin</t>
  </si>
  <si>
    <t>Bakker</t>
  </si>
  <si>
    <t>+31 135111246</t>
  </si>
  <si>
    <t>+31 641878606</t>
  </si>
  <si>
    <t>m.mbakker@hetnet.nl</t>
  </si>
  <si>
    <t>Vera</t>
  </si>
  <si>
    <t>+31 618363412</t>
  </si>
  <si>
    <t>Vera_Melanchthon@hotmail.com</t>
  </si>
  <si>
    <t>Joek</t>
  </si>
  <si>
    <t>Bal</t>
  </si>
  <si>
    <t>+31 104211178</t>
  </si>
  <si>
    <t>jcbal1961@gmail.com</t>
  </si>
  <si>
    <t>Balder</t>
  </si>
  <si>
    <t>Christine</t>
  </si>
  <si>
    <t>Barton</t>
  </si>
  <si>
    <t>teeny51@icloud.com</t>
  </si>
  <si>
    <t>Nick</t>
  </si>
  <si>
    <t>Belastingtelefoon</t>
  </si>
  <si>
    <t>Overheid</t>
  </si>
  <si>
    <t>0800 0543</t>
  </si>
  <si>
    <t>Maureen</t>
  </si>
  <si>
    <t>Berben</t>
  </si>
  <si>
    <t>+31 645830230</t>
  </si>
  <si>
    <t>mberben@gmail.com</t>
  </si>
  <si>
    <t>van den</t>
  </si>
  <si>
    <t>Berg</t>
  </si>
  <si>
    <t>+31 6 26922570</t>
  </si>
  <si>
    <t>nick.kranck@gmail.com</t>
  </si>
  <si>
    <t>Herman</t>
  </si>
  <si>
    <t>Bergwerff</t>
  </si>
  <si>
    <t>+31 517341600</t>
  </si>
  <si>
    <t>+31 653 838 441</t>
  </si>
  <si>
    <t>bergwerffhb@planet.nl</t>
  </si>
  <si>
    <t>Bever Zwerfsport</t>
  </si>
  <si>
    <t>Sportwinkel</t>
  </si>
  <si>
    <t>+31 104134914</t>
  </si>
  <si>
    <t>Bevolkingsonderzoek Zuid-West</t>
  </si>
  <si>
    <t>Gezondheidszorg</t>
  </si>
  <si>
    <t>+31 882482000</t>
  </si>
  <si>
    <t>Anne-Marie</t>
  </si>
  <si>
    <t>de</t>
  </si>
  <si>
    <t>Bie</t>
  </si>
  <si>
    <t>(0180) 52 22 55</t>
  </si>
  <si>
    <t>+31 102180905</t>
  </si>
  <si>
    <t>(06) 31 97 62 15</t>
  </si>
  <si>
    <t>mjacdebie@online.nl</t>
  </si>
  <si>
    <t>Corry</t>
  </si>
  <si>
    <t>+31 104183598</t>
  </si>
  <si>
    <t>Herma</t>
  </si>
  <si>
    <t>Blaauwboer (voorheen)</t>
  </si>
  <si>
    <t>+31 102202722</t>
  </si>
  <si>
    <t>Inger</t>
  </si>
  <si>
    <t>Blomstereng</t>
  </si>
  <si>
    <t>+47 90036770</t>
  </si>
  <si>
    <t>inger-y@online.no</t>
  </si>
  <si>
    <t>Patrick</t>
  </si>
  <si>
    <t>Blonk</t>
  </si>
  <si>
    <t>+31 108451864</t>
  </si>
  <si>
    <t>pagblonk@hotmail.com</t>
  </si>
  <si>
    <t>Aukje</t>
  </si>
  <si>
    <t>Boer</t>
  </si>
  <si>
    <t>+31 517 341 600</t>
  </si>
  <si>
    <t>+31 683 247 416</t>
  </si>
  <si>
    <t>bergwerff.baard@planet.nl</t>
  </si>
  <si>
    <t>De</t>
  </si>
  <si>
    <t>Boissezon</t>
  </si>
  <si>
    <t>Olivier en Véronique</t>
  </si>
  <si>
    <t>vodeboissezon@free.fr</t>
  </si>
  <si>
    <t>Johan</t>
  </si>
  <si>
    <t>Bolomey</t>
  </si>
  <si>
    <t>jbolomey@melanchthon.nl</t>
  </si>
  <si>
    <t>Jeannette</t>
  </si>
  <si>
    <t>van</t>
  </si>
  <si>
    <t>Bommel</t>
  </si>
  <si>
    <t>(06) 49 97 28 97</t>
  </si>
  <si>
    <t>+49 5922776736</t>
  </si>
  <si>
    <t>jmtvanbommel@hotmail.com</t>
  </si>
  <si>
    <t>Jan</t>
  </si>
  <si>
    <t>Boon</t>
  </si>
  <si>
    <t>+31 104610147</t>
  </si>
  <si>
    <t>bonovsky@hotmail.com</t>
  </si>
  <si>
    <t>Ies</t>
  </si>
  <si>
    <t>Bos</t>
  </si>
  <si>
    <t>+31 105212879</t>
  </si>
  <si>
    <t>+31 655335389</t>
  </si>
  <si>
    <t>ies@specialorchids.com</t>
  </si>
  <si>
    <t>Tea</t>
  </si>
  <si>
    <t>+31 627005161</t>
  </si>
  <si>
    <t>teabos@hotmail.com</t>
  </si>
  <si>
    <t>Egbert</t>
  </si>
  <si>
    <t>Bosch</t>
  </si>
  <si>
    <t>Iris</t>
  </si>
  <si>
    <t>+31 505034344</t>
  </si>
  <si>
    <t>+31 686 677 102</t>
  </si>
  <si>
    <t>ronvandenbosch@gmail.com</t>
  </si>
  <si>
    <t>Els</t>
  </si>
  <si>
    <t>Boter</t>
  </si>
  <si>
    <t>Anne</t>
  </si>
  <si>
    <t>Bout</t>
  </si>
  <si>
    <t>+31 297522636</t>
  </si>
  <si>
    <t>+31 6 81 90 50 42</t>
  </si>
  <si>
    <t>aoburgerbout@hotmail.com</t>
  </si>
  <si>
    <t>Arjan</t>
  </si>
  <si>
    <t>Bouwman</t>
  </si>
  <si>
    <t>+31 643 208121</t>
  </si>
  <si>
    <t>arjanbouwman@hotmail.com</t>
  </si>
  <si>
    <t>Rogier</t>
  </si>
  <si>
    <t>Braat</t>
  </si>
  <si>
    <t>Star-shl</t>
  </si>
  <si>
    <t>+31 765029100</t>
  </si>
  <si>
    <t>+31 6 34 92 22 85</t>
  </si>
  <si>
    <t>r.braat@star-shl.nl</t>
  </si>
  <si>
    <t>Marcel</t>
  </si>
  <si>
    <t>Brandwijk</t>
  </si>
  <si>
    <t>+31 105113231</t>
  </si>
  <si>
    <t>mvbrandwijk@melanchthon.nl</t>
  </si>
  <si>
    <t>Brasserie Pierre</t>
  </si>
  <si>
    <t>Restaurant</t>
  </si>
  <si>
    <t>+31 108423757</t>
  </si>
  <si>
    <t>Caroline</t>
  </si>
  <si>
    <t>Breugem</t>
  </si>
  <si>
    <t>Carolinebreugem@hotmail.com</t>
  </si>
  <si>
    <t>Twan</t>
  </si>
  <si>
    <t>Briels</t>
  </si>
  <si>
    <t>Marijke</t>
  </si>
  <si>
    <t>Bril</t>
  </si>
  <si>
    <t>+31 102518256</t>
  </si>
  <si>
    <t>marijke.bril@gmail.com</t>
  </si>
  <si>
    <t>Peter</t>
  </si>
  <si>
    <t>Broek</t>
  </si>
  <si>
    <t>Schilder</t>
  </si>
  <si>
    <t>+31 104552758</t>
  </si>
  <si>
    <t>+31 648149911</t>
  </si>
  <si>
    <t>tpa.vandenbroek@hotmail.nl</t>
  </si>
  <si>
    <t>Martijn</t>
  </si>
  <si>
    <t>Broekhuis</t>
  </si>
  <si>
    <t xml:space="preserve">Fidenz Hypotheek adviseur </t>
  </si>
  <si>
    <t>+31 10 211 11 44</t>
  </si>
  <si>
    <t>info@fidenz.nl</t>
  </si>
  <si>
    <t>Loes</t>
  </si>
  <si>
    <t>Broers-Van Parreeren</t>
  </si>
  <si>
    <t>+31 793515121</t>
  </si>
  <si>
    <t>+31 6 15 45 41 88</t>
  </si>
  <si>
    <t>louisebroers@hotmail.nl</t>
  </si>
  <si>
    <t>Rémi</t>
  </si>
  <si>
    <t>Broers</t>
  </si>
  <si>
    <t>+31 631952693</t>
  </si>
  <si>
    <t>Willem</t>
  </si>
  <si>
    <t>Bronwasser</t>
  </si>
  <si>
    <t>WMB</t>
  </si>
  <si>
    <t>+31 6 27 02 72 21</t>
  </si>
  <si>
    <t>+31 10 4747 828</t>
  </si>
  <si>
    <t>sparood@tiscali.nl</t>
  </si>
  <si>
    <t>Christiane (Jane)</t>
  </si>
  <si>
    <t>Bruhn</t>
  </si>
  <si>
    <t>+49 (0) 176 49562249</t>
  </si>
  <si>
    <t>Bruna</t>
  </si>
  <si>
    <t>Bookshop</t>
  </si>
  <si>
    <t>+31 104212902</t>
  </si>
  <si>
    <t>Willeke</t>
  </si>
  <si>
    <t>Buitendijk</t>
  </si>
  <si>
    <t>Gastvrouw/invalster</t>
  </si>
  <si>
    <t>(010) 451 95 88</t>
  </si>
  <si>
    <t>willeke.buitendijk@live.nl</t>
  </si>
  <si>
    <t>Bullens</t>
  </si>
  <si>
    <t>+31 629459707</t>
  </si>
  <si>
    <t>Carin</t>
  </si>
  <si>
    <t>du</t>
  </si>
  <si>
    <t>Burck</t>
  </si>
  <si>
    <t>+31 654646501</t>
  </si>
  <si>
    <t>carinduburck@gmail.com</t>
  </si>
  <si>
    <t>Rob</t>
  </si>
  <si>
    <t>Buré</t>
  </si>
  <si>
    <t>+31 317414866</t>
  </si>
  <si>
    <t>+31 646775288</t>
  </si>
  <si>
    <t>r.bure@upcmail.nl</t>
  </si>
  <si>
    <t>Burger</t>
  </si>
  <si>
    <t>+31 297 522636</t>
  </si>
  <si>
    <t>jobstijdingen@hotmail.com</t>
  </si>
  <si>
    <t>Joop</t>
  </si>
  <si>
    <t>Buurman</t>
  </si>
  <si>
    <t>(010) 841 51 28</t>
  </si>
  <si>
    <t>Carnegie Cottage</t>
  </si>
  <si>
    <t>Hotel</t>
  </si>
  <si>
    <t>+31 318591220</t>
  </si>
  <si>
    <t>Arnaud</t>
  </si>
  <si>
    <t>Castet</t>
  </si>
  <si>
    <t>Centrum Orthopedie Rotterdam BV</t>
  </si>
  <si>
    <t>+31 102141949</t>
  </si>
  <si>
    <t>Eliane</t>
  </si>
  <si>
    <t>Chikh</t>
  </si>
  <si>
    <t>+41 22 752 33 14</t>
  </si>
  <si>
    <t>+41 78 840 55 82</t>
  </si>
  <si>
    <t>Rex</t>
  </si>
  <si>
    <t>+41 227523933</t>
  </si>
  <si>
    <t>+41 788525740</t>
  </si>
  <si>
    <t>rex.chikh@bluewin.ch</t>
  </si>
  <si>
    <t>Cinerama</t>
  </si>
  <si>
    <t>Bioscoop</t>
  </si>
  <si>
    <t>+31 104115300</t>
  </si>
  <si>
    <t>Cineville</t>
  </si>
  <si>
    <t>info@cineville.nl</t>
  </si>
  <si>
    <t>City Portal Rotterdam</t>
  </si>
  <si>
    <t>Gemeente Rotterdam</t>
  </si>
  <si>
    <t>IMEI</t>
  </si>
  <si>
    <t>Code</t>
  </si>
  <si>
    <t>*#06#</t>
  </si>
  <si>
    <t>Consumentenbond</t>
  </si>
  <si>
    <t>+31 704454545</t>
  </si>
  <si>
    <t>Leen</t>
  </si>
  <si>
    <t>Couprie</t>
  </si>
  <si>
    <t>+31 793425005</t>
  </si>
  <si>
    <t>+31 621859537</t>
  </si>
  <si>
    <t>leencouprie@gmail.com</t>
  </si>
  <si>
    <t>Marion</t>
  </si>
  <si>
    <t>Steven</t>
  </si>
  <si>
    <t>couprie.s@gmail.com</t>
  </si>
  <si>
    <t>Cruyff</t>
  </si>
  <si>
    <t>+31 623905282</t>
  </si>
  <si>
    <t>martijn@martijncruyff.nl</t>
  </si>
  <si>
    <t>CubaCasa</t>
  </si>
  <si>
    <t>+31 629594849</t>
  </si>
  <si>
    <t>Najoua</t>
  </si>
  <si>
    <t>Dahhane-Serghini</t>
  </si>
  <si>
    <t>+31 639110005</t>
  </si>
  <si>
    <t>dahhane@casema.nl</t>
  </si>
  <si>
    <t>Desiree</t>
  </si>
  <si>
    <t>De Graaf</t>
  </si>
  <si>
    <t>Pilates en Yoga</t>
  </si>
  <si>
    <t>+31 6 10 41 55 55</t>
  </si>
  <si>
    <t>desiree.degraaf@icloud.com</t>
  </si>
  <si>
    <t>Mark</t>
  </si>
  <si>
    <t>de Groot</t>
  </si>
  <si>
    <t>Behanger  Albert via Hellen</t>
  </si>
  <si>
    <t>De Hon-Kuijpers</t>
  </si>
  <si>
    <t>(06) 53 55 16 03</t>
  </si>
  <si>
    <t>(06) 42 64 50 90</t>
  </si>
  <si>
    <t>Corrie</t>
  </si>
  <si>
    <t>De Koning</t>
  </si>
  <si>
    <t>corrie.dekoning@kpnmail.nl</t>
  </si>
  <si>
    <t>Georgy</t>
  </si>
  <si>
    <t xml:space="preserve">De schilder via Ruigrok </t>
  </si>
  <si>
    <t>De Verandering</t>
  </si>
  <si>
    <t>+31 104201500</t>
  </si>
  <si>
    <t>Cédric</t>
  </si>
  <si>
    <t>Debiesse</t>
  </si>
  <si>
    <t>Ineke</t>
  </si>
  <si>
    <t>+33 56123283</t>
  </si>
  <si>
    <t>Jean-Luc</t>
  </si>
  <si>
    <t>Ségolène</t>
  </si>
  <si>
    <t>Séverine</t>
  </si>
  <si>
    <t>Annelies</t>
  </si>
  <si>
    <t>Dekker-Homburg</t>
  </si>
  <si>
    <t>+31 235247230</t>
  </si>
  <si>
    <t>+31 626746399</t>
  </si>
  <si>
    <t>ahomburg@hetnet.nl</t>
  </si>
  <si>
    <t>Linda</t>
  </si>
  <si>
    <t>Delfos</t>
  </si>
  <si>
    <t>+31 104666328</t>
  </si>
  <si>
    <t>+31 6 22719199</t>
  </si>
  <si>
    <t>ldelfos@hotmail.com</t>
  </si>
  <si>
    <t>Paul</t>
  </si>
  <si>
    <t>Dellen</t>
  </si>
  <si>
    <t>+31 6 20 851 925</t>
  </si>
  <si>
    <t>dellen@telfort.nl</t>
  </si>
  <si>
    <t>Depauw</t>
  </si>
  <si>
    <t>+32 477394556</t>
  </si>
  <si>
    <t>depauw.jan@hotmail.com</t>
  </si>
  <si>
    <t>Randy</t>
  </si>
  <si>
    <t>Derkhof</t>
  </si>
  <si>
    <t>UP3</t>
  </si>
  <si>
    <t>+31 651968777</t>
  </si>
  <si>
    <t>UP3@live.nl</t>
  </si>
  <si>
    <t>Kaj</t>
  </si>
  <si>
    <t>Dienske</t>
  </si>
  <si>
    <t>Dierenarts</t>
  </si>
  <si>
    <t>+31 104206666</t>
  </si>
  <si>
    <t>Dan</t>
  </si>
  <si>
    <t>Dijk</t>
  </si>
  <si>
    <t>Hanna</t>
  </si>
  <si>
    <t>+31 627881403</t>
  </si>
  <si>
    <t>Ruth</t>
  </si>
  <si>
    <t>Fred</t>
  </si>
  <si>
    <t>Dijkman</t>
  </si>
  <si>
    <t>Geert</t>
  </si>
  <si>
    <t>Dijkstra</t>
  </si>
  <si>
    <t>+31 613246603</t>
  </si>
  <si>
    <t>Dinan</t>
  </si>
  <si>
    <t>Gemma</t>
  </si>
  <si>
    <t>Dols</t>
  </si>
  <si>
    <t>+31 534355158</t>
  </si>
  <si>
    <t>+31 646560577</t>
  </si>
  <si>
    <t>gamdols@kpnmail.nl</t>
  </si>
  <si>
    <t>Helene</t>
  </si>
  <si>
    <t>Dongelmans</t>
  </si>
  <si>
    <t>Dorst</t>
  </si>
  <si>
    <t>+31 703943689</t>
  </si>
  <si>
    <t>Maartje</t>
  </si>
  <si>
    <t>van der</t>
  </si>
  <si>
    <t>Drift</t>
  </si>
  <si>
    <t>+31 102469090</t>
  </si>
  <si>
    <t>ti006058@tiscali.nl</t>
  </si>
  <si>
    <t>Ingrid</t>
  </si>
  <si>
    <t>Drouen</t>
  </si>
  <si>
    <t>+31 625095015</t>
  </si>
  <si>
    <t>idrouen@wemanity.com</t>
  </si>
  <si>
    <t>John</t>
  </si>
  <si>
    <t>Duijne</t>
  </si>
  <si>
    <t>+31 6 51 685525</t>
  </si>
  <si>
    <t>cjvanduijne@live.nl</t>
  </si>
  <si>
    <t>Femke</t>
  </si>
  <si>
    <t>Eerdmans</t>
  </si>
  <si>
    <t>lovefemke@hotmail.com</t>
  </si>
  <si>
    <t>Olivier</t>
  </si>
  <si>
    <t>Eijk</t>
  </si>
  <si>
    <t>+31 102204801</t>
  </si>
  <si>
    <t>P.Eyk1@upcmail.nl</t>
  </si>
  <si>
    <t>Hans</t>
  </si>
  <si>
    <t>Eimers</t>
  </si>
  <si>
    <t>+31 615863015</t>
  </si>
  <si>
    <t>heimers@chello.nl</t>
  </si>
  <si>
    <t>Marjolein</t>
  </si>
  <si>
    <t>+31 645739685</t>
  </si>
  <si>
    <t>marjoleineimers@gmail.com</t>
  </si>
  <si>
    <t>Jaco</t>
  </si>
  <si>
    <t>Elst</t>
  </si>
  <si>
    <t>+31 105218691</t>
  </si>
  <si>
    <t>elst.breugem@casema.nl</t>
  </si>
  <si>
    <t>Agnes</t>
  </si>
  <si>
    <t>Elzerman</t>
  </si>
  <si>
    <t>+31 102231871</t>
  </si>
  <si>
    <t>+31 624633435</t>
  </si>
  <si>
    <t>agelzerman@hotmail.com</t>
  </si>
  <si>
    <t>Kees</t>
  </si>
  <si>
    <t>Emmerich</t>
  </si>
  <si>
    <t>+31 104674795</t>
  </si>
  <si>
    <t>Aylin</t>
  </si>
  <si>
    <t>Erkan</t>
  </si>
  <si>
    <t>+31 6 39 08 95 10</t>
  </si>
  <si>
    <t xml:space="preserve">Kadir </t>
  </si>
  <si>
    <t>+31 6 14 78 57 45</t>
  </si>
  <si>
    <t>Bas</t>
  </si>
  <si>
    <t>Es</t>
  </si>
  <si>
    <t>+31 104667901</t>
  </si>
  <si>
    <t>Cobie</t>
  </si>
  <si>
    <t>Saskia</t>
  </si>
  <si>
    <t>Etman</t>
  </si>
  <si>
    <t>+31 104183360</t>
  </si>
  <si>
    <t>+31 638038770</t>
  </si>
  <si>
    <t>s.etman@hotmail.com</t>
  </si>
  <si>
    <t>Fatima</t>
  </si>
  <si>
    <t>Ros</t>
  </si>
  <si>
    <t>Floor</t>
  </si>
  <si>
    <t>+31 30676107</t>
  </si>
  <si>
    <t>Foot Wellness Joyce</t>
  </si>
  <si>
    <t>Pedicure</t>
  </si>
  <si>
    <t>+31 650635284</t>
  </si>
  <si>
    <t>Fox</t>
  </si>
  <si>
    <t>Paul.fox@fennec.nl</t>
  </si>
  <si>
    <t>Wil</t>
  </si>
  <si>
    <t>Franken</t>
  </si>
  <si>
    <t>(06) 34 03 84 47</t>
  </si>
  <si>
    <t>Marieke</t>
  </si>
  <si>
    <t>Fränzel</t>
  </si>
  <si>
    <t>+31 6 51585674</t>
  </si>
  <si>
    <t>Fysio4you</t>
  </si>
  <si>
    <t>Fysiotherapie</t>
  </si>
  <si>
    <t>+31 104200408</t>
  </si>
  <si>
    <t>Slijter</t>
  </si>
  <si>
    <t>+31 102860232</t>
  </si>
  <si>
    <t>Rothmeijer</t>
  </si>
  <si>
    <t>Gallery 62</t>
  </si>
  <si>
    <t>Raamdecoratie, Behang, Etc.</t>
  </si>
  <si>
    <t>(010) 316 36 29</t>
  </si>
  <si>
    <t>Frieda ( F.A.W.)</t>
  </si>
  <si>
    <t>Gansen-Heusdens</t>
  </si>
  <si>
    <t>00 31 10 418 29 57</t>
  </si>
  <si>
    <t>Gastvrouwenbalies IJsselland</t>
  </si>
  <si>
    <t>(010) 258 58 80;</t>
  </si>
  <si>
    <t>(010) 258 58 81</t>
  </si>
  <si>
    <t>Wilma</t>
  </si>
  <si>
    <t>Geluk</t>
  </si>
  <si>
    <t>+31 104564557</t>
  </si>
  <si>
    <t>Esther</t>
  </si>
  <si>
    <t>Gend</t>
  </si>
  <si>
    <t>+31 628560721</t>
  </si>
  <si>
    <t>e.m.m.goudhaartje@hotmail.com</t>
  </si>
  <si>
    <t>Monique</t>
  </si>
  <si>
    <t>Gidding</t>
  </si>
  <si>
    <t>+31 104707739</t>
  </si>
  <si>
    <t>m_gidding@hotmail.com</t>
  </si>
  <si>
    <t>Dick</t>
  </si>
  <si>
    <t>Ginkel</t>
  </si>
  <si>
    <t>dick_ginkel@yahoo.co.uk</t>
  </si>
  <si>
    <t>Remko</t>
  </si>
  <si>
    <t>Gobee</t>
  </si>
  <si>
    <t>Remko@Gobee.nl</t>
  </si>
  <si>
    <t>Groenendijk-Van Olst</t>
  </si>
  <si>
    <t>piet_groenendijk@ziggo.nl</t>
  </si>
  <si>
    <t>Katara</t>
  </si>
  <si>
    <t>Groenendijk</t>
  </si>
  <si>
    <t>Kelly</t>
  </si>
  <si>
    <t>Maaikel</t>
  </si>
  <si>
    <t>+31 681524097</t>
  </si>
  <si>
    <t>mpjgroenendijk@gmail.com</t>
  </si>
  <si>
    <t>Groeneveld</t>
  </si>
  <si>
    <t>henkgroeneveld12@hetnet.nl</t>
  </si>
  <si>
    <t>Henriette</t>
  </si>
  <si>
    <t>+33 493620953</t>
  </si>
  <si>
    <t>jet@ime-images.com</t>
  </si>
  <si>
    <t>Ruud</t>
  </si>
  <si>
    <t>Groeneweg</t>
  </si>
  <si>
    <t>Elektricien</t>
  </si>
  <si>
    <t>+31 645 72 72 92</t>
  </si>
  <si>
    <t>info@ruudgroeneweg-elektro.nl</t>
  </si>
  <si>
    <t>Françoise</t>
  </si>
  <si>
    <t>Grotzinger</t>
  </si>
  <si>
    <t>+33 389762514</t>
  </si>
  <si>
    <t>+33 614634383</t>
  </si>
  <si>
    <t>remy.wehrlen@wanadoo.fr</t>
  </si>
  <si>
    <t>Elisbeth</t>
  </si>
  <si>
    <t>Guhl</t>
  </si>
  <si>
    <t xml:space="preserve">Inge </t>
  </si>
  <si>
    <t>Guinée-Kuijpers</t>
  </si>
  <si>
    <t>+31 104219258</t>
  </si>
  <si>
    <t>+31 6 46 63 09 61</t>
  </si>
  <si>
    <t>Gerrit</t>
  </si>
  <si>
    <t>Haan</t>
  </si>
  <si>
    <t>+31 104558371</t>
  </si>
  <si>
    <t>Lisa</t>
  </si>
  <si>
    <t>Mascha</t>
  </si>
  <si>
    <t>Haas</t>
  </si>
  <si>
    <t>+31 6 15 874 686</t>
  </si>
  <si>
    <t>m.haas90@upcmail.nl</t>
  </si>
  <si>
    <t>Hagens</t>
  </si>
  <si>
    <t>Geluidstechniek</t>
  </si>
  <si>
    <t>+31 654921585</t>
  </si>
  <si>
    <t>Sven</t>
  </si>
  <si>
    <t>Hakanson</t>
  </si>
  <si>
    <t>Built By Sven</t>
  </si>
  <si>
    <t>+31 652 00 64 64</t>
  </si>
  <si>
    <t>info@builtbysven.nl</t>
  </si>
  <si>
    <t>Poul</t>
  </si>
  <si>
    <t>Hal</t>
  </si>
  <si>
    <t>+31 621867305</t>
  </si>
  <si>
    <t>p.vanhal@upcmail.nl</t>
  </si>
  <si>
    <t>Ham-De Bruin</t>
  </si>
  <si>
    <t>+31 102181222</t>
  </si>
  <si>
    <t>Maja</t>
  </si>
  <si>
    <t>Ham</t>
  </si>
  <si>
    <t>+31 654790104</t>
  </si>
  <si>
    <t>mvham-haentjensdek@Melanchthon.nl</t>
  </si>
  <si>
    <t>Elly</t>
  </si>
  <si>
    <t>Hardon</t>
  </si>
  <si>
    <t>00 31 10 455 20 56</t>
  </si>
  <si>
    <t>(06) 24 27 71 16</t>
  </si>
  <si>
    <t>Gemma (Klaprooslaan)</t>
  </si>
  <si>
    <t>Hares-Visser</t>
  </si>
  <si>
    <t>(06) 55 30 57 06</t>
  </si>
  <si>
    <t>Katherine</t>
  </si>
  <si>
    <t>Harper</t>
  </si>
  <si>
    <t>+33 952654607</t>
  </si>
  <si>
    <t>+33 620283851</t>
  </si>
  <si>
    <t>katherine.harper@yahoo.fr</t>
  </si>
  <si>
    <t>Leonieke</t>
  </si>
  <si>
    <t>Hartmanns</t>
  </si>
  <si>
    <t>+31 611408358</t>
  </si>
  <si>
    <t>leonieke@ziggo.nl</t>
  </si>
  <si>
    <t>Hebly</t>
  </si>
  <si>
    <t>+31 703946888</t>
  </si>
  <si>
    <t>p.hebly@casema.nl</t>
  </si>
  <si>
    <t>Coert</t>
  </si>
  <si>
    <t>Heenes</t>
  </si>
  <si>
    <t>NulTien Makelaars</t>
  </si>
  <si>
    <t>+31 104535924</t>
  </si>
  <si>
    <t>+31 613133611</t>
  </si>
  <si>
    <t>coertheenes@nultienmakelaars.nl</t>
  </si>
  <si>
    <t>Michael</t>
  </si>
  <si>
    <t>michaelheenes922@hotmail.com</t>
  </si>
  <si>
    <t>Alex</t>
  </si>
  <si>
    <t>Hehanussa</t>
  </si>
  <si>
    <t>+31 181690818</t>
  </si>
  <si>
    <t>a.hehanussa@penta.nl</t>
  </si>
  <si>
    <t>Tineke</t>
  </si>
  <si>
    <t>Heidebes-alert</t>
  </si>
  <si>
    <t>+31 6 38100551</t>
  </si>
  <si>
    <t>Heimers</t>
  </si>
  <si>
    <t>+31 615 863015</t>
  </si>
  <si>
    <t>heimers@upcmail.nl</t>
  </si>
  <si>
    <t>Het Jagershof</t>
  </si>
  <si>
    <t>+31 341252393</t>
  </si>
  <si>
    <t>Het Ouwe Bruggetje</t>
  </si>
  <si>
    <t>+31 104773499</t>
  </si>
  <si>
    <t>Arianka</t>
  </si>
  <si>
    <t>Hoebeke</t>
  </si>
  <si>
    <t>+31 633 893 930</t>
  </si>
  <si>
    <t>arianka10a@hotmail.com</t>
  </si>
  <si>
    <t>Fam.</t>
  </si>
  <si>
    <t>+31 105115863</t>
  </si>
  <si>
    <t>+47 64934186</t>
  </si>
  <si>
    <t>peter.hoebeke@outlook.com</t>
  </si>
  <si>
    <t>Aart</t>
  </si>
  <si>
    <t>den</t>
  </si>
  <si>
    <t>+31 104209524</t>
  </si>
  <si>
    <t>hoesto@hoedstorm.nl</t>
  </si>
  <si>
    <t>Hoed</t>
  </si>
  <si>
    <t>+31 610015349</t>
  </si>
  <si>
    <t>aart@hoedstorm.nl</t>
  </si>
  <si>
    <t>Gervan</t>
  </si>
  <si>
    <t>+31 104216277</t>
  </si>
  <si>
    <t>+31 636221825</t>
  </si>
  <si>
    <t>gervan.den.hoed@gmail.com</t>
  </si>
  <si>
    <t>Michel</t>
  </si>
  <si>
    <t>+31 235407392</t>
  </si>
  <si>
    <t>+31 630453072</t>
  </si>
  <si>
    <t>m.hoed3@upcmail.nl</t>
  </si>
  <si>
    <t>Mirjam</t>
  </si>
  <si>
    <t>+31 634211665</t>
  </si>
  <si>
    <t>mirjam_den_hoed@hotmail.com</t>
  </si>
  <si>
    <t>Renée</t>
  </si>
  <si>
    <t>renee_den_hoed@hotmail.com</t>
  </si>
  <si>
    <t>Yvonne</t>
  </si>
  <si>
    <t>+31 104651485</t>
  </si>
  <si>
    <t>+31 634493563</t>
  </si>
  <si>
    <t>yvonne@hoedstorm.nl</t>
  </si>
  <si>
    <t>Hoek</t>
  </si>
  <si>
    <t>+31 650540356</t>
  </si>
  <si>
    <t>+46 706447951</t>
  </si>
  <si>
    <t>+31 641698456</t>
  </si>
  <si>
    <t>henkdemoos@gmail.com</t>
  </si>
  <si>
    <t>Barbet</t>
  </si>
  <si>
    <t>Hoeven</t>
  </si>
  <si>
    <t>+31 6 11758748</t>
  </si>
  <si>
    <t>barbet_van_der_hoeven@hotmail.com</t>
  </si>
  <si>
    <t>Alda</t>
  </si>
  <si>
    <t>Hof</t>
  </si>
  <si>
    <t>+31 617778401</t>
  </si>
  <si>
    <t>alda.vanthof@ziggo.nl</t>
  </si>
  <si>
    <t>Boaz</t>
  </si>
  <si>
    <t>Hoffmann</t>
  </si>
  <si>
    <t>boazhoffmann@gmail.com</t>
  </si>
  <si>
    <t>Cornelius</t>
  </si>
  <si>
    <t>+49 17632678717</t>
  </si>
  <si>
    <t>hangin.wang@gmail.com</t>
  </si>
  <si>
    <t>Lisette</t>
  </si>
  <si>
    <t>Hofman</t>
  </si>
  <si>
    <t>+31  ‎ 6 14800245</t>
  </si>
  <si>
    <t>lisette.hofman@online.nl</t>
  </si>
  <si>
    <t xml:space="preserve">Secretariaat Thuiszorg Aafje </t>
  </si>
  <si>
    <t>Hoofd = Xavier</t>
  </si>
  <si>
    <t>(06) 46 64 25 00</t>
  </si>
  <si>
    <t>Jaap</t>
  </si>
  <si>
    <t>Hoogerwaard</t>
  </si>
  <si>
    <t>+31 102181683</t>
  </si>
  <si>
    <t>Marjan</t>
  </si>
  <si>
    <t>Hooven-Renes</t>
  </si>
  <si>
    <t>+31 153693098</t>
  </si>
  <si>
    <t>+31 612579877</t>
  </si>
  <si>
    <t>mcvdhoovenrenes@hotmail.com</t>
  </si>
  <si>
    <t>Daniëlle</t>
  </si>
  <si>
    <t>Hooven</t>
  </si>
  <si>
    <t>+31 616174010</t>
  </si>
  <si>
    <t>daniellevdhooven@gmail.com</t>
  </si>
  <si>
    <t>+31 104614183</t>
  </si>
  <si>
    <t>h.hooven@upcmail.nl</t>
  </si>
  <si>
    <t>Jacqueline</t>
  </si>
  <si>
    <t>+31 641014441</t>
  </si>
  <si>
    <t>jacqhoov@hotmail.com</t>
  </si>
  <si>
    <t>Raymond</t>
  </si>
  <si>
    <t>Sabrina</t>
  </si>
  <si>
    <t>Evelien</t>
  </si>
  <si>
    <t>Horst</t>
  </si>
  <si>
    <t>+31 104188114</t>
  </si>
  <si>
    <t>Harry</t>
  </si>
  <si>
    <t>Houwen</t>
  </si>
  <si>
    <t>+31 655786550</t>
  </si>
  <si>
    <t>Huisarts</t>
  </si>
  <si>
    <t>Huisartsenpraktijk Buitenhof</t>
  </si>
  <si>
    <t>+31 104214077</t>
  </si>
  <si>
    <t>Huisartsenpost IJsseland</t>
  </si>
  <si>
    <t>+31 102799262</t>
  </si>
  <si>
    <t>Marjo</t>
  </si>
  <si>
    <t>Huizer</t>
  </si>
  <si>
    <t>mcjhuizer@live.nl</t>
  </si>
  <si>
    <t>Ify</t>
  </si>
  <si>
    <t>Bloemenwinkel</t>
  </si>
  <si>
    <t>Ilhem</t>
  </si>
  <si>
    <t>00 31 6 41 24 44 84</t>
  </si>
  <si>
    <t>Ingen-van Rooijen</t>
  </si>
  <si>
    <t>+31 317452390</t>
  </si>
  <si>
    <t>ingenrooijen@hetnet.nl</t>
  </si>
  <si>
    <t>Trudi</t>
  </si>
  <si>
    <t>Ingen</t>
  </si>
  <si>
    <t>+31 649990209</t>
  </si>
  <si>
    <t>trudivingen@hotmail.com</t>
  </si>
  <si>
    <t>QNH</t>
  </si>
  <si>
    <t>IT</t>
  </si>
  <si>
    <t>+31 204609609</t>
  </si>
  <si>
    <t>+31 104188122</t>
  </si>
  <si>
    <t>f-jaymond@hetnet.nl</t>
  </si>
  <si>
    <t>Jeanet</t>
  </si>
  <si>
    <t>Linea Lijstenmakerij</t>
  </si>
  <si>
    <t>00 31 6 12 74 93 56</t>
  </si>
  <si>
    <t>J.</t>
  </si>
  <si>
    <t>Jong-Kanters</t>
  </si>
  <si>
    <t>+31 105113145</t>
  </si>
  <si>
    <t>Beppie</t>
  </si>
  <si>
    <t>Jong</t>
  </si>
  <si>
    <t>+47 93449078</t>
  </si>
  <si>
    <t>elizabeth.de-jong@umb.no</t>
  </si>
  <si>
    <t>+31 104657955</t>
  </si>
  <si>
    <t>Stephan</t>
  </si>
  <si>
    <t>+31 514 59 36 40</t>
  </si>
  <si>
    <t>steph.jong@live.nl</t>
  </si>
  <si>
    <t>Jos ( Van Gym)</t>
  </si>
  <si>
    <t>+31 6 82 81 29 11</t>
  </si>
  <si>
    <t>Jeanette</t>
  </si>
  <si>
    <t>Jukema-Plaisier</t>
  </si>
  <si>
    <t>jukema-plaisier@filternet.nl</t>
  </si>
  <si>
    <t>Kaasenbrood</t>
  </si>
  <si>
    <t>Paul.Kaasenbrood@qnh.nl</t>
  </si>
  <si>
    <t>Ada</t>
  </si>
  <si>
    <t>Kanters</t>
  </si>
  <si>
    <t>Gastvrouw om in te vallen!</t>
  </si>
  <si>
    <t>00 31 10 450 00 49</t>
  </si>
  <si>
    <t>Kapper</t>
  </si>
  <si>
    <t>Jack Hairstyle</t>
  </si>
  <si>
    <t>+31 104556962</t>
  </si>
  <si>
    <t>Rombout</t>
  </si>
  <si>
    <t>+31 10 421 12 13</t>
  </si>
  <si>
    <t>binnenhof@romboutkappers.nl</t>
  </si>
  <si>
    <t>Betty</t>
  </si>
  <si>
    <t>Keizer</t>
  </si>
  <si>
    <t>De Kennismakelaar</t>
  </si>
  <si>
    <t>+31 878724477</t>
  </si>
  <si>
    <t>+31 643092311</t>
  </si>
  <si>
    <t>bettydk@gmail.com</t>
  </si>
  <si>
    <t>Wim</t>
  </si>
  <si>
    <t>Kemming</t>
  </si>
  <si>
    <t>+31 621536855</t>
  </si>
  <si>
    <t>w.kemming@kpnplanet.nl</t>
  </si>
  <si>
    <t>Kerseboom</t>
  </si>
  <si>
    <t>+31 10 422 41 51</t>
  </si>
  <si>
    <t>Hansje</t>
  </si>
  <si>
    <t>Kersten</t>
  </si>
  <si>
    <t>h.kersten@wsns3701.nl</t>
  </si>
  <si>
    <t>Kimberly , Maarten en Fleur</t>
  </si>
  <si>
    <t>Kinkel</t>
  </si>
  <si>
    <t>+31 104157790</t>
  </si>
  <si>
    <t>+31 621408959</t>
  </si>
  <si>
    <t>marijkekinkel@kpnplanet.nl</t>
  </si>
  <si>
    <t>Kleef</t>
  </si>
  <si>
    <t>+31 105118723</t>
  </si>
  <si>
    <t>+31 681527911</t>
  </si>
  <si>
    <t>S.van.Kleef@kpnmail.nl</t>
  </si>
  <si>
    <t>Klepper</t>
  </si>
  <si>
    <t>jan.de.klepper@gmail.com</t>
  </si>
  <si>
    <t>Rob en Henny</t>
  </si>
  <si>
    <t>Klip</t>
  </si>
  <si>
    <t>(0182) 38 69 23</t>
  </si>
  <si>
    <t>Hannie</t>
  </si>
  <si>
    <t>Klis</t>
  </si>
  <si>
    <t>(06) 23 70 06 81</t>
  </si>
  <si>
    <t>+31 113 232899</t>
  </si>
  <si>
    <t>hanniekroeger@zeelandnet.nl</t>
  </si>
  <si>
    <t>Klop</t>
  </si>
  <si>
    <t>+31 6 21 58 82 73</t>
  </si>
  <si>
    <t>Klugt</t>
  </si>
  <si>
    <t>kluggies@gmail.com</t>
  </si>
  <si>
    <t>Koerselman</t>
  </si>
  <si>
    <t>+31 348 508 140</t>
  </si>
  <si>
    <t>+31 649 613 532</t>
  </si>
  <si>
    <t>wkoers@kpnmail.nl</t>
  </si>
  <si>
    <t>Dennis</t>
  </si>
  <si>
    <t>Kolen</t>
  </si>
  <si>
    <t>denniskolen@hotmail.com</t>
  </si>
  <si>
    <t>Carola</t>
  </si>
  <si>
    <t>Koning</t>
  </si>
  <si>
    <t>c.dekoning1962@ziggo.nl</t>
  </si>
  <si>
    <t>Kooiman-Van Oost</t>
  </si>
  <si>
    <t>+31 499463457</t>
  </si>
  <si>
    <t>riet.kooiman@hetnet.nl</t>
  </si>
  <si>
    <t>Koomen</t>
  </si>
  <si>
    <t>+31 6 54 620 855</t>
  </si>
  <si>
    <t>robkoomen@caiway.nl</t>
  </si>
  <si>
    <t>Nicole</t>
  </si>
  <si>
    <t>Koornhof</t>
  </si>
  <si>
    <t>Schoonheidsspecialiste</t>
  </si>
  <si>
    <t>+31 10 420 6800</t>
  </si>
  <si>
    <t>+31 6 12666500</t>
  </si>
  <si>
    <t>+31 6 39345512</t>
  </si>
  <si>
    <t>nicolekoornhof@live.nl</t>
  </si>
  <si>
    <t>KoReMi</t>
  </si>
  <si>
    <t>Fitness</t>
  </si>
  <si>
    <t>+31 10 420 4090</t>
  </si>
  <si>
    <t>+31 6 26654277</t>
  </si>
  <si>
    <t>info@koremi.nl</t>
  </si>
  <si>
    <t>Sander</t>
  </si>
  <si>
    <t>Kort</t>
  </si>
  <si>
    <t>Popschool Ommoord</t>
  </si>
  <si>
    <t>+31 6 18 648544</t>
  </si>
  <si>
    <t>sander@popschoolommoord.nl</t>
  </si>
  <si>
    <t>Annemieke</t>
  </si>
  <si>
    <t>Kortenoever</t>
  </si>
  <si>
    <t>+31 715215801</t>
  </si>
  <si>
    <t>+31 628759156</t>
  </si>
  <si>
    <t>Willeke en Hans</t>
  </si>
  <si>
    <t>Kreber</t>
  </si>
  <si>
    <t>+31 6 41 42 67 98</t>
  </si>
  <si>
    <t>+31 10 418 03 27</t>
  </si>
  <si>
    <t>Bart</t>
  </si>
  <si>
    <t>Kreefft</t>
  </si>
  <si>
    <t>+31 628231561</t>
  </si>
  <si>
    <t>bartisjok@hotmail.com</t>
  </si>
  <si>
    <t>Theo</t>
  </si>
  <si>
    <t>Kroon</t>
  </si>
  <si>
    <t>Aannemer</t>
  </si>
  <si>
    <t>+31 182502522</t>
  </si>
  <si>
    <t>+31 653351324</t>
  </si>
  <si>
    <t>Kruit</t>
  </si>
  <si>
    <t>+31 102202014</t>
  </si>
  <si>
    <t>Mischa</t>
  </si>
  <si>
    <t>Kuster</t>
  </si>
  <si>
    <t>+31 654933646</t>
  </si>
  <si>
    <t>mkuster@melanchthon.nl</t>
  </si>
  <si>
    <t>Lake House</t>
  </si>
  <si>
    <t>(010) 223 53 81</t>
  </si>
  <si>
    <t>Lantaren-Venster</t>
  </si>
  <si>
    <t>+31 102772277</t>
  </si>
  <si>
    <t>Piet</t>
  </si>
  <si>
    <t>Lap</t>
  </si>
  <si>
    <t>+31 102201789</t>
  </si>
  <si>
    <t>Laurens</t>
  </si>
  <si>
    <t>00 31 10 844 25 95</t>
  </si>
  <si>
    <t>Le Vieux Praderet</t>
  </si>
  <si>
    <t>le_vieux_praderet@yahoo.com</t>
  </si>
  <si>
    <t>Leer</t>
  </si>
  <si>
    <t>+31 641263683</t>
  </si>
  <si>
    <t>saskia_van_leer@hotmail.com</t>
  </si>
  <si>
    <t>Henk</t>
  </si>
  <si>
    <t>Leeuwen</t>
  </si>
  <si>
    <t>+31 529851536</t>
  </si>
  <si>
    <t>Hanneke</t>
  </si>
  <si>
    <t>Leliveld</t>
  </si>
  <si>
    <t>+31 611352928</t>
  </si>
  <si>
    <t>Marina</t>
  </si>
  <si>
    <t>Levy</t>
  </si>
  <si>
    <t>CMC Metal building systems</t>
  </si>
  <si>
    <t xml:space="preserve">Mirjam </t>
  </si>
  <si>
    <t>00 31 6 48 82 30 45</t>
  </si>
  <si>
    <t>00 31 6 12 41 31 81</t>
  </si>
  <si>
    <t>levy.mirjam@gmail.com</t>
  </si>
  <si>
    <t xml:space="preserve">Libelle </t>
  </si>
  <si>
    <t>Niet Bezorgd</t>
  </si>
  <si>
    <t>(088) 550 01 13</t>
  </si>
  <si>
    <t>Liefting</t>
  </si>
  <si>
    <t>+31 652027789</t>
  </si>
  <si>
    <t>+31 614 043 653</t>
  </si>
  <si>
    <t>Martin.Liefting@ing.nl</t>
  </si>
  <si>
    <t>Irma</t>
  </si>
  <si>
    <t>Lierop</t>
  </si>
  <si>
    <t>+31 104412644</t>
  </si>
  <si>
    <t>+31 651983082</t>
  </si>
  <si>
    <t>irma@vanlierop.com</t>
  </si>
  <si>
    <t>Marius</t>
  </si>
  <si>
    <t>Lindeman</t>
  </si>
  <si>
    <t>+31 104224973</t>
  </si>
  <si>
    <t>(06) 14 06 47 73</t>
  </si>
  <si>
    <t>Sieta</t>
  </si>
  <si>
    <t>Lindenbergh</t>
  </si>
  <si>
    <t>+31 6 44 65 20 82</t>
  </si>
  <si>
    <t>ipadsieta@icloud.com</t>
  </si>
  <si>
    <t>van de</t>
  </si>
  <si>
    <t>Lindt</t>
  </si>
  <si>
    <t>+31 180314332</t>
  </si>
  <si>
    <t>+31 622 923 841</t>
  </si>
  <si>
    <t>m.vandelindt@gmail.com</t>
  </si>
  <si>
    <t>Lips</t>
  </si>
  <si>
    <t>(010) 258 32 44</t>
  </si>
  <si>
    <t>HLips@ysl.nl</t>
  </si>
  <si>
    <t>KIAN</t>
  </si>
  <si>
    <t>Loodgieter</t>
  </si>
  <si>
    <t>+31 182374247</t>
  </si>
  <si>
    <t>KittyAndre@Hetnet.nl</t>
  </si>
  <si>
    <t>Looije</t>
  </si>
  <si>
    <t>+31 616680736</t>
  </si>
  <si>
    <t>alooije@Melanchthon.nl</t>
  </si>
  <si>
    <t>Looijen</t>
  </si>
  <si>
    <t>+31 229245019</t>
  </si>
  <si>
    <t>+31 6522630894</t>
  </si>
  <si>
    <t>ton.van.Looijen@gmail.com</t>
  </si>
  <si>
    <t>Looyenstein</t>
  </si>
  <si>
    <t>+31 6 54 70 39 44</t>
  </si>
  <si>
    <t>Jan Paul</t>
  </si>
  <si>
    <t>Lottering</t>
  </si>
  <si>
    <t>+31 611396146</t>
  </si>
  <si>
    <t>janpaul6@gmail.com</t>
  </si>
  <si>
    <t>Tereza</t>
  </si>
  <si>
    <t>Lozica</t>
  </si>
  <si>
    <t>+31 104213305</t>
  </si>
  <si>
    <t>Luitgaarden</t>
  </si>
  <si>
    <t>+31 644568873</t>
  </si>
  <si>
    <t>Ton</t>
  </si>
  <si>
    <t>Luiting</t>
  </si>
  <si>
    <t>+31 63 157 25 68</t>
  </si>
  <si>
    <t>+31 35 672 37 76</t>
  </si>
  <si>
    <t>mediapark@kpnmail.nl</t>
  </si>
  <si>
    <t>Lybaart</t>
  </si>
  <si>
    <t>+31 104610116</t>
  </si>
  <si>
    <t>Jochem</t>
  </si>
  <si>
    <t>+31 649 749 741</t>
  </si>
  <si>
    <t>+31 613965344</t>
  </si>
  <si>
    <t>jochem.lybaart@gmail.com</t>
  </si>
  <si>
    <t>+31 640474294</t>
  </si>
  <si>
    <t>tinekelybaart@hotmail.com</t>
  </si>
  <si>
    <t>Huig</t>
  </si>
  <si>
    <t>Maaskant</t>
  </si>
  <si>
    <t>hfmaaskant@caiway.nl</t>
  </si>
  <si>
    <t>Maneij</t>
  </si>
  <si>
    <t>a.maneij@upcmail.nl</t>
  </si>
  <si>
    <t>Meneer De Groot</t>
  </si>
  <si>
    <t>Mark de Groot</t>
  </si>
  <si>
    <t>(010) 236 77 58</t>
  </si>
  <si>
    <t>Markovic</t>
  </si>
  <si>
    <t>+31 6 42 97 82 32</t>
  </si>
  <si>
    <t>markovic_alex@hotmail.com</t>
  </si>
  <si>
    <t>Marsala</t>
  </si>
  <si>
    <t>Pizzeria</t>
  </si>
  <si>
    <t>+31 104224451</t>
  </si>
  <si>
    <t>Chantal</t>
  </si>
  <si>
    <t>Masson</t>
  </si>
  <si>
    <t>+33 175509211</t>
  </si>
  <si>
    <t>+33 140359211</t>
  </si>
  <si>
    <t>+33 607520671</t>
  </si>
  <si>
    <t>chantalmasson@noos.fr</t>
  </si>
  <si>
    <t>Jean Yves</t>
  </si>
  <si>
    <t>+33 6 45 47 94 27</t>
  </si>
  <si>
    <t>Lou</t>
  </si>
  <si>
    <t>00 33 6 84 42 14 03</t>
  </si>
  <si>
    <t>Jolanda</t>
  </si>
  <si>
    <t>Meijer</t>
  </si>
  <si>
    <t>(06) 17 53 28 07</t>
  </si>
  <si>
    <t>jooltjemeijer@hotmail.nl</t>
  </si>
  <si>
    <t>Melanchthon</t>
  </si>
  <si>
    <t>School</t>
  </si>
  <si>
    <t>+31 102854141</t>
  </si>
  <si>
    <t>Marian</t>
  </si>
  <si>
    <t>Menke-Pluijmers</t>
  </si>
  <si>
    <t>+31 614 225266</t>
  </si>
  <si>
    <t>mbe.menke@asz.nl</t>
  </si>
  <si>
    <t>Merbis</t>
  </si>
  <si>
    <t>+31 6 51 60 92 66</t>
  </si>
  <si>
    <t>Mes Amis</t>
  </si>
  <si>
    <t>+31 43 325 7866</t>
  </si>
  <si>
    <t>Notaris</t>
  </si>
  <si>
    <t>Mevr. Konijnenberg</t>
  </si>
  <si>
    <t>(010) 476 88 33</t>
  </si>
  <si>
    <t>Mevrouw Meijer</t>
  </si>
  <si>
    <t>+31 104663367</t>
  </si>
  <si>
    <t>Karla</t>
  </si>
  <si>
    <t>Middelkoop</t>
  </si>
  <si>
    <t>(06) 15 26 13 90</t>
  </si>
  <si>
    <t>(010) 451 97 45</t>
  </si>
  <si>
    <t>midkar@outlook.com</t>
  </si>
  <si>
    <t>Dirk</t>
  </si>
  <si>
    <t>Minnee</t>
  </si>
  <si>
    <t>+31 683648462</t>
  </si>
  <si>
    <t>+31 621993583</t>
  </si>
  <si>
    <t>Misdaad Anoniem</t>
  </si>
  <si>
    <t>0800 7000</t>
  </si>
  <si>
    <t>Anke</t>
  </si>
  <si>
    <t>Mölling</t>
  </si>
  <si>
    <t>+31 610808135</t>
  </si>
  <si>
    <t>a.molling@gmail.com</t>
  </si>
  <si>
    <t>Erik</t>
  </si>
  <si>
    <t>erik.molling@outlook.com</t>
  </si>
  <si>
    <t>Mook (dhr)</t>
  </si>
  <si>
    <t xml:space="preserve">Antiek ‘t Erf ( Opgeheven) </t>
  </si>
  <si>
    <t>(010) 467 27 00</t>
  </si>
  <si>
    <t>a.mook@zonnet.nl</t>
  </si>
  <si>
    <t>Simone</t>
  </si>
  <si>
    <t>Moses</t>
  </si>
  <si>
    <t>+31 735215033</t>
  </si>
  <si>
    <t>Sjaak</t>
  </si>
  <si>
    <t>Mostert</t>
  </si>
  <si>
    <t>jfh.mostert@gmail.com</t>
  </si>
  <si>
    <t>+31 105118390</t>
  </si>
  <si>
    <t>mostertvliet@hetnet.nl</t>
  </si>
  <si>
    <t>Muiderman</t>
  </si>
  <si>
    <t>+33 240787946</t>
  </si>
  <si>
    <t>+33 699044239</t>
  </si>
  <si>
    <t>h.klinkhamer-m@wanadoo.fr</t>
  </si>
  <si>
    <t>Muilwijk</t>
  </si>
  <si>
    <t>+31 523231716</t>
  </si>
  <si>
    <t>+31 6 29 544 615</t>
  </si>
  <si>
    <t>jacobpmuilwijk@gmail.com</t>
  </si>
  <si>
    <t>Sharmila</t>
  </si>
  <si>
    <t>Mulder</t>
  </si>
  <si>
    <t>Aafje De Twee Bruggen ( Klantadviseur)</t>
  </si>
  <si>
    <t>00 31 6 46 64 23 26</t>
  </si>
  <si>
    <t>smulder@aafje.nl</t>
  </si>
  <si>
    <t>COR Centrum Orthopedie Rotterdam</t>
  </si>
  <si>
    <t>,Niels</t>
  </si>
  <si>
    <t>+31 10 214 19 49</t>
  </si>
  <si>
    <t>Kimberley</t>
  </si>
  <si>
    <t>Naaktgeboren</t>
  </si>
  <si>
    <t>iSense</t>
  </si>
  <si>
    <t>+31 182756585</t>
  </si>
  <si>
    <t>André</t>
  </si>
  <si>
    <t>Nagelhout</t>
  </si>
  <si>
    <t>Bloemist</t>
  </si>
  <si>
    <t>Nationale Nederlanden Hypotheken</t>
  </si>
  <si>
    <t>Verzekeringen</t>
  </si>
  <si>
    <t>+31 105130063</t>
  </si>
  <si>
    <t>Niet</t>
  </si>
  <si>
    <t>+31 615529480</t>
  </si>
  <si>
    <t>Richard</t>
  </si>
  <si>
    <t>Noordervliet</t>
  </si>
  <si>
    <t>+31 6 24242194</t>
  </si>
  <si>
    <t>Sonja</t>
  </si>
  <si>
    <t>Nossent</t>
  </si>
  <si>
    <t>+31 113851497</t>
  </si>
  <si>
    <t>Karin</t>
  </si>
  <si>
    <t>Nouwen</t>
  </si>
  <si>
    <t>00 31 6 44 59 00 68</t>
  </si>
  <si>
    <t>smwkarin@hotmail.com</t>
  </si>
  <si>
    <t>Dook</t>
  </si>
  <si>
    <t>Noy</t>
  </si>
  <si>
    <t>+31 653233806</t>
  </si>
  <si>
    <t>dnoij@zeelandnet.nl</t>
  </si>
  <si>
    <t>NS Klantenservice</t>
  </si>
  <si>
    <t>Vervoersbedrijf</t>
  </si>
  <si>
    <t>+31 307515155</t>
  </si>
  <si>
    <t>Bep</t>
  </si>
  <si>
    <t>Oerlemans</t>
  </si>
  <si>
    <t>+31 104565708</t>
  </si>
  <si>
    <t>bep-oerlemans@kpnplanet.nl</t>
  </si>
  <si>
    <t>Oeveren</t>
  </si>
  <si>
    <t>+31 203882637</t>
  </si>
  <si>
    <t>aoeveren@planet.nl</t>
  </si>
  <si>
    <t>Olst</t>
  </si>
  <si>
    <t>Marjon</t>
  </si>
  <si>
    <t>Onverzaagt</t>
  </si>
  <si>
    <t>+31 6 49 67 28 55</t>
  </si>
  <si>
    <t>marjonvb@gmail.com</t>
  </si>
  <si>
    <t>Oost</t>
  </si>
  <si>
    <t>Oosthoek</t>
  </si>
  <si>
    <t>+31 104818927</t>
  </si>
  <si>
    <t>bcfvo@xs4all.nl</t>
  </si>
  <si>
    <t>Opa</t>
  </si>
  <si>
    <t>+31 104130094</t>
  </si>
  <si>
    <t>Arda</t>
  </si>
  <si>
    <t>Otto</t>
  </si>
  <si>
    <t>+31 186660768</t>
  </si>
  <si>
    <t>(06) 18 92 59 94</t>
  </si>
  <si>
    <t>Bert</t>
  </si>
  <si>
    <t>+31 618845010</t>
  </si>
  <si>
    <t>hajotto@hetnet.nl</t>
  </si>
  <si>
    <t>Ouden-van der Kooy</t>
  </si>
  <si>
    <t>+31 492462505</t>
  </si>
  <si>
    <t>mariusdenouden@hotmail.com</t>
  </si>
  <si>
    <t>Claudio</t>
  </si>
  <si>
    <t>Palumbo</t>
  </si>
  <si>
    <t>+33 635327986</t>
  </si>
  <si>
    <t>Park-Line</t>
  </si>
  <si>
    <t>Parkline</t>
  </si>
  <si>
    <t>Parker</t>
  </si>
  <si>
    <t>+31 334806763</t>
  </si>
  <si>
    <t>Huub</t>
  </si>
  <si>
    <t>Peeters</t>
  </si>
  <si>
    <t>+31 302627247</t>
  </si>
  <si>
    <t>+31 6 40261039</t>
  </si>
  <si>
    <t>Peete127@planet.nl</t>
  </si>
  <si>
    <t>Petra</t>
  </si>
  <si>
    <t>Dierenzorg</t>
  </si>
  <si>
    <t>+31 704151680</t>
  </si>
  <si>
    <t>petra@dierenzorg-haaglanden.nl</t>
  </si>
  <si>
    <t>Pinpas Vermissing</t>
  </si>
  <si>
    <t>ING</t>
  </si>
  <si>
    <t>+31 202288800</t>
  </si>
  <si>
    <t>Marc</t>
  </si>
  <si>
    <t>Plaisier</t>
  </si>
  <si>
    <t>marc@isgeweldig.nl</t>
  </si>
  <si>
    <t>Ploeg</t>
  </si>
  <si>
    <t>+31 172434950</t>
  </si>
  <si>
    <t>+31 625 017 984</t>
  </si>
  <si>
    <t>ploeg56@gmail.com</t>
  </si>
  <si>
    <t>James</t>
  </si>
  <si>
    <t>Plugge</t>
  </si>
  <si>
    <t>+31 641501523</t>
  </si>
  <si>
    <t>Politie</t>
  </si>
  <si>
    <t>0900 8844</t>
  </si>
  <si>
    <t>Posthumus</t>
  </si>
  <si>
    <t>w.posthumus@hetnet.nl</t>
  </si>
  <si>
    <t>Anita</t>
  </si>
  <si>
    <t>Prol Pato</t>
  </si>
  <si>
    <t>+31 102651037</t>
  </si>
  <si>
    <t>+31 644303743</t>
  </si>
  <si>
    <t>j.prolpato@upcmail.nl</t>
  </si>
  <si>
    <t>Xossé</t>
  </si>
  <si>
    <t>PSO</t>
  </si>
  <si>
    <t>+31 104211440</t>
  </si>
  <si>
    <t>Nelleke</t>
  </si>
  <si>
    <t>Puit</t>
  </si>
  <si>
    <t>+31 6 10703531</t>
  </si>
  <si>
    <t>ndepuit@gmail.com</t>
  </si>
  <si>
    <t>Put</t>
  </si>
  <si>
    <t>+31 644958143</t>
  </si>
  <si>
    <t>put00322@planet.nl</t>
  </si>
  <si>
    <t>Put Mode</t>
  </si>
  <si>
    <t>+31 104565429</t>
  </si>
  <si>
    <t>Anneke</t>
  </si>
  <si>
    <t>Raaijmakers</t>
  </si>
  <si>
    <t>00 31 6 14 68 06 30</t>
  </si>
  <si>
    <t>amraaijmakers@tele2.nl</t>
  </si>
  <si>
    <t>M.</t>
  </si>
  <si>
    <t>Rafiee</t>
  </si>
  <si>
    <t>Doktershuis Oude Noorden</t>
  </si>
  <si>
    <t>+31 10 466 7548</t>
  </si>
  <si>
    <t>Ram</t>
  </si>
  <si>
    <t>+31 624815228</t>
  </si>
  <si>
    <t>marram456@gmail.com</t>
  </si>
  <si>
    <t>Bram</t>
  </si>
  <si>
    <t>Ree</t>
  </si>
  <si>
    <t>Renes</t>
  </si>
  <si>
    <t>+31 104189086</t>
  </si>
  <si>
    <t>+31 650504431</t>
  </si>
  <si>
    <t>elsrenes@gmail.com</t>
  </si>
  <si>
    <t>Frits</t>
  </si>
  <si>
    <t>Rhemrev</t>
  </si>
  <si>
    <t>+31 10 4657758</t>
  </si>
  <si>
    <t>Gerard</t>
  </si>
  <si>
    <t>Ridder</t>
  </si>
  <si>
    <t>+31 638913857</t>
  </si>
  <si>
    <t>geridder@xs4all.nl</t>
  </si>
  <si>
    <t>Coen</t>
  </si>
  <si>
    <t>Riet</t>
  </si>
  <si>
    <t>+31 655340359</t>
  </si>
  <si>
    <t>co.riet@wxs.nl</t>
  </si>
  <si>
    <t>Jessica</t>
  </si>
  <si>
    <t>Riezebos</t>
  </si>
  <si>
    <t>+33 683098984</t>
  </si>
  <si>
    <t>Roelants</t>
  </si>
  <si>
    <t>icmroelants@hetnet.nl</t>
  </si>
  <si>
    <t>Roerade</t>
  </si>
  <si>
    <t>Fietsenhandel</t>
  </si>
  <si>
    <t>+31 104559757</t>
  </si>
  <si>
    <t>Walter</t>
  </si>
  <si>
    <t>Rolloos</t>
  </si>
  <si>
    <t>wrolloos@melanchthon.nl</t>
  </si>
  <si>
    <t>Roo</t>
  </si>
  <si>
    <t>+31 111642185</t>
  </si>
  <si>
    <t>+31 620476741</t>
  </si>
  <si>
    <t>Marianne</t>
  </si>
  <si>
    <t>Roth</t>
  </si>
  <si>
    <t>+31 6 12 84 61 87</t>
  </si>
  <si>
    <t>marianne@creamare.nl</t>
  </si>
  <si>
    <t>HEMA</t>
  </si>
  <si>
    <t>Rotterdam</t>
  </si>
  <si>
    <t>+31 104213788</t>
  </si>
  <si>
    <t>Jeska</t>
  </si>
  <si>
    <t>+31 6 45 95 34 58</t>
  </si>
  <si>
    <t>jeskavanrotterdam@gmail.com</t>
  </si>
  <si>
    <t>Ruigrok en Van der Pad</t>
  </si>
  <si>
    <t>+31 105216491</t>
  </si>
  <si>
    <t>+31 653155079</t>
  </si>
  <si>
    <t>info@ruigrokenvanderpad.nl</t>
  </si>
  <si>
    <t>Joke</t>
  </si>
  <si>
    <t>Ruiter</t>
  </si>
  <si>
    <t>+31 104185035</t>
  </si>
  <si>
    <t>+31 6 29043772</t>
  </si>
  <si>
    <t>Joke.deRuiter@hotmail.com</t>
  </si>
  <si>
    <t>Ellen</t>
  </si>
  <si>
    <t>Sakko</t>
  </si>
  <si>
    <t>+31 646 873188</t>
  </si>
  <si>
    <t>ellen.sakko@hotmail.nl</t>
  </si>
  <si>
    <t>San Miguel Shoes (Yvonne)</t>
  </si>
  <si>
    <t>info@sanmiguelshoes.nl</t>
  </si>
  <si>
    <t>Sar</t>
  </si>
  <si>
    <t>+31 622517234</t>
  </si>
  <si>
    <t>PSA@syntens.nl</t>
  </si>
  <si>
    <t>Schackmann</t>
  </si>
  <si>
    <t>+31 505423185</t>
  </si>
  <si>
    <t>wil@schackmann.nl</t>
  </si>
  <si>
    <t xml:space="preserve">Will </t>
  </si>
  <si>
    <t>Scheffer</t>
  </si>
  <si>
    <t>(06) 22 83 65 67</t>
  </si>
  <si>
    <t>Clemens</t>
  </si>
  <si>
    <t>Schellens</t>
  </si>
  <si>
    <t>+31 838918831</t>
  </si>
  <si>
    <t>clemens@schellens.biz</t>
  </si>
  <si>
    <t>Jannie</t>
  </si>
  <si>
    <t>Schenk</t>
  </si>
  <si>
    <t>+31 104552434</t>
  </si>
  <si>
    <t>+31 6 41599369</t>
  </si>
  <si>
    <t>jannieschenk@hotmail.com</t>
  </si>
  <si>
    <t>Ramses</t>
  </si>
  <si>
    <t>+31 640 89 47 15</t>
  </si>
  <si>
    <t>Tejo</t>
  </si>
  <si>
    <t>Schie</t>
  </si>
  <si>
    <t>+31 614644173</t>
  </si>
  <si>
    <t>Emil en Nel</t>
  </si>
  <si>
    <t>Schiller</t>
  </si>
  <si>
    <t>(0182) 23 13 13</t>
  </si>
  <si>
    <t>Marja</t>
  </si>
  <si>
    <t>00 31 6 52 12 27 38</t>
  </si>
  <si>
    <t>marjaschiller@gmail.com</t>
  </si>
  <si>
    <t>Jelger</t>
  </si>
  <si>
    <t>Schoen</t>
  </si>
  <si>
    <t>Schone Lei</t>
  </si>
  <si>
    <t>+31 102121555</t>
  </si>
  <si>
    <t>Ronald</t>
  </si>
  <si>
    <t>Schot</t>
  </si>
  <si>
    <t xml:space="preserve">Poggenpohl </t>
  </si>
  <si>
    <t>+31 10 237 48 61</t>
  </si>
  <si>
    <t>+31 621 16 78 02</t>
  </si>
  <si>
    <t>r.schot@poggenpohl-rotterdam.nl</t>
  </si>
  <si>
    <t>Schrevendijk</t>
  </si>
  <si>
    <t>+31 623036767</t>
  </si>
  <si>
    <t>maatstaf@gmail.com</t>
  </si>
  <si>
    <t>Seine</t>
  </si>
  <si>
    <t>+31 6 20853190</t>
  </si>
  <si>
    <t>Sergei</t>
  </si>
  <si>
    <t>Stukadoor via Ruigrok; zoon van schilder Georgy</t>
  </si>
  <si>
    <t>(06) 30 40 43 97</t>
  </si>
  <si>
    <t>Nanny</t>
  </si>
  <si>
    <t>Siebkes</t>
  </si>
  <si>
    <t>(010) 450 15 91</t>
  </si>
  <si>
    <t>(06) 24 25 31 49</t>
  </si>
  <si>
    <t>nanny.siebkes@icloud.com</t>
  </si>
  <si>
    <t>René</t>
  </si>
  <si>
    <t>Sieders</t>
  </si>
  <si>
    <t>+31 629 52 58 41</t>
  </si>
  <si>
    <t>rene.sieders@thelifecyclecompany.nl</t>
  </si>
  <si>
    <t>Louise</t>
  </si>
  <si>
    <t>Sijtsma</t>
  </si>
  <si>
    <t>+31 6 15256270</t>
  </si>
  <si>
    <t>Simon</t>
  </si>
  <si>
    <t>+31 626176102</t>
  </si>
  <si>
    <t>Smits</t>
  </si>
  <si>
    <t>+31 651265140</t>
  </si>
  <si>
    <t>+351 915 947 086</t>
  </si>
  <si>
    <t>floor.smits@gmail.com</t>
  </si>
  <si>
    <t>NS</t>
  </si>
  <si>
    <t>SMS Alert</t>
  </si>
  <si>
    <t>Marco</t>
  </si>
  <si>
    <t>Sneevliet</t>
  </si>
  <si>
    <t>+31 613252956</t>
  </si>
  <si>
    <t>marco.sneevliet@ducere.nl</t>
  </si>
  <si>
    <t>Snijder</t>
  </si>
  <si>
    <t>+31 102035222</t>
  </si>
  <si>
    <t>+31 6 47208435</t>
  </si>
  <si>
    <t>l</t>
  </si>
  <si>
    <t>Sönmezisik-Van Looijen</t>
  </si>
  <si>
    <t>+31 104553114</t>
  </si>
  <si>
    <t>+31 617844002</t>
  </si>
  <si>
    <t>ellyvanlooijen@telfort.nl</t>
  </si>
  <si>
    <t>Speelman</t>
  </si>
  <si>
    <t>+31 621127704</t>
  </si>
  <si>
    <t>Heleen</t>
  </si>
  <si>
    <t>Spek</t>
  </si>
  <si>
    <t>+31 180317669</t>
  </si>
  <si>
    <t>+31 634 176 088</t>
  </si>
  <si>
    <t>hmablok@planet.nl</t>
  </si>
  <si>
    <t>Spilt</t>
  </si>
  <si>
    <t>m.spilt@chello.nl</t>
  </si>
  <si>
    <t>Ian</t>
  </si>
  <si>
    <t>Staal</t>
  </si>
  <si>
    <t>i_staal@hotmail.com</t>
  </si>
  <si>
    <t>Dorrit</t>
  </si>
  <si>
    <t>Steens</t>
  </si>
  <si>
    <t>dorritsteens@planet.nl</t>
  </si>
  <si>
    <t>Robin</t>
  </si>
  <si>
    <t>Sterk</t>
  </si>
  <si>
    <t>robin.sterk@outlook.com</t>
  </si>
  <si>
    <t>Stichting Museumkaart</t>
  </si>
  <si>
    <t>0900 4040910</t>
  </si>
  <si>
    <t>Stook</t>
  </si>
  <si>
    <t>+31 644272148</t>
  </si>
  <si>
    <t>rwstook@gmail.com</t>
  </si>
  <si>
    <t>Hetty</t>
  </si>
  <si>
    <t>Storm</t>
  </si>
  <si>
    <t>+31 624757696</t>
  </si>
  <si>
    <t>hetty@hoedstorm.nl</t>
  </si>
  <si>
    <t>Pim</t>
  </si>
  <si>
    <t>+31 619605872</t>
  </si>
  <si>
    <t>pimstorm@kpnplanet.nl</t>
  </si>
  <si>
    <t>Rik</t>
  </si>
  <si>
    <t>+31 626150335</t>
  </si>
  <si>
    <t>rikstorm@kpnplanet.nl</t>
  </si>
  <si>
    <t>Atie</t>
  </si>
  <si>
    <t>Streefkerk</t>
  </si>
  <si>
    <t>+31 104212284</t>
  </si>
  <si>
    <t>amstreefkerk@icloud.com</t>
  </si>
  <si>
    <t xml:space="preserve">Stukadoor Calvin </t>
  </si>
  <si>
    <t>+31 6 23 05 50 39</t>
  </si>
  <si>
    <t>Jean</t>
  </si>
  <si>
    <t>Swanborn</t>
  </si>
  <si>
    <t>Optiek</t>
  </si>
  <si>
    <t>+31 104205334</t>
  </si>
  <si>
    <t>Tandarts</t>
  </si>
  <si>
    <t>+31 108208191</t>
  </si>
  <si>
    <t>info@mondzorgkanaalweg.nl</t>
  </si>
  <si>
    <t>Teeuwisse</t>
  </si>
  <si>
    <t>+31 6 28 449084</t>
  </si>
  <si>
    <t>johanteeuwisse@outlook.com</t>
  </si>
  <si>
    <t>Terlouw</t>
  </si>
  <si>
    <t>00 31 10 220 29 48</t>
  </si>
  <si>
    <t>+31 612309114</t>
  </si>
  <si>
    <t>a.ter80@kpnmail.nl</t>
  </si>
  <si>
    <t>Caja</t>
  </si>
  <si>
    <t>caja.ter@outlook.com</t>
  </si>
  <si>
    <t>Koos</t>
  </si>
  <si>
    <t>Termorshuizen</t>
  </si>
  <si>
    <t>+31 622477252</t>
  </si>
  <si>
    <t>koos@termorshuizen.nl</t>
  </si>
  <si>
    <t>Theehuis De Dames</t>
  </si>
  <si>
    <t>+31 180323414</t>
  </si>
  <si>
    <t>Thermogas</t>
  </si>
  <si>
    <t>Verwarmingsmonteur</t>
  </si>
  <si>
    <t>+31 104215000</t>
  </si>
  <si>
    <t>Tijl</t>
  </si>
  <si>
    <t>+31 644669296</t>
  </si>
  <si>
    <t>corry.den.hoed@gmail.com</t>
  </si>
  <si>
    <t>Diet</t>
  </si>
  <si>
    <t>Tillemans</t>
  </si>
  <si>
    <t>paul.tillemans@orange.fr</t>
  </si>
  <si>
    <t>Han</t>
  </si>
  <si>
    <t>Tilman</t>
  </si>
  <si>
    <t>+31 630255302</t>
  </si>
  <si>
    <t>kottil@upcmail.nl</t>
  </si>
  <si>
    <t>Timmerman Kattenmeubel</t>
  </si>
  <si>
    <t>(06) 20 88 22 55</t>
  </si>
  <si>
    <t>Juliette</t>
  </si>
  <si>
    <t>Tournois</t>
  </si>
  <si>
    <t>+33 6 29 72 22 66</t>
  </si>
  <si>
    <t>+31 627139688</t>
  </si>
  <si>
    <t>juliettetournois@hotmail.com</t>
  </si>
  <si>
    <t>Sybo</t>
  </si>
  <si>
    <t>Trapman</t>
  </si>
  <si>
    <t>+31 655193007</t>
  </si>
  <si>
    <t>Travelcare</t>
  </si>
  <si>
    <t>Nationale Nederlanden</t>
  </si>
  <si>
    <t>+31 703147575</t>
  </si>
  <si>
    <t>travelcare@nn.nl</t>
  </si>
  <si>
    <t>Trevvel</t>
  </si>
  <si>
    <t>Taxivervoer</t>
  </si>
  <si>
    <t>(088) 130 30 30</t>
  </si>
  <si>
    <t>Urologie</t>
  </si>
  <si>
    <t>(010) 258 59 80</t>
  </si>
  <si>
    <t>Thea</t>
  </si>
  <si>
    <t>Vaal</t>
  </si>
  <si>
    <t>+31 0180443354</t>
  </si>
  <si>
    <t>+31 648791020</t>
  </si>
  <si>
    <t>theakemner@gmail.com</t>
  </si>
  <si>
    <t>VakantieXperts/ D Reizen</t>
  </si>
  <si>
    <t>+31 104553050</t>
  </si>
  <si>
    <t>hesseplaats@vx.nl</t>
  </si>
  <si>
    <t>Ria</t>
  </si>
  <si>
    <t>Valies</t>
  </si>
  <si>
    <t>Humanitas Akropolis ( Klantadviseur)</t>
  </si>
  <si>
    <t>00 31 6 19 41 23 49</t>
  </si>
  <si>
    <t>rvalies@stichtinghumanitas.nl</t>
  </si>
  <si>
    <t>Judith</t>
  </si>
  <si>
    <t>Van de Fliert</t>
  </si>
  <si>
    <t>Boymans Van Beuningen (Depot)</t>
  </si>
  <si>
    <t>+31 6 54 32 28 85</t>
  </si>
  <si>
    <t>van de Sande</t>
  </si>
  <si>
    <t>Gastvrouw IJsselland</t>
  </si>
  <si>
    <t>+31 6 40507243</t>
  </si>
  <si>
    <t>hanneke.vandesande@hotmail.com</t>
  </si>
  <si>
    <t>van den Hooven</t>
  </si>
  <si>
    <t>null</t>
  </si>
  <si>
    <t>r.vdhooven@hotmail.com</t>
  </si>
  <si>
    <t>van der Stel</t>
  </si>
  <si>
    <t>+31 571 299 077</t>
  </si>
  <si>
    <t>aartvanderstel@hotmail.com</t>
  </si>
  <si>
    <t>Van der Vliet</t>
  </si>
  <si>
    <t>sonjamostert@hotmail.com</t>
  </si>
  <si>
    <t>Van Leeuwen</t>
  </si>
  <si>
    <t xml:space="preserve">Marijke (M.J.C.) </t>
  </si>
  <si>
    <t>van Leeuwen</t>
  </si>
  <si>
    <t>Van Ree</t>
  </si>
  <si>
    <t>+31 6 12 76 27 28</t>
  </si>
  <si>
    <t>Zier</t>
  </si>
  <si>
    <t>Van Schijndel</t>
  </si>
  <si>
    <t>+31 6 36 48 91 69</t>
  </si>
  <si>
    <t>zier@ziggo.nl</t>
  </si>
  <si>
    <t xml:space="preserve">Bram </t>
  </si>
  <si>
    <t>Van Wijck</t>
  </si>
  <si>
    <t>+31 6 39 48 77 03</t>
  </si>
  <si>
    <t>Helma</t>
  </si>
  <si>
    <t>Van Wijk</t>
  </si>
  <si>
    <t>+31 6 40 44 57 83</t>
  </si>
  <si>
    <t>Barbara</t>
  </si>
  <si>
    <t>Veenman</t>
  </si>
  <si>
    <t>+31 104508948</t>
  </si>
  <si>
    <t>+31 627073323</t>
  </si>
  <si>
    <t>barbaraveenman@kpnplanet.nl</t>
  </si>
  <si>
    <t>Magda</t>
  </si>
  <si>
    <t>Verhoef</t>
  </si>
  <si>
    <t>+31 6 44 33 10 92</t>
  </si>
  <si>
    <t>+31 180313500</t>
  </si>
  <si>
    <t>Betaalpas</t>
  </si>
  <si>
    <t>Verlies of Diefstal</t>
  </si>
  <si>
    <t>Lieke</t>
  </si>
  <si>
    <t>Versluis</t>
  </si>
  <si>
    <t>+31 358871159</t>
  </si>
  <si>
    <t>Anja</t>
  </si>
  <si>
    <t>Verspeek</t>
  </si>
  <si>
    <t>+31 104206741</t>
  </si>
  <si>
    <t>+31 633892983</t>
  </si>
  <si>
    <t>anjaverspeek@hotmail.com</t>
  </si>
  <si>
    <t>Emma</t>
  </si>
  <si>
    <t>+31 644209666</t>
  </si>
  <si>
    <t>everspeek@hotmail.com</t>
  </si>
  <si>
    <t>+31 636144938</t>
  </si>
  <si>
    <t>ruudverspeek@gmail.com</t>
  </si>
  <si>
    <t>Peter-Eric</t>
  </si>
  <si>
    <t>Verstegen</t>
  </si>
  <si>
    <t>+31 642466069</t>
  </si>
  <si>
    <t>peverstegen@yahoo.com</t>
  </si>
  <si>
    <t>Verweij</t>
  </si>
  <si>
    <t>+31 6 36 41 26 00</t>
  </si>
  <si>
    <t>+31 348452011</t>
  </si>
  <si>
    <t>verweij.pieter@mac.com</t>
  </si>
  <si>
    <t>Vierbergen</t>
  </si>
  <si>
    <t>+31 638400560</t>
  </si>
  <si>
    <t>Irene</t>
  </si>
  <si>
    <t>Vink</t>
  </si>
  <si>
    <t>+31 624207153</t>
  </si>
  <si>
    <t>irenevink@tele2.nl</t>
  </si>
  <si>
    <t>Visser</t>
  </si>
  <si>
    <t>+31 630409408</t>
  </si>
  <si>
    <t>visserch@ziggo.nl</t>
  </si>
  <si>
    <t>pebbam@zassi.nl</t>
  </si>
  <si>
    <t>+31 10 220 4801</t>
  </si>
  <si>
    <t>+31 6 41232965</t>
  </si>
  <si>
    <t>mvisser03@gmail.com</t>
  </si>
  <si>
    <t>Vleut</t>
  </si>
  <si>
    <t>+31 643064723</t>
  </si>
  <si>
    <t>Vogelezang</t>
  </si>
  <si>
    <t>mvogelezang@melanchthon.nl</t>
  </si>
  <si>
    <t>VoiceMail</t>
  </si>
  <si>
    <t>KPN</t>
  </si>
  <si>
    <t>+31 612001233</t>
  </si>
  <si>
    <t>Laura</t>
  </si>
  <si>
    <t>Volmeijer</t>
  </si>
  <si>
    <t>+31 653976044</t>
  </si>
  <si>
    <t>Voormolen</t>
  </si>
  <si>
    <t>Vredenbregt</t>
  </si>
  <si>
    <t>jj.vredenbregt@kordaat.com</t>
  </si>
  <si>
    <t>Alet</t>
  </si>
  <si>
    <t>Waal</t>
  </si>
  <si>
    <t>alet.vanderwaal@gmail.com</t>
  </si>
  <si>
    <t>Walsum-Mackaij</t>
  </si>
  <si>
    <t>robtab63@gmail.com</t>
  </si>
  <si>
    <t xml:space="preserve">Hein </t>
  </si>
  <si>
    <t>Wareman</t>
  </si>
  <si>
    <t>+31 74 277 32 61</t>
  </si>
  <si>
    <t>h.w.wareman@outlook.com</t>
  </si>
  <si>
    <t>Suzanne</t>
  </si>
  <si>
    <t>00 31 6 44 05 28 71</t>
  </si>
  <si>
    <t>Wart</t>
  </si>
  <si>
    <t>+31 6 38 91 92 25</t>
  </si>
  <si>
    <t>arjan.vanderwart@planet.nl</t>
  </si>
  <si>
    <t>arjan.matanja@planet.nl</t>
  </si>
  <si>
    <t>Wehrlen-Vogel</t>
  </si>
  <si>
    <t>Rémy</t>
  </si>
  <si>
    <t>Wehrlen</t>
  </si>
  <si>
    <t>Sophie</t>
  </si>
  <si>
    <t>wehrlens@wanadoo.fr</t>
  </si>
  <si>
    <t>Trudie</t>
  </si>
  <si>
    <t>Werksma</t>
  </si>
  <si>
    <t>+31 618 146 243</t>
  </si>
  <si>
    <t>trudiewerksma@gmail.com</t>
  </si>
  <si>
    <t>Nikita</t>
  </si>
  <si>
    <t>Whalen</t>
  </si>
  <si>
    <t>+1 6017901461</t>
  </si>
  <si>
    <t>nwhalen@gmail.com</t>
  </si>
  <si>
    <t>Wiegand</t>
  </si>
  <si>
    <t>+31 612642772</t>
  </si>
  <si>
    <t>hwiegand@melanchthon.nl</t>
  </si>
  <si>
    <t>Wiering-Hoogerwaard</t>
  </si>
  <si>
    <t>+31 641455334</t>
  </si>
  <si>
    <t>evalisawiering@gmail.com</t>
  </si>
  <si>
    <t>Wijk</t>
  </si>
  <si>
    <t>+31 621591031</t>
  </si>
  <si>
    <t>pjvwijk@xs4all.nl</t>
  </si>
  <si>
    <t>Carlinde</t>
  </si>
  <si>
    <t>Wijngaarden, Van</t>
  </si>
  <si>
    <t>+31 6 50840100</t>
  </si>
  <si>
    <t>Diny</t>
  </si>
  <si>
    <t>Wijnmalen</t>
  </si>
  <si>
    <t>+31 104556901</t>
  </si>
  <si>
    <t>Maaike</t>
  </si>
  <si>
    <t>Wilde</t>
  </si>
  <si>
    <t>ING - IMC</t>
  </si>
  <si>
    <t>+31 623064367</t>
  </si>
  <si>
    <t>Fieke</t>
  </si>
  <si>
    <t>Wilhelmus</t>
  </si>
  <si>
    <t>Willemse</t>
  </si>
  <si>
    <t>+31 104567275</t>
  </si>
  <si>
    <t>+31 6 54 37 41 83</t>
  </si>
  <si>
    <t>Lotte</t>
  </si>
  <si>
    <t>Woittiez</t>
  </si>
  <si>
    <t>+62 85216494814</t>
  </si>
  <si>
    <t>+31 630117407</t>
  </si>
  <si>
    <t>lotte.woittiez@gmail.com</t>
  </si>
  <si>
    <t>Wolterink</t>
  </si>
  <si>
    <t>dwolterink@melanchthon.nl</t>
  </si>
  <si>
    <t>Frouktje</t>
  </si>
  <si>
    <t>Wolters</t>
  </si>
  <si>
    <t>+31 793219680</t>
  </si>
  <si>
    <t>+31 683544440</t>
  </si>
  <si>
    <t>fm.wolters@hccnet.nl</t>
  </si>
  <si>
    <t>Zandbergen</t>
  </si>
  <si>
    <t>+31 648 072 391</t>
  </si>
  <si>
    <t>info@zandbergenguitars.nl</t>
  </si>
  <si>
    <t>Jente</t>
  </si>
  <si>
    <t>Zandstra</t>
  </si>
  <si>
    <t>Joren</t>
  </si>
  <si>
    <t>+31 643435499</t>
  </si>
  <si>
    <t>m_d_m_@hotmail.com</t>
  </si>
  <si>
    <t>Merijn</t>
  </si>
  <si>
    <t>+31 6 52596073</t>
  </si>
  <si>
    <t>theo.zandstra@hccnet.nl</t>
  </si>
  <si>
    <t>Leny</t>
  </si>
  <si>
    <t>Zitter-Mutsaers</t>
  </si>
  <si>
    <t>+31 613180078</t>
  </si>
  <si>
    <t>Dhr. H.</t>
  </si>
  <si>
    <t>Zomer</t>
  </si>
  <si>
    <t>(010) 455 10 20</t>
  </si>
  <si>
    <t>h.zomer5@upcmail.nl</t>
  </si>
  <si>
    <t>Zuilen</t>
  </si>
  <si>
    <t>+31 104218207</t>
  </si>
  <si>
    <t>Lilian</t>
  </si>
  <si>
    <t>Zweedijk</t>
  </si>
  <si>
    <t>+31 180524746</t>
  </si>
  <si>
    <t>+31 642343768</t>
  </si>
  <si>
    <t>Hans &amp;amp; Marianne</t>
  </si>
  <si>
    <t xml:space="preserve">M&amp;amp;M Dansstudio </t>
  </si>
  <si>
    <t>Marga &amp;amp; George</t>
  </si>
  <si>
    <t>Gall &amp;amp; Gall</t>
  </si>
  <si>
    <t>Piet &amp;amp; Marion</t>
  </si>
  <si>
    <t>Henk &amp;amp; Nel</t>
  </si>
  <si>
    <t>Alex &amp;amp; Tineke</t>
  </si>
  <si>
    <t>Hoed &amp;amp; Hetty Storm</t>
  </si>
  <si>
    <t>Henk &amp;amp; Wilma</t>
  </si>
  <si>
    <t xml:space="preserve">Jürgen &amp;amp; Jane </t>
  </si>
  <si>
    <t>Hans &amp;amp; Jacqueline</t>
  </si>
  <si>
    <t>Trudi &amp;amp; Jaring</t>
  </si>
  <si>
    <t>Jaymond (&amp;amp; Joost)</t>
  </si>
  <si>
    <t>Ruigrok &amp;amp; v/d Pad</t>
  </si>
  <si>
    <t>Riet &amp;amp; Rob</t>
  </si>
  <si>
    <t>Don &amp;amp; Karin</t>
  </si>
  <si>
    <t>Ton &amp;amp; Nel</t>
  </si>
  <si>
    <t>M&amp;amp;M Aerobic Studio Ommoord</t>
  </si>
  <si>
    <t>M&amp;amp;M Dansstudio</t>
  </si>
  <si>
    <t>Sjaak &amp;amp; Sonja</t>
  </si>
  <si>
    <t>Marius &amp;amp; Anke</t>
  </si>
  <si>
    <t>Christa &amp;amp; Frans</t>
  </si>
  <si>
    <t>Ton &amp;amp; Tieneke</t>
  </si>
  <si>
    <t>Arjan &amp;amp; Matanja</t>
  </si>
  <si>
    <t>Guillaume &amp;amp; Gaëlle</t>
  </si>
  <si>
    <t>Eva-Lisa &amp;amp; Jaap</t>
  </si>
  <si>
    <t>Doortje &amp;amp; Jan-Roel</t>
  </si>
  <si>
    <t>van &amp;apos;t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</si>
</sst>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applyNumberFormat="1" applyFont="1"/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3" borderId="0" xfId="0" applyFill="1" applyAlignment="1">
      <alignment wrapText="1"/>
    </xf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erekening" xfId="11" builtinId="22" customBuiltin="1"/>
    <cellStyle name="Controlecel" xfId="13" builtinId="23" customBuiltin="1"/>
    <cellStyle name="Gekoppelde cel" xfId="12" builtinId="24" customBuiltin="1"/>
    <cellStyle name="Goed" xfId="6" builtinId="26" customBuiltin="1"/>
    <cellStyle name="Invoer" xfId="9" builtinId="20" customBuiltin="1"/>
    <cellStyle name="Kop 1" xfId="2" builtinId="16" customBuiltin="1"/>
    <cellStyle name="Kop 2" xfId="3" builtinId="17" customBuiltin="1"/>
    <cellStyle name="Kop 3" xfId="4" builtinId="18" customBuiltin="1"/>
    <cellStyle name="Kop 4" xfId="5" builtinId="19" customBuiltin="1"/>
    <cellStyle name="Neutraal" xfId="8" builtinId="28" customBuiltin="1"/>
    <cellStyle name="Notitie" xfId="15" builtinId="10" customBuiltin="1"/>
    <cellStyle name="Ongeldig" xfId="7" builtinId="27" customBuiltin="1"/>
    <cellStyle name="Standaard" xfId="0" builtinId="0"/>
    <cellStyle name="Titel" xfId="1" builtinId="15" customBuiltin="1"/>
    <cellStyle name="Totaal" xfId="17" builtinId="25" customBuiltin="1"/>
    <cellStyle name="Uitvoer" xfId="10" builtinId="21" customBuiltin="1"/>
    <cellStyle name="Verklarende tekst" xfId="16" builtinId="53" customBuiltin="1"/>
    <cellStyle name="Waarschuwingsteks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I489"/>
  <sheetViews>
    <sheetView workbookViewId="0">
      <selection sqref="A1:I1048576"/>
    </sheetView>
  </sheetViews>
  <sheetFormatPr defaultRowHeight="14.5" x14ac:dyDescent="0.35"/>
  <cols>
    <col min="1" max="1" width="31.90625" bestFit="1" customWidth="1"/>
    <col min="2" max="2" width="14.36328125" bestFit="1" customWidth="1"/>
    <col min="3" max="3" width="31.08984375" bestFit="1" customWidth="1"/>
    <col min="4" max="4" width="41.36328125" bestFit="1" customWidth="1"/>
    <col min="5" max="5" width="19.08984375" bestFit="1" customWidth="1"/>
    <col min="6" max="6" width="16.6328125" bestFit="1" customWidth="1"/>
    <col min="7" max="7" width="18.6328125" bestFit="1" customWidth="1"/>
    <col min="8" max="8" width="16.6328125" bestFit="1" customWidth="1"/>
    <col min="9" max="9" width="34.453125" bestFit="1" customWidth="1"/>
  </cols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E1" t="s">
        <v>34</v>
      </c>
      <c r="F1" t="s">
        <v>35</v>
      </c>
      <c r="G1" t="s">
        <v>36</v>
      </c>
      <c r="H1" t="s">
        <v>37</v>
      </c>
      <c r="I1" t="s">
        <v>38</v>
      </c>
    </row>
    <row r="2" spans="1:9" x14ac:dyDescent="0.35">
      <c r="A2" t="s">
        <v>39</v>
      </c>
      <c r="C2" t="s">
        <v>40</v>
      </c>
      <c r="H2">
        <v>31610456086</v>
      </c>
    </row>
    <row r="3" spans="1:9" x14ac:dyDescent="0.35">
      <c r="A3" t="s">
        <v>41</v>
      </c>
      <c r="C3" t="s">
        <v>42</v>
      </c>
      <c r="D3" t="s">
        <v>43</v>
      </c>
      <c r="F3" t="s">
        <v>44</v>
      </c>
      <c r="G3" t="s">
        <v>45</v>
      </c>
    </row>
    <row r="4" spans="1:9" x14ac:dyDescent="0.35">
      <c r="C4" t="s">
        <v>46</v>
      </c>
      <c r="D4" t="s">
        <v>47</v>
      </c>
      <c r="E4" t="s">
        <v>48</v>
      </c>
      <c r="F4" t="s">
        <v>49</v>
      </c>
    </row>
    <row r="5" spans="1:9" x14ac:dyDescent="0.35">
      <c r="C5" t="s">
        <v>50</v>
      </c>
      <c r="D5" t="s">
        <v>51</v>
      </c>
      <c r="E5">
        <v>112</v>
      </c>
    </row>
    <row r="6" spans="1:9" x14ac:dyDescent="0.35">
      <c r="A6" t="s">
        <v>52</v>
      </c>
      <c r="C6" t="s">
        <v>53</v>
      </c>
      <c r="F6">
        <v>5100</v>
      </c>
    </row>
    <row r="7" spans="1:9" x14ac:dyDescent="0.35">
      <c r="A7" t="s">
        <v>54</v>
      </c>
      <c r="C7" t="s">
        <v>55</v>
      </c>
      <c r="D7" t="s">
        <v>56</v>
      </c>
      <c r="F7" t="s">
        <v>57</v>
      </c>
      <c r="I7" t="s">
        <v>58</v>
      </c>
    </row>
    <row r="8" spans="1:9" x14ac:dyDescent="0.35">
      <c r="A8" t="s">
        <v>59</v>
      </c>
      <c r="C8" t="s">
        <v>60</v>
      </c>
      <c r="G8" t="s">
        <v>61</v>
      </c>
      <c r="H8" t="s">
        <v>62</v>
      </c>
      <c r="I8" t="s">
        <v>63</v>
      </c>
    </row>
    <row r="9" spans="1:9" x14ac:dyDescent="0.35">
      <c r="C9" t="s">
        <v>64</v>
      </c>
      <c r="D9" t="s">
        <v>65</v>
      </c>
      <c r="E9" t="s">
        <v>66</v>
      </c>
    </row>
    <row r="10" spans="1:9" x14ac:dyDescent="0.35">
      <c r="C10" t="s">
        <v>67</v>
      </c>
      <c r="D10" t="s">
        <v>68</v>
      </c>
      <c r="E10" t="s">
        <v>69</v>
      </c>
      <c r="F10" t="s">
        <v>70</v>
      </c>
    </row>
    <row r="11" spans="1:9" x14ac:dyDescent="0.35">
      <c r="A11" t="s">
        <v>71</v>
      </c>
      <c r="C11" t="s">
        <v>72</v>
      </c>
      <c r="H11" t="s">
        <v>73</v>
      </c>
      <c r="I11" t="s">
        <v>74</v>
      </c>
    </row>
    <row r="12" spans="1:9" x14ac:dyDescent="0.35">
      <c r="A12" t="s">
        <v>75</v>
      </c>
      <c r="C12" t="s">
        <v>76</v>
      </c>
      <c r="I12" t="s">
        <v>77</v>
      </c>
    </row>
    <row r="13" spans="1:9" x14ac:dyDescent="0.35">
      <c r="A13" t="s">
        <v>78</v>
      </c>
      <c r="C13" t="s">
        <v>79</v>
      </c>
      <c r="G13" t="s">
        <v>80</v>
      </c>
    </row>
    <row r="14" spans="1:9" x14ac:dyDescent="0.35">
      <c r="A14" t="s">
        <v>81</v>
      </c>
      <c r="D14" t="s">
        <v>81</v>
      </c>
      <c r="E14" t="s">
        <v>82</v>
      </c>
    </row>
    <row r="15" spans="1:9" x14ac:dyDescent="0.35">
      <c r="C15" t="s">
        <v>83</v>
      </c>
      <c r="E15" t="s">
        <v>84</v>
      </c>
    </row>
    <row r="16" spans="1:9" x14ac:dyDescent="0.35">
      <c r="A16" t="s">
        <v>85</v>
      </c>
      <c r="C16" t="s">
        <v>86</v>
      </c>
      <c r="G16" t="s">
        <v>87</v>
      </c>
      <c r="H16" t="s">
        <v>88</v>
      </c>
      <c r="I16" t="s">
        <v>89</v>
      </c>
    </row>
    <row r="17" spans="1:9" x14ac:dyDescent="0.35">
      <c r="A17" t="s">
        <v>90</v>
      </c>
      <c r="C17" t="s">
        <v>86</v>
      </c>
      <c r="H17" t="s">
        <v>91</v>
      </c>
      <c r="I17" t="s">
        <v>92</v>
      </c>
    </row>
    <row r="18" spans="1:9" x14ac:dyDescent="0.35">
      <c r="A18" t="s">
        <v>93</v>
      </c>
      <c r="C18" t="s">
        <v>94</v>
      </c>
      <c r="G18" t="s">
        <v>95</v>
      </c>
      <c r="I18" t="s">
        <v>96</v>
      </c>
    </row>
    <row r="19" spans="1:9" x14ac:dyDescent="0.35">
      <c r="A19" t="s">
        <v>1525</v>
      </c>
      <c r="C19" t="s">
        <v>97</v>
      </c>
    </row>
    <row r="20" spans="1:9" x14ac:dyDescent="0.35">
      <c r="A20" t="s">
        <v>98</v>
      </c>
      <c r="C20" t="s">
        <v>99</v>
      </c>
      <c r="H20">
        <v>447939263017</v>
      </c>
      <c r="I20" t="s">
        <v>100</v>
      </c>
    </row>
    <row r="21" spans="1:9" x14ac:dyDescent="0.35">
      <c r="A21" t="s">
        <v>101</v>
      </c>
      <c r="C21" t="s">
        <v>99</v>
      </c>
    </row>
    <row r="22" spans="1:9" x14ac:dyDescent="0.35">
      <c r="C22" t="s">
        <v>102</v>
      </c>
      <c r="D22" t="s">
        <v>103</v>
      </c>
      <c r="E22" t="s">
        <v>104</v>
      </c>
    </row>
    <row r="23" spans="1:9" x14ac:dyDescent="0.35">
      <c r="A23" t="s">
        <v>105</v>
      </c>
      <c r="C23" t="s">
        <v>106</v>
      </c>
      <c r="H23" t="s">
        <v>107</v>
      </c>
      <c r="I23" t="s">
        <v>108</v>
      </c>
    </row>
    <row r="24" spans="1:9" x14ac:dyDescent="0.35">
      <c r="A24" t="s">
        <v>101</v>
      </c>
      <c r="B24" t="s">
        <v>109</v>
      </c>
      <c r="C24" t="s">
        <v>110</v>
      </c>
      <c r="H24" t="s">
        <v>111</v>
      </c>
      <c r="I24" t="s">
        <v>112</v>
      </c>
    </row>
    <row r="25" spans="1:9" x14ac:dyDescent="0.35">
      <c r="A25" t="s">
        <v>113</v>
      </c>
      <c r="C25" t="s">
        <v>114</v>
      </c>
      <c r="G25" t="s">
        <v>115</v>
      </c>
      <c r="H25" t="s">
        <v>116</v>
      </c>
      <c r="I25" t="s">
        <v>117</v>
      </c>
    </row>
    <row r="26" spans="1:9" x14ac:dyDescent="0.35">
      <c r="C26" t="s">
        <v>118</v>
      </c>
      <c r="D26" t="s">
        <v>119</v>
      </c>
      <c r="E26" t="s">
        <v>120</v>
      </c>
    </row>
    <row r="27" spans="1:9" x14ac:dyDescent="0.35">
      <c r="C27" t="s">
        <v>121</v>
      </c>
      <c r="D27" t="s">
        <v>122</v>
      </c>
      <c r="E27" t="s">
        <v>123</v>
      </c>
    </row>
    <row r="28" spans="1:9" x14ac:dyDescent="0.35">
      <c r="A28" t="s">
        <v>124</v>
      </c>
      <c r="B28" t="s">
        <v>125</v>
      </c>
      <c r="C28" t="s">
        <v>126</v>
      </c>
      <c r="F28" t="s">
        <v>127</v>
      </c>
      <c r="G28" t="s">
        <v>128</v>
      </c>
      <c r="H28" t="s">
        <v>129</v>
      </c>
      <c r="I28" t="s">
        <v>130</v>
      </c>
    </row>
    <row r="29" spans="1:9" x14ac:dyDescent="0.35">
      <c r="A29" t="s">
        <v>131</v>
      </c>
      <c r="B29" t="s">
        <v>125</v>
      </c>
      <c r="C29" t="s">
        <v>126</v>
      </c>
      <c r="G29" t="s">
        <v>132</v>
      </c>
    </row>
    <row r="30" spans="1:9" x14ac:dyDescent="0.35">
      <c r="A30" t="s">
        <v>133</v>
      </c>
      <c r="C30" t="s">
        <v>134</v>
      </c>
      <c r="G30" t="s">
        <v>135</v>
      </c>
    </row>
    <row r="31" spans="1:9" x14ac:dyDescent="0.35">
      <c r="A31" t="s">
        <v>136</v>
      </c>
      <c r="C31" t="s">
        <v>137</v>
      </c>
      <c r="H31" t="s">
        <v>138</v>
      </c>
      <c r="I31" t="s">
        <v>139</v>
      </c>
    </row>
    <row r="32" spans="1:9" x14ac:dyDescent="0.35">
      <c r="A32" t="s">
        <v>140</v>
      </c>
      <c r="C32" t="s">
        <v>141</v>
      </c>
      <c r="G32" t="s">
        <v>142</v>
      </c>
      <c r="I32" t="s">
        <v>143</v>
      </c>
    </row>
    <row r="33" spans="1:9" x14ac:dyDescent="0.35">
      <c r="A33" t="s">
        <v>144</v>
      </c>
      <c r="B33" t="s">
        <v>125</v>
      </c>
      <c r="C33" t="s">
        <v>145</v>
      </c>
      <c r="G33" t="s">
        <v>146</v>
      </c>
      <c r="H33" t="s">
        <v>147</v>
      </c>
      <c r="I33" t="s">
        <v>148</v>
      </c>
    </row>
    <row r="34" spans="1:9" x14ac:dyDescent="0.35">
      <c r="A34" t="s">
        <v>149</v>
      </c>
      <c r="C34" t="s">
        <v>150</v>
      </c>
      <c r="D34" t="s">
        <v>151</v>
      </c>
      <c r="I34" t="s">
        <v>152</v>
      </c>
    </row>
    <row r="35" spans="1:9" x14ac:dyDescent="0.35">
      <c r="A35" t="s">
        <v>153</v>
      </c>
      <c r="C35" t="s">
        <v>154</v>
      </c>
      <c r="I35" t="s">
        <v>155</v>
      </c>
    </row>
    <row r="36" spans="1:9" x14ac:dyDescent="0.35">
      <c r="A36" t="s">
        <v>156</v>
      </c>
      <c r="B36" t="s">
        <v>157</v>
      </c>
      <c r="C36" t="s">
        <v>158</v>
      </c>
      <c r="F36" t="s">
        <v>159</v>
      </c>
      <c r="G36" t="s">
        <v>160</v>
      </c>
      <c r="I36" t="s">
        <v>161</v>
      </c>
    </row>
    <row r="37" spans="1:9" x14ac:dyDescent="0.35">
      <c r="A37" t="s">
        <v>162</v>
      </c>
      <c r="C37" t="s">
        <v>163</v>
      </c>
      <c r="G37" t="s">
        <v>164</v>
      </c>
      <c r="I37" t="s">
        <v>165</v>
      </c>
    </row>
    <row r="38" spans="1:9" x14ac:dyDescent="0.35">
      <c r="A38" t="s">
        <v>166</v>
      </c>
      <c r="C38" t="s">
        <v>167</v>
      </c>
      <c r="G38" t="s">
        <v>168</v>
      </c>
      <c r="H38" t="s">
        <v>169</v>
      </c>
      <c r="I38" t="s">
        <v>170</v>
      </c>
    </row>
    <row r="39" spans="1:9" x14ac:dyDescent="0.35">
      <c r="A39" t="s">
        <v>171</v>
      </c>
      <c r="C39" t="s">
        <v>167</v>
      </c>
      <c r="G39" t="s">
        <v>168</v>
      </c>
      <c r="H39" t="s">
        <v>172</v>
      </c>
      <c r="I39" t="s">
        <v>173</v>
      </c>
    </row>
    <row r="40" spans="1:9" x14ac:dyDescent="0.35">
      <c r="A40" t="s">
        <v>174</v>
      </c>
      <c r="B40" t="s">
        <v>109</v>
      </c>
      <c r="C40" t="s">
        <v>175</v>
      </c>
    </row>
    <row r="41" spans="1:9" x14ac:dyDescent="0.35">
      <c r="A41" t="s">
        <v>176</v>
      </c>
      <c r="B41" t="s">
        <v>109</v>
      </c>
      <c r="C41" t="s">
        <v>175</v>
      </c>
    </row>
    <row r="42" spans="1:9" x14ac:dyDescent="0.35">
      <c r="A42" t="s">
        <v>39</v>
      </c>
      <c r="B42" t="s">
        <v>109</v>
      </c>
      <c r="C42" t="s">
        <v>175</v>
      </c>
      <c r="G42" t="s">
        <v>177</v>
      </c>
      <c r="H42" t="s">
        <v>178</v>
      </c>
      <c r="I42" t="s">
        <v>179</v>
      </c>
    </row>
    <row r="43" spans="1:9" x14ac:dyDescent="0.35">
      <c r="A43" t="s">
        <v>180</v>
      </c>
      <c r="C43" t="s">
        <v>181</v>
      </c>
    </row>
    <row r="44" spans="1:9" x14ac:dyDescent="0.35">
      <c r="A44" t="s">
        <v>180</v>
      </c>
      <c r="C44" t="s">
        <v>181</v>
      </c>
      <c r="H44">
        <v>310643946145</v>
      </c>
    </row>
    <row r="45" spans="1:9" x14ac:dyDescent="0.35">
      <c r="A45" t="s">
        <v>180</v>
      </c>
      <c r="C45" t="s">
        <v>181</v>
      </c>
    </row>
    <row r="46" spans="1:9" x14ac:dyDescent="0.35">
      <c r="A46" t="s">
        <v>182</v>
      </c>
      <c r="C46" t="s">
        <v>183</v>
      </c>
      <c r="G46" t="s">
        <v>184</v>
      </c>
      <c r="H46" t="s">
        <v>185</v>
      </c>
      <c r="I46" t="s">
        <v>186</v>
      </c>
    </row>
    <row r="47" spans="1:9" x14ac:dyDescent="0.35">
      <c r="A47" t="s">
        <v>187</v>
      </c>
      <c r="C47" t="s">
        <v>188</v>
      </c>
      <c r="H47" t="s">
        <v>189</v>
      </c>
      <c r="I47" t="s">
        <v>190</v>
      </c>
    </row>
    <row r="48" spans="1:9" x14ac:dyDescent="0.35">
      <c r="A48" t="s">
        <v>191</v>
      </c>
      <c r="C48" t="s">
        <v>192</v>
      </c>
      <c r="D48" t="s">
        <v>193</v>
      </c>
      <c r="F48" t="s">
        <v>194</v>
      </c>
      <c r="H48" t="s">
        <v>195</v>
      </c>
      <c r="I48" t="s">
        <v>196</v>
      </c>
    </row>
    <row r="49" spans="1:9" x14ac:dyDescent="0.35">
      <c r="A49" t="s">
        <v>197</v>
      </c>
      <c r="B49" t="s">
        <v>157</v>
      </c>
      <c r="C49" t="s">
        <v>198</v>
      </c>
      <c r="G49" t="s">
        <v>199</v>
      </c>
      <c r="I49" t="s">
        <v>200</v>
      </c>
    </row>
    <row r="50" spans="1:9" x14ac:dyDescent="0.35">
      <c r="C50" t="s">
        <v>201</v>
      </c>
      <c r="D50" t="s">
        <v>202</v>
      </c>
      <c r="E50" t="s">
        <v>203</v>
      </c>
    </row>
    <row r="51" spans="1:9" x14ac:dyDescent="0.35">
      <c r="A51" t="s">
        <v>204</v>
      </c>
      <c r="C51" t="s">
        <v>205</v>
      </c>
      <c r="I51" t="s">
        <v>206</v>
      </c>
    </row>
    <row r="52" spans="1:9" x14ac:dyDescent="0.35">
      <c r="A52" t="s">
        <v>207</v>
      </c>
      <c r="C52" t="s">
        <v>208</v>
      </c>
      <c r="H52">
        <v>31627322520</v>
      </c>
    </row>
    <row r="53" spans="1:9" x14ac:dyDescent="0.35">
      <c r="A53" t="s">
        <v>209</v>
      </c>
      <c r="C53" t="s">
        <v>210</v>
      </c>
      <c r="G53" t="s">
        <v>211</v>
      </c>
      <c r="I53" t="s">
        <v>212</v>
      </c>
    </row>
    <row r="54" spans="1:9" x14ac:dyDescent="0.35">
      <c r="A54" t="s">
        <v>213</v>
      </c>
      <c r="B54" t="s">
        <v>109</v>
      </c>
      <c r="C54" t="s">
        <v>214</v>
      </c>
      <c r="D54" t="s">
        <v>215</v>
      </c>
      <c r="E54" t="s">
        <v>216</v>
      </c>
      <c r="H54" t="s">
        <v>217</v>
      </c>
      <c r="I54" t="s">
        <v>218</v>
      </c>
    </row>
    <row r="55" spans="1:9" x14ac:dyDescent="0.35">
      <c r="A55" t="s">
        <v>219</v>
      </c>
      <c r="C55" t="s">
        <v>220</v>
      </c>
      <c r="D55" t="s">
        <v>221</v>
      </c>
      <c r="F55" t="s">
        <v>222</v>
      </c>
      <c r="I55" t="s">
        <v>223</v>
      </c>
    </row>
    <row r="56" spans="1:9" x14ac:dyDescent="0.35">
      <c r="A56" t="s">
        <v>224</v>
      </c>
      <c r="C56" t="s">
        <v>225</v>
      </c>
      <c r="G56" t="s">
        <v>226</v>
      </c>
      <c r="H56" t="s">
        <v>227</v>
      </c>
      <c r="I56" t="s">
        <v>228</v>
      </c>
    </row>
    <row r="57" spans="1:9" x14ac:dyDescent="0.35">
      <c r="A57" t="s">
        <v>229</v>
      </c>
      <c r="C57" t="s">
        <v>230</v>
      </c>
      <c r="G57" t="s">
        <v>226</v>
      </c>
      <c r="H57" t="s">
        <v>231</v>
      </c>
    </row>
    <row r="58" spans="1:9" x14ac:dyDescent="0.35">
      <c r="A58" t="s">
        <v>232</v>
      </c>
      <c r="C58" t="s">
        <v>233</v>
      </c>
      <c r="D58" t="s">
        <v>234</v>
      </c>
      <c r="F58" t="s">
        <v>235</v>
      </c>
      <c r="G58" t="s">
        <v>236</v>
      </c>
      <c r="I58" t="s">
        <v>237</v>
      </c>
    </row>
    <row r="59" spans="1:9" x14ac:dyDescent="0.35">
      <c r="A59" t="s">
        <v>238</v>
      </c>
      <c r="C59" t="s">
        <v>239</v>
      </c>
      <c r="G59" t="s">
        <v>240</v>
      </c>
    </row>
    <row r="60" spans="1:9" x14ac:dyDescent="0.35">
      <c r="C60" t="s">
        <v>241</v>
      </c>
      <c r="D60" t="s">
        <v>242</v>
      </c>
      <c r="E60" t="s">
        <v>243</v>
      </c>
    </row>
    <row r="61" spans="1:9" x14ac:dyDescent="0.35">
      <c r="A61" t="s">
        <v>244</v>
      </c>
      <c r="C61" t="s">
        <v>245</v>
      </c>
      <c r="D61" t="s">
        <v>246</v>
      </c>
      <c r="G61" t="s">
        <v>247</v>
      </c>
      <c r="I61" t="s">
        <v>248</v>
      </c>
    </row>
    <row r="62" spans="1:9" x14ac:dyDescent="0.35">
      <c r="A62" t="s">
        <v>209</v>
      </c>
      <c r="C62" t="s">
        <v>249</v>
      </c>
      <c r="H62" t="s">
        <v>250</v>
      </c>
    </row>
    <row r="63" spans="1:9" x14ac:dyDescent="0.35">
      <c r="A63" t="s">
        <v>251</v>
      </c>
      <c r="B63" t="s">
        <v>252</v>
      </c>
      <c r="C63" t="s">
        <v>253</v>
      </c>
      <c r="H63" t="s">
        <v>254</v>
      </c>
      <c r="I63" t="s">
        <v>255</v>
      </c>
    </row>
    <row r="64" spans="1:9" x14ac:dyDescent="0.35">
      <c r="A64" t="s">
        <v>256</v>
      </c>
      <c r="C64" t="s">
        <v>257</v>
      </c>
      <c r="G64" t="s">
        <v>258</v>
      </c>
      <c r="H64" t="s">
        <v>259</v>
      </c>
      <c r="I64" t="s">
        <v>260</v>
      </c>
    </row>
    <row r="65" spans="1:9" x14ac:dyDescent="0.35">
      <c r="A65" t="s">
        <v>153</v>
      </c>
      <c r="C65" t="s">
        <v>261</v>
      </c>
      <c r="G65" t="s">
        <v>262</v>
      </c>
      <c r="I65" t="s">
        <v>263</v>
      </c>
    </row>
    <row r="66" spans="1:9" x14ac:dyDescent="0.35">
      <c r="A66" t="s">
        <v>264</v>
      </c>
      <c r="C66" t="s">
        <v>265</v>
      </c>
      <c r="H66" t="s">
        <v>266</v>
      </c>
    </row>
    <row r="67" spans="1:9" x14ac:dyDescent="0.35">
      <c r="C67" t="s">
        <v>267</v>
      </c>
      <c r="D67" t="s">
        <v>268</v>
      </c>
      <c r="E67" t="s">
        <v>269</v>
      </c>
    </row>
    <row r="68" spans="1:9" x14ac:dyDescent="0.35">
      <c r="A68" t="s">
        <v>270</v>
      </c>
      <c r="C68" t="s">
        <v>271</v>
      </c>
    </row>
    <row r="69" spans="1:9" x14ac:dyDescent="0.35">
      <c r="C69" t="s">
        <v>272</v>
      </c>
      <c r="E69" t="s">
        <v>273</v>
      </c>
    </row>
    <row r="70" spans="1:9" x14ac:dyDescent="0.35">
      <c r="A70" t="s">
        <v>274</v>
      </c>
      <c r="C70" t="s">
        <v>275</v>
      </c>
      <c r="G70" t="s">
        <v>276</v>
      </c>
      <c r="H70" t="s">
        <v>277</v>
      </c>
    </row>
    <row r="71" spans="1:9" x14ac:dyDescent="0.35">
      <c r="A71" t="s">
        <v>278</v>
      </c>
      <c r="C71" t="s">
        <v>275</v>
      </c>
      <c r="G71" t="s">
        <v>279</v>
      </c>
      <c r="H71" t="s">
        <v>280</v>
      </c>
      <c r="I71" t="s">
        <v>281</v>
      </c>
    </row>
    <row r="72" spans="1:9" x14ac:dyDescent="0.35">
      <c r="C72" t="s">
        <v>282</v>
      </c>
      <c r="D72" t="s">
        <v>283</v>
      </c>
      <c r="E72" t="s">
        <v>284</v>
      </c>
    </row>
    <row r="73" spans="1:9" x14ac:dyDescent="0.35">
      <c r="A73" t="s">
        <v>285</v>
      </c>
      <c r="I73" t="s">
        <v>286</v>
      </c>
    </row>
    <row r="74" spans="1:9" x14ac:dyDescent="0.35">
      <c r="C74" t="s">
        <v>287</v>
      </c>
      <c r="D74" t="s">
        <v>288</v>
      </c>
      <c r="E74">
        <v>14010</v>
      </c>
    </row>
    <row r="75" spans="1:9" x14ac:dyDescent="0.35">
      <c r="A75" t="s">
        <v>289</v>
      </c>
      <c r="C75" t="s">
        <v>290</v>
      </c>
      <c r="F75" t="s">
        <v>291</v>
      </c>
    </row>
    <row r="76" spans="1:9" x14ac:dyDescent="0.35">
      <c r="C76" t="s">
        <v>292</v>
      </c>
      <c r="E76" t="s">
        <v>293</v>
      </c>
    </row>
    <row r="77" spans="1:9" x14ac:dyDescent="0.35">
      <c r="A77" t="s">
        <v>294</v>
      </c>
      <c r="C77" t="s">
        <v>295</v>
      </c>
      <c r="G77" t="s">
        <v>296</v>
      </c>
      <c r="H77" t="s">
        <v>297</v>
      </c>
      <c r="I77" t="s">
        <v>298</v>
      </c>
    </row>
    <row r="78" spans="1:9" x14ac:dyDescent="0.35">
      <c r="A78" t="s">
        <v>299</v>
      </c>
      <c r="C78" t="s">
        <v>295</v>
      </c>
      <c r="G78" t="s">
        <v>296</v>
      </c>
    </row>
    <row r="79" spans="1:9" x14ac:dyDescent="0.35">
      <c r="A79" t="s">
        <v>300</v>
      </c>
      <c r="C79" t="s">
        <v>295</v>
      </c>
      <c r="I79" t="s">
        <v>301</v>
      </c>
    </row>
    <row r="80" spans="1:9" x14ac:dyDescent="0.35">
      <c r="A80" t="s">
        <v>219</v>
      </c>
      <c r="C80" t="s">
        <v>302</v>
      </c>
      <c r="H80" t="s">
        <v>303</v>
      </c>
      <c r="I80" t="s">
        <v>304</v>
      </c>
    </row>
    <row r="81" spans="1:9" x14ac:dyDescent="0.35">
      <c r="C81" t="s">
        <v>305</v>
      </c>
      <c r="D81" t="s">
        <v>268</v>
      </c>
      <c r="E81" t="s">
        <v>306</v>
      </c>
    </row>
    <row r="82" spans="1:9" x14ac:dyDescent="0.35">
      <c r="A82" t="s">
        <v>307</v>
      </c>
      <c r="C82" t="s">
        <v>308</v>
      </c>
      <c r="H82" t="s">
        <v>309</v>
      </c>
      <c r="I82" t="s">
        <v>310</v>
      </c>
    </row>
    <row r="83" spans="1:9" x14ac:dyDescent="0.35">
      <c r="A83" t="s">
        <v>311</v>
      </c>
      <c r="C83" t="s">
        <v>312</v>
      </c>
      <c r="D83" t="s">
        <v>313</v>
      </c>
      <c r="H83" t="s">
        <v>314</v>
      </c>
      <c r="I83" t="s">
        <v>315</v>
      </c>
    </row>
    <row r="84" spans="1:9" x14ac:dyDescent="0.35">
      <c r="A84" t="s">
        <v>316</v>
      </c>
      <c r="C84" t="s">
        <v>317</v>
      </c>
      <c r="H84">
        <v>31647659619</v>
      </c>
    </row>
    <row r="85" spans="1:9" x14ac:dyDescent="0.35">
      <c r="A85" t="s">
        <v>318</v>
      </c>
      <c r="C85" t="s">
        <v>319</v>
      </c>
      <c r="F85" t="s">
        <v>320</v>
      </c>
      <c r="G85" t="s">
        <v>321</v>
      </c>
    </row>
    <row r="86" spans="1:9" x14ac:dyDescent="0.35">
      <c r="A86" t="s">
        <v>322</v>
      </c>
      <c r="C86" t="s">
        <v>323</v>
      </c>
      <c r="I86" t="s">
        <v>324</v>
      </c>
    </row>
    <row r="87" spans="1:9" x14ac:dyDescent="0.35">
      <c r="A87" t="s">
        <v>325</v>
      </c>
      <c r="C87" t="s">
        <v>326</v>
      </c>
    </row>
    <row r="88" spans="1:9" x14ac:dyDescent="0.35">
      <c r="C88" t="s">
        <v>327</v>
      </c>
      <c r="D88" t="s">
        <v>202</v>
      </c>
      <c r="E88" t="s">
        <v>328</v>
      </c>
    </row>
    <row r="89" spans="1:9" x14ac:dyDescent="0.35">
      <c r="A89" t="s">
        <v>329</v>
      </c>
      <c r="C89" t="s">
        <v>330</v>
      </c>
    </row>
    <row r="90" spans="1:9" x14ac:dyDescent="0.35">
      <c r="A90" t="s">
        <v>331</v>
      </c>
      <c r="C90" t="s">
        <v>330</v>
      </c>
      <c r="G90" t="s">
        <v>332</v>
      </c>
    </row>
    <row r="91" spans="1:9" x14ac:dyDescent="0.35">
      <c r="A91" t="s">
        <v>333</v>
      </c>
      <c r="C91" t="s">
        <v>330</v>
      </c>
      <c r="G91" t="s">
        <v>332</v>
      </c>
    </row>
    <row r="92" spans="1:9" x14ac:dyDescent="0.35">
      <c r="A92" t="s">
        <v>334</v>
      </c>
      <c r="C92" t="s">
        <v>330</v>
      </c>
    </row>
    <row r="93" spans="1:9" x14ac:dyDescent="0.35">
      <c r="A93" t="s">
        <v>335</v>
      </c>
      <c r="C93" t="s">
        <v>330</v>
      </c>
    </row>
    <row r="94" spans="1:9" x14ac:dyDescent="0.35">
      <c r="A94" t="s">
        <v>336</v>
      </c>
      <c r="C94" t="s">
        <v>337</v>
      </c>
      <c r="G94" t="s">
        <v>338</v>
      </c>
      <c r="H94" t="s">
        <v>339</v>
      </c>
      <c r="I94" t="s">
        <v>340</v>
      </c>
    </row>
    <row r="95" spans="1:9" x14ac:dyDescent="0.35">
      <c r="A95" t="s">
        <v>341</v>
      </c>
      <c r="C95" t="s">
        <v>342</v>
      </c>
      <c r="G95" t="s">
        <v>343</v>
      </c>
      <c r="H95" t="s">
        <v>344</v>
      </c>
      <c r="I95" t="s">
        <v>345</v>
      </c>
    </row>
    <row r="96" spans="1:9" x14ac:dyDescent="0.35">
      <c r="A96" t="s">
        <v>346</v>
      </c>
      <c r="B96" t="s">
        <v>157</v>
      </c>
      <c r="C96" t="s">
        <v>347</v>
      </c>
      <c r="H96" t="s">
        <v>348</v>
      </c>
      <c r="I96" t="s">
        <v>349</v>
      </c>
    </row>
    <row r="97" spans="1:9" x14ac:dyDescent="0.35">
      <c r="A97" t="s">
        <v>162</v>
      </c>
      <c r="C97" t="s">
        <v>350</v>
      </c>
      <c r="H97" t="s">
        <v>351</v>
      </c>
      <c r="I97" t="s">
        <v>352</v>
      </c>
    </row>
    <row r="98" spans="1:9" x14ac:dyDescent="0.35">
      <c r="A98" t="s">
        <v>353</v>
      </c>
      <c r="C98" t="s">
        <v>354</v>
      </c>
      <c r="D98" t="s">
        <v>355</v>
      </c>
      <c r="F98" t="s">
        <v>356</v>
      </c>
      <c r="I98" t="s">
        <v>357</v>
      </c>
    </row>
    <row r="99" spans="1:9" x14ac:dyDescent="0.35">
      <c r="A99" t="s">
        <v>311</v>
      </c>
      <c r="D99" t="s">
        <v>1526</v>
      </c>
      <c r="H99" t="s">
        <v>314</v>
      </c>
    </row>
    <row r="100" spans="1:9" x14ac:dyDescent="0.35">
      <c r="A100" t="s">
        <v>358</v>
      </c>
      <c r="C100" t="s">
        <v>359</v>
      </c>
    </row>
    <row r="101" spans="1:9" x14ac:dyDescent="0.35">
      <c r="C101" t="s">
        <v>360</v>
      </c>
      <c r="E101" t="s">
        <v>361</v>
      </c>
    </row>
    <row r="102" spans="1:9" x14ac:dyDescent="0.35">
      <c r="A102" t="s">
        <v>362</v>
      </c>
      <c r="B102" t="s">
        <v>157</v>
      </c>
      <c r="C102" t="s">
        <v>363</v>
      </c>
    </row>
    <row r="103" spans="1:9" x14ac:dyDescent="0.35">
      <c r="A103" t="s">
        <v>364</v>
      </c>
      <c r="B103" t="s">
        <v>157</v>
      </c>
      <c r="C103" t="s">
        <v>363</v>
      </c>
      <c r="H103" t="s">
        <v>365</v>
      </c>
    </row>
    <row r="104" spans="1:9" x14ac:dyDescent="0.35">
      <c r="A104" t="s">
        <v>366</v>
      </c>
      <c r="B104" t="s">
        <v>157</v>
      </c>
      <c r="C104" t="s">
        <v>363</v>
      </c>
    </row>
    <row r="105" spans="1:9" x14ac:dyDescent="0.35">
      <c r="A105" t="s">
        <v>367</v>
      </c>
      <c r="B105" t="s">
        <v>157</v>
      </c>
      <c r="C105" t="s">
        <v>368</v>
      </c>
    </row>
    <row r="106" spans="1:9" x14ac:dyDescent="0.35">
      <c r="A106" t="s">
        <v>369</v>
      </c>
      <c r="C106" t="s">
        <v>370</v>
      </c>
      <c r="H106" t="s">
        <v>371</v>
      </c>
    </row>
    <row r="107" spans="1:9" x14ac:dyDescent="0.35">
      <c r="A107" t="s">
        <v>372</v>
      </c>
    </row>
    <row r="108" spans="1:9" x14ac:dyDescent="0.35">
      <c r="A108" t="s">
        <v>373</v>
      </c>
      <c r="C108" t="s">
        <v>374</v>
      </c>
      <c r="G108" t="s">
        <v>375</v>
      </c>
      <c r="H108" t="s">
        <v>376</v>
      </c>
      <c r="I108" t="s">
        <v>377</v>
      </c>
    </row>
    <row r="109" spans="1:9" x14ac:dyDescent="0.35">
      <c r="A109" t="s">
        <v>378</v>
      </c>
      <c r="C109" t="s">
        <v>379</v>
      </c>
      <c r="H109">
        <v>31613979719</v>
      </c>
    </row>
    <row r="110" spans="1:9" x14ac:dyDescent="0.35">
      <c r="A110" t="s">
        <v>1527</v>
      </c>
      <c r="B110" t="s">
        <v>157</v>
      </c>
      <c r="C110" t="s">
        <v>380</v>
      </c>
      <c r="G110" t="s">
        <v>381</v>
      </c>
    </row>
    <row r="111" spans="1:9" x14ac:dyDescent="0.35">
      <c r="A111" t="s">
        <v>382</v>
      </c>
      <c r="B111" t="s">
        <v>383</v>
      </c>
      <c r="C111" t="s">
        <v>384</v>
      </c>
      <c r="G111" t="s">
        <v>385</v>
      </c>
      <c r="I111" t="s">
        <v>386</v>
      </c>
    </row>
    <row r="112" spans="1:9" x14ac:dyDescent="0.35">
      <c r="A112" t="s">
        <v>387</v>
      </c>
      <c r="C112" t="s">
        <v>388</v>
      </c>
      <c r="H112" t="s">
        <v>389</v>
      </c>
      <c r="I112" t="s">
        <v>390</v>
      </c>
    </row>
    <row r="113" spans="1:9" x14ac:dyDescent="0.35">
      <c r="A113" t="s">
        <v>391</v>
      </c>
      <c r="B113" t="s">
        <v>157</v>
      </c>
      <c r="C113" t="s">
        <v>392</v>
      </c>
      <c r="H113" t="s">
        <v>393</v>
      </c>
      <c r="I113" t="s">
        <v>394</v>
      </c>
    </row>
    <row r="114" spans="1:9" x14ac:dyDescent="0.35">
      <c r="A114" t="s">
        <v>395</v>
      </c>
      <c r="C114" t="s">
        <v>396</v>
      </c>
      <c r="I114" t="s">
        <v>397</v>
      </c>
    </row>
    <row r="115" spans="1:9" x14ac:dyDescent="0.35">
      <c r="A115" t="s">
        <v>398</v>
      </c>
      <c r="B115" t="s">
        <v>157</v>
      </c>
      <c r="C115" t="s">
        <v>399</v>
      </c>
    </row>
    <row r="116" spans="1:9" x14ac:dyDescent="0.35">
      <c r="A116" t="s">
        <v>346</v>
      </c>
      <c r="B116" t="s">
        <v>157</v>
      </c>
      <c r="C116" t="s">
        <v>399</v>
      </c>
      <c r="G116" t="s">
        <v>400</v>
      </c>
      <c r="I116" t="s">
        <v>401</v>
      </c>
    </row>
    <row r="117" spans="1:9" x14ac:dyDescent="0.35">
      <c r="A117" t="s">
        <v>402</v>
      </c>
      <c r="C117" t="s">
        <v>403</v>
      </c>
      <c r="H117" t="s">
        <v>404</v>
      </c>
      <c r="I117" t="s">
        <v>405</v>
      </c>
    </row>
    <row r="118" spans="1:9" x14ac:dyDescent="0.35">
      <c r="A118" t="s">
        <v>406</v>
      </c>
      <c r="C118" t="s">
        <v>403</v>
      </c>
      <c r="H118" t="s">
        <v>407</v>
      </c>
      <c r="I118" t="s">
        <v>408</v>
      </c>
    </row>
    <row r="119" spans="1:9" x14ac:dyDescent="0.35">
      <c r="A119" t="s">
        <v>409</v>
      </c>
      <c r="B119" t="s">
        <v>383</v>
      </c>
      <c r="C119" t="s">
        <v>410</v>
      </c>
      <c r="G119" t="s">
        <v>411</v>
      </c>
      <c r="I119" t="s">
        <v>412</v>
      </c>
    </row>
    <row r="120" spans="1:9" x14ac:dyDescent="0.35">
      <c r="A120" t="s">
        <v>413</v>
      </c>
      <c r="C120" t="s">
        <v>414</v>
      </c>
      <c r="G120" t="s">
        <v>415</v>
      </c>
      <c r="H120" t="s">
        <v>416</v>
      </c>
      <c r="I120" t="s">
        <v>417</v>
      </c>
    </row>
    <row r="121" spans="1:9" x14ac:dyDescent="0.35">
      <c r="A121" t="s">
        <v>418</v>
      </c>
      <c r="C121" t="s">
        <v>419</v>
      </c>
      <c r="G121" t="s">
        <v>420</v>
      </c>
    </row>
    <row r="122" spans="1:9" x14ac:dyDescent="0.35">
      <c r="A122" t="s">
        <v>421</v>
      </c>
      <c r="C122" t="s">
        <v>422</v>
      </c>
      <c r="G122" t="s">
        <v>423</v>
      </c>
    </row>
    <row r="123" spans="1:9" x14ac:dyDescent="0.35">
      <c r="A123" t="s">
        <v>424</v>
      </c>
      <c r="C123" t="s">
        <v>422</v>
      </c>
      <c r="G123" t="s">
        <v>425</v>
      </c>
    </row>
    <row r="124" spans="1:9" x14ac:dyDescent="0.35">
      <c r="A124" t="s">
        <v>426</v>
      </c>
      <c r="B124" t="s">
        <v>157</v>
      </c>
      <c r="C124" t="s">
        <v>427</v>
      </c>
      <c r="G124" t="s">
        <v>428</v>
      </c>
    </row>
    <row r="125" spans="1:9" x14ac:dyDescent="0.35">
      <c r="A125" t="s">
        <v>429</v>
      </c>
      <c r="B125" t="s">
        <v>157</v>
      </c>
      <c r="C125" t="s">
        <v>427</v>
      </c>
      <c r="G125" t="s">
        <v>428</v>
      </c>
    </row>
    <row r="126" spans="1:9" x14ac:dyDescent="0.35">
      <c r="A126" t="s">
        <v>430</v>
      </c>
      <c r="C126" t="s">
        <v>431</v>
      </c>
      <c r="G126" t="s">
        <v>432</v>
      </c>
      <c r="H126" t="s">
        <v>433</v>
      </c>
      <c r="I126" t="s">
        <v>434</v>
      </c>
    </row>
    <row r="127" spans="1:9" x14ac:dyDescent="0.35">
      <c r="A127" t="s">
        <v>435</v>
      </c>
    </row>
    <row r="128" spans="1:9" x14ac:dyDescent="0.35">
      <c r="A128" t="s">
        <v>436</v>
      </c>
      <c r="C128" t="s">
        <v>437</v>
      </c>
      <c r="G128" t="s">
        <v>438</v>
      </c>
    </row>
    <row r="129" spans="1:9" x14ac:dyDescent="0.35">
      <c r="C129" t="s">
        <v>439</v>
      </c>
      <c r="D129" t="s">
        <v>440</v>
      </c>
      <c r="E129" t="s">
        <v>441</v>
      </c>
    </row>
    <row r="130" spans="1:9" x14ac:dyDescent="0.35">
      <c r="A130" t="s">
        <v>346</v>
      </c>
      <c r="C130" t="s">
        <v>442</v>
      </c>
      <c r="I130" t="s">
        <v>443</v>
      </c>
    </row>
    <row r="131" spans="1:9" x14ac:dyDescent="0.35">
      <c r="A131" t="s">
        <v>444</v>
      </c>
      <c r="C131" t="s">
        <v>445</v>
      </c>
      <c r="G131" t="s">
        <v>446</v>
      </c>
    </row>
    <row r="132" spans="1:9" x14ac:dyDescent="0.35">
      <c r="A132" t="s">
        <v>447</v>
      </c>
      <c r="C132" t="s">
        <v>448</v>
      </c>
      <c r="H132" t="s">
        <v>449</v>
      </c>
    </row>
    <row r="133" spans="1:9" x14ac:dyDescent="0.35">
      <c r="C133" t="s">
        <v>450</v>
      </c>
      <c r="D133" t="s">
        <v>451</v>
      </c>
      <c r="E133" t="s">
        <v>452</v>
      </c>
    </row>
    <row r="134" spans="1:9" x14ac:dyDescent="0.35">
      <c r="C134" t="s">
        <v>1528</v>
      </c>
      <c r="D134" t="s">
        <v>453</v>
      </c>
      <c r="E134" t="s">
        <v>454</v>
      </c>
    </row>
    <row r="135" spans="1:9" x14ac:dyDescent="0.35">
      <c r="A135" t="s">
        <v>455</v>
      </c>
      <c r="C135" t="s">
        <v>456</v>
      </c>
      <c r="D135" t="s">
        <v>457</v>
      </c>
      <c r="G135" t="s">
        <v>458</v>
      </c>
    </row>
    <row r="136" spans="1:9" x14ac:dyDescent="0.35">
      <c r="A136" t="s">
        <v>459</v>
      </c>
      <c r="C136" t="s">
        <v>460</v>
      </c>
      <c r="G136" t="s">
        <v>461</v>
      </c>
    </row>
    <row r="137" spans="1:9" x14ac:dyDescent="0.35">
      <c r="A137" t="s">
        <v>462</v>
      </c>
      <c r="F137" t="s">
        <v>463</v>
      </c>
      <c r="H137" t="s">
        <v>464</v>
      </c>
    </row>
    <row r="138" spans="1:9" x14ac:dyDescent="0.35">
      <c r="A138" t="s">
        <v>465</v>
      </c>
      <c r="C138" t="s">
        <v>466</v>
      </c>
      <c r="G138" t="s">
        <v>467</v>
      </c>
    </row>
    <row r="139" spans="1:9" x14ac:dyDescent="0.35">
      <c r="A139" t="s">
        <v>468</v>
      </c>
      <c r="B139" t="s">
        <v>157</v>
      </c>
      <c r="C139" t="s">
        <v>469</v>
      </c>
      <c r="H139" t="s">
        <v>470</v>
      </c>
      <c r="I139" t="s">
        <v>471</v>
      </c>
    </row>
    <row r="140" spans="1:9" x14ac:dyDescent="0.35">
      <c r="A140" t="s">
        <v>472</v>
      </c>
      <c r="C140" t="s">
        <v>473</v>
      </c>
      <c r="G140" t="s">
        <v>474</v>
      </c>
      <c r="I140" t="s">
        <v>475</v>
      </c>
    </row>
    <row r="141" spans="1:9" x14ac:dyDescent="0.35">
      <c r="A141" t="s">
        <v>476</v>
      </c>
      <c r="B141" t="s">
        <v>157</v>
      </c>
      <c r="C141" t="s">
        <v>477</v>
      </c>
      <c r="I141" t="s">
        <v>478</v>
      </c>
    </row>
    <row r="142" spans="1:9" x14ac:dyDescent="0.35">
      <c r="A142" t="s">
        <v>479</v>
      </c>
      <c r="C142" t="s">
        <v>480</v>
      </c>
      <c r="I142" t="s">
        <v>481</v>
      </c>
    </row>
    <row r="143" spans="1:9" x14ac:dyDescent="0.35">
      <c r="A143" t="s">
        <v>1529</v>
      </c>
      <c r="C143" t="s">
        <v>482</v>
      </c>
      <c r="G143">
        <v>31713317047</v>
      </c>
      <c r="H143">
        <v>31620618950</v>
      </c>
      <c r="I143" t="s">
        <v>483</v>
      </c>
    </row>
    <row r="144" spans="1:9" x14ac:dyDescent="0.35">
      <c r="A144" t="s">
        <v>484</v>
      </c>
      <c r="C144" t="s">
        <v>485</v>
      </c>
    </row>
    <row r="145" spans="1:9" x14ac:dyDescent="0.35">
      <c r="A145" t="s">
        <v>486</v>
      </c>
      <c r="C145" t="s">
        <v>485</v>
      </c>
    </row>
    <row r="146" spans="1:9" x14ac:dyDescent="0.35">
      <c r="A146" t="s">
        <v>487</v>
      </c>
      <c r="C146" t="s">
        <v>485</v>
      </c>
      <c r="H146" t="s">
        <v>488</v>
      </c>
      <c r="I146" t="s">
        <v>489</v>
      </c>
    </row>
    <row r="147" spans="1:9" x14ac:dyDescent="0.35">
      <c r="A147" t="s">
        <v>1530</v>
      </c>
      <c r="C147" t="s">
        <v>490</v>
      </c>
      <c r="I147" t="s">
        <v>491</v>
      </c>
    </row>
    <row r="148" spans="1:9" x14ac:dyDescent="0.35">
      <c r="A148" t="s">
        <v>492</v>
      </c>
      <c r="C148" t="s">
        <v>490</v>
      </c>
      <c r="G148" t="s">
        <v>493</v>
      </c>
      <c r="I148" t="s">
        <v>494</v>
      </c>
    </row>
    <row r="149" spans="1:9" x14ac:dyDescent="0.35">
      <c r="A149" t="s">
        <v>495</v>
      </c>
      <c r="C149" t="s">
        <v>496</v>
      </c>
      <c r="D149" t="s">
        <v>497</v>
      </c>
      <c r="E149" t="s">
        <v>498</v>
      </c>
      <c r="H149" t="s">
        <v>498</v>
      </c>
      <c r="I149" t="s">
        <v>499</v>
      </c>
    </row>
    <row r="150" spans="1:9" x14ac:dyDescent="0.35">
      <c r="A150" t="s">
        <v>500</v>
      </c>
      <c r="C150" t="s">
        <v>501</v>
      </c>
      <c r="G150" t="s">
        <v>502</v>
      </c>
      <c r="H150" t="s">
        <v>503</v>
      </c>
      <c r="I150" t="s">
        <v>504</v>
      </c>
    </row>
    <row r="151" spans="1:9" x14ac:dyDescent="0.35">
      <c r="A151" t="s">
        <v>505</v>
      </c>
      <c r="C151" t="s">
        <v>506</v>
      </c>
      <c r="G151" t="s">
        <v>142</v>
      </c>
    </row>
    <row r="152" spans="1:9" x14ac:dyDescent="0.35">
      <c r="A152" t="s">
        <v>507</v>
      </c>
      <c r="C152" t="s">
        <v>508</v>
      </c>
      <c r="G152" t="s">
        <v>509</v>
      </c>
      <c r="H152" t="s">
        <v>510</v>
      </c>
    </row>
    <row r="153" spans="1:9" x14ac:dyDescent="0.35">
      <c r="A153" t="s">
        <v>511</v>
      </c>
      <c r="B153" t="s">
        <v>125</v>
      </c>
      <c r="C153" t="s">
        <v>512</v>
      </c>
      <c r="G153" t="s">
        <v>513</v>
      </c>
    </row>
    <row r="154" spans="1:9" x14ac:dyDescent="0.35">
      <c r="A154" t="s">
        <v>514</v>
      </c>
      <c r="B154" t="s">
        <v>125</v>
      </c>
      <c r="C154" t="s">
        <v>512</v>
      </c>
    </row>
    <row r="155" spans="1:9" x14ac:dyDescent="0.35">
      <c r="A155" t="s">
        <v>515</v>
      </c>
      <c r="B155" t="s">
        <v>125</v>
      </c>
      <c r="C155" t="s">
        <v>516</v>
      </c>
      <c r="H155" t="s">
        <v>517</v>
      </c>
      <c r="I155" t="s">
        <v>518</v>
      </c>
    </row>
    <row r="156" spans="1:9" x14ac:dyDescent="0.35">
      <c r="A156" t="s">
        <v>495</v>
      </c>
      <c r="C156" t="s">
        <v>519</v>
      </c>
      <c r="D156" t="s">
        <v>520</v>
      </c>
      <c r="H156" t="s">
        <v>521</v>
      </c>
    </row>
    <row r="157" spans="1:9" x14ac:dyDescent="0.35">
      <c r="A157" t="s">
        <v>522</v>
      </c>
      <c r="C157" t="s">
        <v>523</v>
      </c>
      <c r="D157" t="s">
        <v>524</v>
      </c>
      <c r="E157" t="s">
        <v>525</v>
      </c>
      <c r="I157" t="s">
        <v>526</v>
      </c>
    </row>
    <row r="158" spans="1:9" x14ac:dyDescent="0.35">
      <c r="A158" t="s">
        <v>527</v>
      </c>
      <c r="B158" t="s">
        <v>157</v>
      </c>
      <c r="C158" t="s">
        <v>528</v>
      </c>
      <c r="G158" t="s">
        <v>258</v>
      </c>
      <c r="H158" t="s">
        <v>529</v>
      </c>
      <c r="I158" t="s">
        <v>530</v>
      </c>
    </row>
    <row r="159" spans="1:9" x14ac:dyDescent="0.35">
      <c r="A159" t="s">
        <v>131</v>
      </c>
      <c r="B159" t="s">
        <v>383</v>
      </c>
      <c r="C159" t="s">
        <v>531</v>
      </c>
      <c r="G159" t="s">
        <v>532</v>
      </c>
    </row>
    <row r="160" spans="1:9" x14ac:dyDescent="0.35">
      <c r="A160" t="s">
        <v>533</v>
      </c>
      <c r="B160" t="s">
        <v>157</v>
      </c>
      <c r="C160" t="s">
        <v>534</v>
      </c>
      <c r="H160" t="s">
        <v>535</v>
      </c>
      <c r="I160" t="s">
        <v>536</v>
      </c>
    </row>
    <row r="161" spans="1:9" x14ac:dyDescent="0.35">
      <c r="A161" t="s">
        <v>537</v>
      </c>
      <c r="C161" t="s">
        <v>538</v>
      </c>
      <c r="G161" t="s">
        <v>539</v>
      </c>
      <c r="H161" t="s">
        <v>540</v>
      </c>
    </row>
    <row r="162" spans="1:9" x14ac:dyDescent="0.35">
      <c r="A162" t="s">
        <v>541</v>
      </c>
      <c r="C162" t="s">
        <v>542</v>
      </c>
      <c r="G162" t="s">
        <v>543</v>
      </c>
    </row>
    <row r="163" spans="1:9" x14ac:dyDescent="0.35">
      <c r="A163" t="s">
        <v>544</v>
      </c>
      <c r="C163" t="s">
        <v>545</v>
      </c>
      <c r="G163" t="s">
        <v>546</v>
      </c>
      <c r="H163" t="s">
        <v>547</v>
      </c>
      <c r="I163" t="s">
        <v>548</v>
      </c>
    </row>
    <row r="164" spans="1:9" x14ac:dyDescent="0.35">
      <c r="A164" t="s">
        <v>549</v>
      </c>
      <c r="C164" t="s">
        <v>550</v>
      </c>
      <c r="H164" t="s">
        <v>551</v>
      </c>
      <c r="I164" t="s">
        <v>552</v>
      </c>
    </row>
    <row r="165" spans="1:9" x14ac:dyDescent="0.35">
      <c r="A165" t="s">
        <v>213</v>
      </c>
      <c r="C165" t="s">
        <v>553</v>
      </c>
      <c r="G165" t="s">
        <v>554</v>
      </c>
      <c r="I165" t="s">
        <v>555</v>
      </c>
    </row>
    <row r="166" spans="1:9" x14ac:dyDescent="0.35">
      <c r="A166" t="s">
        <v>556</v>
      </c>
      <c r="C166" t="s">
        <v>557</v>
      </c>
      <c r="D166" t="s">
        <v>558</v>
      </c>
      <c r="F166" t="s">
        <v>559</v>
      </c>
      <c r="H166" t="s">
        <v>560</v>
      </c>
      <c r="I166" t="s">
        <v>561</v>
      </c>
    </row>
    <row r="167" spans="1:9" x14ac:dyDescent="0.35">
      <c r="A167" t="s">
        <v>562</v>
      </c>
      <c r="C167" t="s">
        <v>557</v>
      </c>
      <c r="I167" t="s">
        <v>563</v>
      </c>
    </row>
    <row r="168" spans="1:9" x14ac:dyDescent="0.35">
      <c r="A168" t="s">
        <v>564</v>
      </c>
      <c r="C168" t="s">
        <v>565</v>
      </c>
      <c r="G168" t="s">
        <v>566</v>
      </c>
      <c r="I168" t="s">
        <v>567</v>
      </c>
    </row>
    <row r="169" spans="1:9" x14ac:dyDescent="0.35">
      <c r="A169" t="s">
        <v>1531</v>
      </c>
      <c r="C169" t="s">
        <v>565</v>
      </c>
      <c r="G169" t="s">
        <v>566</v>
      </c>
      <c r="I169" t="s">
        <v>567</v>
      </c>
    </row>
    <row r="170" spans="1:9" x14ac:dyDescent="0.35">
      <c r="A170" t="s">
        <v>568</v>
      </c>
      <c r="C170" t="s">
        <v>565</v>
      </c>
      <c r="G170" t="s">
        <v>566</v>
      </c>
    </row>
    <row r="171" spans="1:9" x14ac:dyDescent="0.35">
      <c r="C171" t="s">
        <v>569</v>
      </c>
      <c r="H171" t="s">
        <v>570</v>
      </c>
    </row>
    <row r="172" spans="1:9" x14ac:dyDescent="0.35">
      <c r="A172" t="s">
        <v>402</v>
      </c>
      <c r="C172" t="s">
        <v>571</v>
      </c>
      <c r="H172" t="s">
        <v>572</v>
      </c>
      <c r="I172" t="s">
        <v>573</v>
      </c>
    </row>
    <row r="173" spans="1:9" x14ac:dyDescent="0.35">
      <c r="C173" t="s">
        <v>574</v>
      </c>
      <c r="D173" t="s">
        <v>268</v>
      </c>
      <c r="E173" t="s">
        <v>575</v>
      </c>
    </row>
    <row r="174" spans="1:9" x14ac:dyDescent="0.35">
      <c r="C174" t="s">
        <v>576</v>
      </c>
      <c r="D174" t="s">
        <v>202</v>
      </c>
      <c r="E174" t="s">
        <v>577</v>
      </c>
    </row>
    <row r="175" spans="1:9" x14ac:dyDescent="0.35">
      <c r="A175" t="s">
        <v>578</v>
      </c>
      <c r="C175" t="s">
        <v>579</v>
      </c>
      <c r="H175" t="s">
        <v>580</v>
      </c>
      <c r="I175" t="s">
        <v>581</v>
      </c>
    </row>
    <row r="176" spans="1:9" x14ac:dyDescent="0.35">
      <c r="A176" t="s">
        <v>582</v>
      </c>
      <c r="C176" t="s">
        <v>579</v>
      </c>
      <c r="G176" t="s">
        <v>583</v>
      </c>
    </row>
    <row r="177" spans="1:9" x14ac:dyDescent="0.35">
      <c r="A177" t="s">
        <v>213</v>
      </c>
      <c r="C177" t="s">
        <v>579</v>
      </c>
      <c r="G177" t="s">
        <v>584</v>
      </c>
      <c r="H177">
        <v>4748395952</v>
      </c>
      <c r="I177" t="s">
        <v>585</v>
      </c>
    </row>
    <row r="178" spans="1:9" x14ac:dyDescent="0.35">
      <c r="A178" t="s">
        <v>586</v>
      </c>
      <c r="B178" t="s">
        <v>587</v>
      </c>
      <c r="C178" t="s">
        <v>1532</v>
      </c>
      <c r="G178" t="s">
        <v>588</v>
      </c>
      <c r="I178" t="s">
        <v>589</v>
      </c>
    </row>
    <row r="179" spans="1:9" x14ac:dyDescent="0.35">
      <c r="A179" t="s">
        <v>586</v>
      </c>
      <c r="B179" t="s">
        <v>587</v>
      </c>
      <c r="C179" t="s">
        <v>590</v>
      </c>
      <c r="G179" t="s">
        <v>588</v>
      </c>
      <c r="H179" t="s">
        <v>591</v>
      </c>
      <c r="I179" t="s">
        <v>592</v>
      </c>
    </row>
    <row r="180" spans="1:9" x14ac:dyDescent="0.35">
      <c r="A180" t="s">
        <v>593</v>
      </c>
      <c r="B180" t="s">
        <v>587</v>
      </c>
      <c r="C180" t="s">
        <v>590</v>
      </c>
      <c r="G180" t="s">
        <v>594</v>
      </c>
      <c r="H180" t="s">
        <v>595</v>
      </c>
      <c r="I180" t="s">
        <v>596</v>
      </c>
    </row>
    <row r="181" spans="1:9" x14ac:dyDescent="0.35">
      <c r="A181" t="s">
        <v>597</v>
      </c>
      <c r="B181" t="s">
        <v>587</v>
      </c>
      <c r="C181" t="s">
        <v>590</v>
      </c>
      <c r="G181" t="s">
        <v>598</v>
      </c>
      <c r="H181" t="s">
        <v>599</v>
      </c>
      <c r="I181" t="s">
        <v>600</v>
      </c>
    </row>
    <row r="182" spans="1:9" x14ac:dyDescent="0.35">
      <c r="A182" t="s">
        <v>601</v>
      </c>
      <c r="B182" t="s">
        <v>587</v>
      </c>
      <c r="C182" t="s">
        <v>590</v>
      </c>
      <c r="H182" t="s">
        <v>602</v>
      </c>
      <c r="I182" t="s">
        <v>603</v>
      </c>
    </row>
    <row r="183" spans="1:9" x14ac:dyDescent="0.35">
      <c r="A183" t="s">
        <v>604</v>
      </c>
      <c r="B183" t="s">
        <v>587</v>
      </c>
      <c r="C183" t="s">
        <v>590</v>
      </c>
      <c r="H183">
        <v>31643797331</v>
      </c>
      <c r="I183" t="s">
        <v>605</v>
      </c>
    </row>
    <row r="184" spans="1:9" x14ac:dyDescent="0.35">
      <c r="A184" t="s">
        <v>606</v>
      </c>
      <c r="B184" t="s">
        <v>587</v>
      </c>
      <c r="C184" t="s">
        <v>590</v>
      </c>
      <c r="G184" t="s">
        <v>607</v>
      </c>
      <c r="H184" t="s">
        <v>608</v>
      </c>
      <c r="I184" t="s">
        <v>609</v>
      </c>
    </row>
    <row r="185" spans="1:9" x14ac:dyDescent="0.35">
      <c r="A185" t="s">
        <v>367</v>
      </c>
      <c r="B185" t="s">
        <v>109</v>
      </c>
      <c r="C185" t="s">
        <v>610</v>
      </c>
      <c r="H185" t="s">
        <v>611</v>
      </c>
    </row>
    <row r="186" spans="1:9" x14ac:dyDescent="0.35">
      <c r="A186" t="s">
        <v>1533</v>
      </c>
      <c r="C186" t="s">
        <v>610</v>
      </c>
      <c r="G186" t="s">
        <v>612</v>
      </c>
      <c r="H186" t="s">
        <v>613</v>
      </c>
      <c r="I186" t="s">
        <v>614</v>
      </c>
    </row>
    <row r="187" spans="1:9" x14ac:dyDescent="0.35">
      <c r="A187" t="s">
        <v>615</v>
      </c>
      <c r="B187" t="s">
        <v>383</v>
      </c>
      <c r="C187" t="s">
        <v>616</v>
      </c>
      <c r="H187" t="s">
        <v>617</v>
      </c>
      <c r="I187" t="s">
        <v>618</v>
      </c>
    </row>
    <row r="188" spans="1:9" x14ac:dyDescent="0.35">
      <c r="A188" t="s">
        <v>619</v>
      </c>
      <c r="B188" t="s">
        <v>1552</v>
      </c>
      <c r="C188" t="s">
        <v>620</v>
      </c>
      <c r="H188" t="s">
        <v>621</v>
      </c>
      <c r="I188" t="s">
        <v>622</v>
      </c>
    </row>
    <row r="189" spans="1:9" x14ac:dyDescent="0.35">
      <c r="A189" t="s">
        <v>623</v>
      </c>
      <c r="C189" t="s">
        <v>624</v>
      </c>
      <c r="I189" t="s">
        <v>625</v>
      </c>
    </row>
    <row r="190" spans="1:9" x14ac:dyDescent="0.35">
      <c r="A190" t="s">
        <v>626</v>
      </c>
      <c r="C190" t="s">
        <v>624</v>
      </c>
      <c r="H190" t="s">
        <v>627</v>
      </c>
      <c r="I190" t="s">
        <v>628</v>
      </c>
    </row>
    <row r="191" spans="1:9" x14ac:dyDescent="0.35">
      <c r="A191" t="s">
        <v>1534</v>
      </c>
      <c r="C191" t="s">
        <v>624</v>
      </c>
    </row>
    <row r="192" spans="1:9" x14ac:dyDescent="0.35">
      <c r="A192" t="s">
        <v>629</v>
      </c>
      <c r="C192" t="s">
        <v>630</v>
      </c>
      <c r="H192" t="s">
        <v>631</v>
      </c>
      <c r="I192" t="s">
        <v>632</v>
      </c>
    </row>
    <row r="193" spans="1:9" x14ac:dyDescent="0.35">
      <c r="A193" t="s">
        <v>633</v>
      </c>
      <c r="C193" t="s">
        <v>634</v>
      </c>
      <c r="G193" t="s">
        <v>635</v>
      </c>
    </row>
    <row r="194" spans="1:9" x14ac:dyDescent="0.35">
      <c r="A194" t="s">
        <v>636</v>
      </c>
      <c r="C194" t="s">
        <v>637</v>
      </c>
      <c r="G194" t="s">
        <v>638</v>
      </c>
    </row>
    <row r="195" spans="1:9" x14ac:dyDescent="0.35">
      <c r="A195" t="s">
        <v>639</v>
      </c>
      <c r="B195" t="s">
        <v>109</v>
      </c>
      <c r="C195" t="s">
        <v>640</v>
      </c>
      <c r="G195" t="s">
        <v>641</v>
      </c>
      <c r="H195" t="s">
        <v>642</v>
      </c>
      <c r="I195" t="s">
        <v>643</v>
      </c>
    </row>
    <row r="196" spans="1:9" x14ac:dyDescent="0.35">
      <c r="A196" t="s">
        <v>644</v>
      </c>
      <c r="B196" t="s">
        <v>109</v>
      </c>
      <c r="C196" t="s">
        <v>645</v>
      </c>
      <c r="H196" t="s">
        <v>646</v>
      </c>
      <c r="I196" t="s">
        <v>647</v>
      </c>
    </row>
    <row r="197" spans="1:9" x14ac:dyDescent="0.35">
      <c r="A197" t="s">
        <v>402</v>
      </c>
      <c r="B197" t="s">
        <v>109</v>
      </c>
      <c r="C197" t="s">
        <v>645</v>
      </c>
      <c r="G197" t="s">
        <v>648</v>
      </c>
      <c r="I197" t="s">
        <v>649</v>
      </c>
    </row>
    <row r="198" spans="1:9" x14ac:dyDescent="0.35">
      <c r="A198" t="s">
        <v>1535</v>
      </c>
      <c r="B198" t="s">
        <v>109</v>
      </c>
      <c r="C198" t="s">
        <v>645</v>
      </c>
      <c r="G198" t="s">
        <v>648</v>
      </c>
      <c r="I198" t="s">
        <v>649</v>
      </c>
    </row>
    <row r="199" spans="1:9" x14ac:dyDescent="0.35">
      <c r="A199" t="s">
        <v>650</v>
      </c>
      <c r="B199" t="s">
        <v>109</v>
      </c>
      <c r="C199" t="s">
        <v>645</v>
      </c>
      <c r="G199" t="s">
        <v>648</v>
      </c>
      <c r="H199" t="s">
        <v>651</v>
      </c>
      <c r="I199" t="s">
        <v>652</v>
      </c>
    </row>
    <row r="200" spans="1:9" x14ac:dyDescent="0.35">
      <c r="A200" t="s">
        <v>653</v>
      </c>
      <c r="B200" t="s">
        <v>109</v>
      </c>
      <c r="C200" t="s">
        <v>645</v>
      </c>
    </row>
    <row r="201" spans="1:9" x14ac:dyDescent="0.35">
      <c r="A201" t="s">
        <v>654</v>
      </c>
      <c r="B201" t="s">
        <v>109</v>
      </c>
      <c r="C201" t="s">
        <v>645</v>
      </c>
    </row>
    <row r="202" spans="1:9" x14ac:dyDescent="0.35">
      <c r="A202" t="s">
        <v>655</v>
      </c>
      <c r="B202" t="s">
        <v>383</v>
      </c>
      <c r="C202" t="s">
        <v>656</v>
      </c>
      <c r="G202" t="s">
        <v>657</v>
      </c>
    </row>
    <row r="203" spans="1:9" x14ac:dyDescent="0.35">
      <c r="A203" t="s">
        <v>658</v>
      </c>
      <c r="C203" t="s">
        <v>659</v>
      </c>
      <c r="F203" t="s">
        <v>660</v>
      </c>
    </row>
    <row r="204" spans="1:9" x14ac:dyDescent="0.35">
      <c r="C204" t="s">
        <v>661</v>
      </c>
      <c r="D204" t="s">
        <v>662</v>
      </c>
      <c r="E204" t="s">
        <v>663</v>
      </c>
    </row>
    <row r="205" spans="1:9" x14ac:dyDescent="0.35">
      <c r="C205" t="s">
        <v>664</v>
      </c>
      <c r="E205" t="s">
        <v>665</v>
      </c>
    </row>
    <row r="206" spans="1:9" x14ac:dyDescent="0.35">
      <c r="A206" t="s">
        <v>666</v>
      </c>
      <c r="C206" t="s">
        <v>667</v>
      </c>
      <c r="I206" t="s">
        <v>668</v>
      </c>
    </row>
    <row r="207" spans="1:9" x14ac:dyDescent="0.35">
      <c r="A207" t="s">
        <v>669</v>
      </c>
      <c r="D207" t="s">
        <v>670</v>
      </c>
      <c r="H207">
        <v>31651378257</v>
      </c>
    </row>
    <row r="208" spans="1:9" x14ac:dyDescent="0.35">
      <c r="A208" t="s">
        <v>671</v>
      </c>
      <c r="G208" t="s">
        <v>672</v>
      </c>
    </row>
    <row r="209" spans="1:9" x14ac:dyDescent="0.35">
      <c r="A209" t="s">
        <v>1536</v>
      </c>
      <c r="B209" t="s">
        <v>157</v>
      </c>
      <c r="C209" t="s">
        <v>673</v>
      </c>
      <c r="G209" t="s">
        <v>674</v>
      </c>
      <c r="I209" t="s">
        <v>675</v>
      </c>
    </row>
    <row r="210" spans="1:9" x14ac:dyDescent="0.35">
      <c r="A210" t="s">
        <v>676</v>
      </c>
      <c r="B210" t="s">
        <v>157</v>
      </c>
      <c r="C210" t="s">
        <v>677</v>
      </c>
      <c r="G210" t="s">
        <v>674</v>
      </c>
      <c r="H210" t="s">
        <v>678</v>
      </c>
      <c r="I210" t="s">
        <v>679</v>
      </c>
    </row>
    <row r="211" spans="1:9" x14ac:dyDescent="0.35">
      <c r="C211" t="s">
        <v>680</v>
      </c>
      <c r="D211" t="s">
        <v>681</v>
      </c>
      <c r="E211" t="s">
        <v>682</v>
      </c>
    </row>
    <row r="212" spans="1:9" x14ac:dyDescent="0.35">
      <c r="A212" t="s">
        <v>500</v>
      </c>
      <c r="C212" t="s">
        <v>1537</v>
      </c>
      <c r="G212" t="s">
        <v>683</v>
      </c>
      <c r="I212" t="s">
        <v>684</v>
      </c>
    </row>
    <row r="213" spans="1:9" x14ac:dyDescent="0.35">
      <c r="A213" t="s">
        <v>685</v>
      </c>
      <c r="D213" t="s">
        <v>686</v>
      </c>
      <c r="H213" t="s">
        <v>687</v>
      </c>
    </row>
    <row r="214" spans="1:9" x14ac:dyDescent="0.35">
      <c r="A214" t="s">
        <v>688</v>
      </c>
      <c r="B214" t="s">
        <v>125</v>
      </c>
      <c r="C214" t="s">
        <v>689</v>
      </c>
      <c r="G214" t="s">
        <v>690</v>
      </c>
    </row>
    <row r="215" spans="1:9" x14ac:dyDescent="0.35">
      <c r="A215" t="s">
        <v>691</v>
      </c>
      <c r="B215" t="s">
        <v>125</v>
      </c>
      <c r="C215" t="s">
        <v>692</v>
      </c>
      <c r="G215" t="s">
        <v>584</v>
      </c>
      <c r="H215" t="s">
        <v>693</v>
      </c>
      <c r="I215" t="s">
        <v>694</v>
      </c>
    </row>
    <row r="216" spans="1:9" x14ac:dyDescent="0.35">
      <c r="B216" t="s">
        <v>125</v>
      </c>
      <c r="C216" t="s">
        <v>692</v>
      </c>
      <c r="D216" t="s">
        <v>202</v>
      </c>
      <c r="E216" t="s">
        <v>695</v>
      </c>
    </row>
    <row r="217" spans="1:9" x14ac:dyDescent="0.35">
      <c r="A217" t="s">
        <v>696</v>
      </c>
      <c r="B217" t="s">
        <v>125</v>
      </c>
      <c r="C217" t="s">
        <v>692</v>
      </c>
      <c r="G217" t="s">
        <v>697</v>
      </c>
      <c r="I217" t="s">
        <v>698</v>
      </c>
    </row>
    <row r="218" spans="1:9" x14ac:dyDescent="0.35">
      <c r="A218" t="s">
        <v>699</v>
      </c>
      <c r="G218" t="s">
        <v>700</v>
      </c>
    </row>
    <row r="219" spans="1:9" x14ac:dyDescent="0.35">
      <c r="A219" t="s">
        <v>701</v>
      </c>
      <c r="C219" t="s">
        <v>702</v>
      </c>
      <c r="I219" t="s">
        <v>703</v>
      </c>
    </row>
    <row r="220" spans="1:9" x14ac:dyDescent="0.35">
      <c r="A220" t="s">
        <v>346</v>
      </c>
      <c r="C220" t="s">
        <v>704</v>
      </c>
      <c r="D220" t="s">
        <v>680</v>
      </c>
      <c r="I220" t="s">
        <v>705</v>
      </c>
    </row>
    <row r="221" spans="1:9" x14ac:dyDescent="0.35">
      <c r="A221" t="s">
        <v>706</v>
      </c>
      <c r="C221" t="s">
        <v>707</v>
      </c>
      <c r="D221" t="s">
        <v>708</v>
      </c>
      <c r="G221" t="s">
        <v>709</v>
      </c>
    </row>
    <row r="222" spans="1:9" x14ac:dyDescent="0.35">
      <c r="C222" t="s">
        <v>710</v>
      </c>
      <c r="D222" t="s">
        <v>711</v>
      </c>
      <c r="E222" t="s">
        <v>712</v>
      </c>
    </row>
    <row r="223" spans="1:9" x14ac:dyDescent="0.35">
      <c r="A223" t="s">
        <v>710</v>
      </c>
      <c r="D223" t="s">
        <v>713</v>
      </c>
      <c r="E223" t="s">
        <v>714</v>
      </c>
      <c r="I223" t="s">
        <v>715</v>
      </c>
    </row>
    <row r="224" spans="1:9" x14ac:dyDescent="0.35">
      <c r="A224" t="s">
        <v>716</v>
      </c>
      <c r="B224" t="s">
        <v>125</v>
      </c>
      <c r="C224" t="s">
        <v>717</v>
      </c>
      <c r="D224" t="s">
        <v>718</v>
      </c>
      <c r="E224" t="s">
        <v>719</v>
      </c>
      <c r="H224" t="s">
        <v>720</v>
      </c>
      <c r="I224" t="s">
        <v>721</v>
      </c>
    </row>
    <row r="225" spans="1:9" x14ac:dyDescent="0.35">
      <c r="A225" t="s">
        <v>722</v>
      </c>
      <c r="C225" t="s">
        <v>723</v>
      </c>
      <c r="F225" t="s">
        <v>724</v>
      </c>
      <c r="I225" t="s">
        <v>725</v>
      </c>
    </row>
    <row r="226" spans="1:9" x14ac:dyDescent="0.35">
      <c r="A226" t="s">
        <v>465</v>
      </c>
      <c r="C226" t="s">
        <v>726</v>
      </c>
      <c r="G226" t="s">
        <v>727</v>
      </c>
    </row>
    <row r="227" spans="1:9" x14ac:dyDescent="0.35">
      <c r="A227" t="s">
        <v>728</v>
      </c>
      <c r="C227" t="s">
        <v>729</v>
      </c>
      <c r="I227" t="s">
        <v>730</v>
      </c>
    </row>
    <row r="228" spans="1:9" x14ac:dyDescent="0.35">
      <c r="A228" t="s">
        <v>731</v>
      </c>
    </row>
    <row r="229" spans="1:9" x14ac:dyDescent="0.35">
      <c r="A229" t="s">
        <v>180</v>
      </c>
      <c r="C229" t="s">
        <v>732</v>
      </c>
    </row>
    <row r="230" spans="1:9" x14ac:dyDescent="0.35">
      <c r="A230" t="s">
        <v>209</v>
      </c>
      <c r="C230" t="s">
        <v>732</v>
      </c>
      <c r="G230" t="s">
        <v>733</v>
      </c>
      <c r="H230" t="s">
        <v>734</v>
      </c>
      <c r="I230" t="s">
        <v>735</v>
      </c>
    </row>
    <row r="231" spans="1:9" x14ac:dyDescent="0.35">
      <c r="A231" t="s">
        <v>430</v>
      </c>
      <c r="B231" t="s">
        <v>157</v>
      </c>
      <c r="C231" t="s">
        <v>736</v>
      </c>
      <c r="G231" t="s">
        <v>737</v>
      </c>
      <c r="H231" t="s">
        <v>738</v>
      </c>
      <c r="I231" t="s">
        <v>739</v>
      </c>
    </row>
    <row r="232" spans="1:9" x14ac:dyDescent="0.35">
      <c r="A232" t="s">
        <v>162</v>
      </c>
      <c r="B232" t="s">
        <v>125</v>
      </c>
      <c r="C232" t="s">
        <v>740</v>
      </c>
      <c r="I232" t="s">
        <v>741</v>
      </c>
    </row>
    <row r="233" spans="1:9" x14ac:dyDescent="0.35">
      <c r="A233" t="s">
        <v>742</v>
      </c>
      <c r="C233" t="s">
        <v>743</v>
      </c>
      <c r="G233" t="s">
        <v>744</v>
      </c>
    </row>
    <row r="234" spans="1:9" x14ac:dyDescent="0.35">
      <c r="A234" t="s">
        <v>745</v>
      </c>
      <c r="B234" t="s">
        <v>383</v>
      </c>
      <c r="C234" t="s">
        <v>746</v>
      </c>
      <c r="F234" t="s">
        <v>747</v>
      </c>
      <c r="G234" t="s">
        <v>748</v>
      </c>
      <c r="I234" t="s">
        <v>749</v>
      </c>
    </row>
    <row r="235" spans="1:9" x14ac:dyDescent="0.35">
      <c r="A235" t="s">
        <v>197</v>
      </c>
      <c r="C235" t="s">
        <v>750</v>
      </c>
      <c r="D235" t="s">
        <v>1538</v>
      </c>
      <c r="G235" t="s">
        <v>751</v>
      </c>
    </row>
    <row r="236" spans="1:9" x14ac:dyDescent="0.35">
      <c r="A236" t="s">
        <v>219</v>
      </c>
      <c r="B236" t="s">
        <v>383</v>
      </c>
      <c r="C236" t="s">
        <v>752</v>
      </c>
      <c r="I236" t="s">
        <v>753</v>
      </c>
    </row>
    <row r="237" spans="1:9" x14ac:dyDescent="0.35">
      <c r="A237" t="s">
        <v>722</v>
      </c>
      <c r="C237" t="s">
        <v>754</v>
      </c>
      <c r="G237" t="s">
        <v>755</v>
      </c>
      <c r="H237" t="s">
        <v>756</v>
      </c>
      <c r="I237" t="s">
        <v>757</v>
      </c>
    </row>
    <row r="238" spans="1:9" x14ac:dyDescent="0.35">
      <c r="A238" t="s">
        <v>758</v>
      </c>
      <c r="C238" t="s">
        <v>759</v>
      </c>
      <c r="I238" t="s">
        <v>760</v>
      </c>
    </row>
    <row r="239" spans="1:9" x14ac:dyDescent="0.35">
      <c r="A239" t="s">
        <v>761</v>
      </c>
      <c r="B239" t="s">
        <v>125</v>
      </c>
      <c r="C239" t="s">
        <v>762</v>
      </c>
      <c r="I239" t="s">
        <v>763</v>
      </c>
    </row>
    <row r="240" spans="1:9" x14ac:dyDescent="0.35">
      <c r="A240" t="s">
        <v>1539</v>
      </c>
      <c r="C240" t="s">
        <v>764</v>
      </c>
      <c r="G240" t="s">
        <v>765</v>
      </c>
      <c r="I240" t="s">
        <v>766</v>
      </c>
    </row>
    <row r="241" spans="1:9" x14ac:dyDescent="0.35">
      <c r="A241" t="s">
        <v>256</v>
      </c>
      <c r="C241" t="s">
        <v>767</v>
      </c>
      <c r="H241" t="s">
        <v>768</v>
      </c>
      <c r="I241" t="s">
        <v>769</v>
      </c>
    </row>
    <row r="242" spans="1:9" x14ac:dyDescent="0.35">
      <c r="A242" t="s">
        <v>770</v>
      </c>
      <c r="C242" t="s">
        <v>771</v>
      </c>
      <c r="D242" t="s">
        <v>772</v>
      </c>
      <c r="E242" t="s">
        <v>773</v>
      </c>
      <c r="G242" t="s">
        <v>774</v>
      </c>
      <c r="H242" t="s">
        <v>775</v>
      </c>
      <c r="I242" t="s">
        <v>776</v>
      </c>
    </row>
    <row r="243" spans="1:9" x14ac:dyDescent="0.35">
      <c r="A243" t="s">
        <v>601</v>
      </c>
      <c r="C243" t="s">
        <v>777</v>
      </c>
      <c r="D243" t="s">
        <v>778</v>
      </c>
      <c r="E243" t="s">
        <v>779</v>
      </c>
      <c r="H243" t="s">
        <v>780</v>
      </c>
      <c r="I243" t="s">
        <v>781</v>
      </c>
    </row>
    <row r="244" spans="1:9" x14ac:dyDescent="0.35">
      <c r="A244" t="s">
        <v>782</v>
      </c>
      <c r="C244" t="s">
        <v>783</v>
      </c>
      <c r="D244" t="s">
        <v>784</v>
      </c>
      <c r="H244" t="s">
        <v>785</v>
      </c>
      <c r="I244" t="s">
        <v>786</v>
      </c>
    </row>
    <row r="245" spans="1:9" x14ac:dyDescent="0.35">
      <c r="A245" t="s">
        <v>787</v>
      </c>
      <c r="C245" t="s">
        <v>788</v>
      </c>
      <c r="G245" t="s">
        <v>789</v>
      </c>
      <c r="H245" t="s">
        <v>790</v>
      </c>
    </row>
    <row r="246" spans="1:9" x14ac:dyDescent="0.35">
      <c r="A246" t="s">
        <v>791</v>
      </c>
      <c r="C246" t="s">
        <v>792</v>
      </c>
      <c r="F246" t="s">
        <v>793</v>
      </c>
      <c r="G246" t="s">
        <v>794</v>
      </c>
    </row>
    <row r="247" spans="1:9" x14ac:dyDescent="0.35">
      <c r="A247" t="s">
        <v>795</v>
      </c>
      <c r="C247" t="s">
        <v>796</v>
      </c>
      <c r="H247" t="s">
        <v>797</v>
      </c>
      <c r="I247" t="s">
        <v>798</v>
      </c>
    </row>
    <row r="248" spans="1:9" x14ac:dyDescent="0.35">
      <c r="A248" t="s">
        <v>799</v>
      </c>
      <c r="B248" t="s">
        <v>383</v>
      </c>
      <c r="C248" t="s">
        <v>800</v>
      </c>
      <c r="D248" t="s">
        <v>801</v>
      </c>
      <c r="E248" t="s">
        <v>802</v>
      </c>
      <c r="H248" t="s">
        <v>803</v>
      </c>
    </row>
    <row r="249" spans="1:9" x14ac:dyDescent="0.35">
      <c r="A249" t="s">
        <v>1540</v>
      </c>
      <c r="C249" t="s">
        <v>804</v>
      </c>
      <c r="F249" t="s">
        <v>805</v>
      </c>
    </row>
    <row r="250" spans="1:9" x14ac:dyDescent="0.35">
      <c r="A250" t="s">
        <v>806</v>
      </c>
      <c r="C250" t="s">
        <v>807</v>
      </c>
      <c r="H250" t="s">
        <v>808</v>
      </c>
      <c r="I250" t="s">
        <v>809</v>
      </c>
    </row>
    <row r="251" spans="1:9" x14ac:dyDescent="0.35">
      <c r="A251" t="s">
        <v>810</v>
      </c>
      <c r="D251" t="s">
        <v>202</v>
      </c>
      <c r="G251" t="s">
        <v>811</v>
      </c>
    </row>
    <row r="252" spans="1:9" x14ac:dyDescent="0.35">
      <c r="C252" t="s">
        <v>812</v>
      </c>
      <c r="D252" t="s">
        <v>283</v>
      </c>
      <c r="E252" t="s">
        <v>813</v>
      </c>
    </row>
    <row r="253" spans="1:9" x14ac:dyDescent="0.35">
      <c r="A253" t="s">
        <v>814</v>
      </c>
      <c r="C253" t="s">
        <v>815</v>
      </c>
      <c r="D253" t="s">
        <v>47</v>
      </c>
      <c r="E253" t="s">
        <v>816</v>
      </c>
    </row>
    <row r="254" spans="1:9" x14ac:dyDescent="0.35">
      <c r="A254" t="s">
        <v>817</v>
      </c>
      <c r="G254" t="s">
        <v>818</v>
      </c>
    </row>
    <row r="255" spans="1:9" x14ac:dyDescent="0.35">
      <c r="C255" t="s">
        <v>819</v>
      </c>
      <c r="D255" t="s">
        <v>819</v>
      </c>
      <c r="I255" t="s">
        <v>820</v>
      </c>
    </row>
    <row r="256" spans="1:9" x14ac:dyDescent="0.35">
      <c r="A256" t="s">
        <v>430</v>
      </c>
      <c r="B256" t="s">
        <v>157</v>
      </c>
      <c r="C256" t="s">
        <v>821</v>
      </c>
      <c r="H256" t="s">
        <v>822</v>
      </c>
      <c r="I256" t="s">
        <v>823</v>
      </c>
    </row>
    <row r="257" spans="1:9" x14ac:dyDescent="0.35">
      <c r="A257" t="s">
        <v>824</v>
      </c>
      <c r="B257" t="s">
        <v>157</v>
      </c>
      <c r="C257" t="s">
        <v>825</v>
      </c>
      <c r="G257" t="s">
        <v>826</v>
      </c>
    </row>
    <row r="258" spans="1:9" x14ac:dyDescent="0.35">
      <c r="A258" t="s">
        <v>827</v>
      </c>
      <c r="C258" t="s">
        <v>828</v>
      </c>
      <c r="H258" t="s">
        <v>829</v>
      </c>
    </row>
    <row r="259" spans="1:9" x14ac:dyDescent="0.35">
      <c r="A259" t="s">
        <v>830</v>
      </c>
      <c r="C259" t="s">
        <v>831</v>
      </c>
      <c r="D259" t="s">
        <v>832</v>
      </c>
      <c r="F259">
        <v>31638258751</v>
      </c>
    </row>
    <row r="260" spans="1:9" x14ac:dyDescent="0.35">
      <c r="A260" t="s">
        <v>833</v>
      </c>
      <c r="C260" t="s">
        <v>831</v>
      </c>
      <c r="F260" t="s">
        <v>834</v>
      </c>
      <c r="G260" t="s">
        <v>835</v>
      </c>
      <c r="I260" t="s">
        <v>836</v>
      </c>
    </row>
    <row r="261" spans="1:9" x14ac:dyDescent="0.35">
      <c r="C261" t="s">
        <v>837</v>
      </c>
      <c r="D261" t="s">
        <v>838</v>
      </c>
      <c r="G261" t="s">
        <v>839</v>
      </c>
    </row>
    <row r="262" spans="1:9" x14ac:dyDescent="0.35">
      <c r="A262" t="s">
        <v>85</v>
      </c>
      <c r="C262" t="s">
        <v>840</v>
      </c>
      <c r="F262" t="s">
        <v>841</v>
      </c>
      <c r="H262" t="s">
        <v>842</v>
      </c>
      <c r="I262" t="s">
        <v>843</v>
      </c>
    </row>
    <row r="263" spans="1:9" x14ac:dyDescent="0.35">
      <c r="A263" t="s">
        <v>844</v>
      </c>
      <c r="B263" t="s">
        <v>157</v>
      </c>
      <c r="C263" t="s">
        <v>845</v>
      </c>
      <c r="G263" t="s">
        <v>846</v>
      </c>
      <c r="H263" t="s">
        <v>847</v>
      </c>
      <c r="I263" t="s">
        <v>848</v>
      </c>
    </row>
    <row r="264" spans="1:9" x14ac:dyDescent="0.35">
      <c r="A264" t="s">
        <v>849</v>
      </c>
      <c r="C264" t="s">
        <v>850</v>
      </c>
      <c r="G264" t="s">
        <v>851</v>
      </c>
      <c r="H264" t="s">
        <v>852</v>
      </c>
    </row>
    <row r="265" spans="1:9" x14ac:dyDescent="0.35">
      <c r="A265" t="s">
        <v>853</v>
      </c>
      <c r="C265" t="s">
        <v>854</v>
      </c>
      <c r="G265" t="s">
        <v>855</v>
      </c>
      <c r="I265" t="s">
        <v>856</v>
      </c>
    </row>
    <row r="266" spans="1:9" x14ac:dyDescent="0.35">
      <c r="A266" t="s">
        <v>85</v>
      </c>
      <c r="B266" t="s">
        <v>857</v>
      </c>
      <c r="C266" t="s">
        <v>858</v>
      </c>
      <c r="G266" t="s">
        <v>859</v>
      </c>
      <c r="H266" t="s">
        <v>860</v>
      </c>
      <c r="I266" t="s">
        <v>861</v>
      </c>
    </row>
    <row r="267" spans="1:9" x14ac:dyDescent="0.35">
      <c r="A267" t="s">
        <v>402</v>
      </c>
      <c r="C267" t="s">
        <v>862</v>
      </c>
      <c r="F267" t="s">
        <v>863</v>
      </c>
      <c r="I267" t="s">
        <v>864</v>
      </c>
    </row>
    <row r="268" spans="1:9" x14ac:dyDescent="0.35">
      <c r="C268" t="s">
        <v>865</v>
      </c>
      <c r="D268" t="s">
        <v>866</v>
      </c>
      <c r="E268" t="s">
        <v>867</v>
      </c>
      <c r="I268" t="s">
        <v>868</v>
      </c>
    </row>
    <row r="269" spans="1:9" x14ac:dyDescent="0.35">
      <c r="A269" t="s">
        <v>59</v>
      </c>
      <c r="C269" t="s">
        <v>869</v>
      </c>
      <c r="H269" t="s">
        <v>870</v>
      </c>
      <c r="I269" t="s">
        <v>871</v>
      </c>
    </row>
    <row r="270" spans="1:9" x14ac:dyDescent="0.35">
      <c r="A270" t="s">
        <v>1541</v>
      </c>
      <c r="B270" t="s">
        <v>157</v>
      </c>
      <c r="C270" t="s">
        <v>872</v>
      </c>
      <c r="G270" t="s">
        <v>873</v>
      </c>
      <c r="H270" t="s">
        <v>874</v>
      </c>
      <c r="I270" t="s">
        <v>875</v>
      </c>
    </row>
    <row r="271" spans="1:9" x14ac:dyDescent="0.35">
      <c r="A271" t="s">
        <v>140</v>
      </c>
      <c r="C271" t="s">
        <v>876</v>
      </c>
      <c r="D271" t="s">
        <v>497</v>
      </c>
      <c r="G271" t="s">
        <v>877</v>
      </c>
    </row>
    <row r="272" spans="1:9" x14ac:dyDescent="0.35">
      <c r="A272" t="s">
        <v>878</v>
      </c>
      <c r="C272" t="s">
        <v>879</v>
      </c>
      <c r="H272" t="s">
        <v>880</v>
      </c>
      <c r="I272" t="s">
        <v>881</v>
      </c>
    </row>
    <row r="273" spans="1:9" x14ac:dyDescent="0.35">
      <c r="A273" t="s">
        <v>882</v>
      </c>
      <c r="C273" t="s">
        <v>883</v>
      </c>
      <c r="G273" t="s">
        <v>884</v>
      </c>
    </row>
    <row r="274" spans="1:9" x14ac:dyDescent="0.35">
      <c r="A274" t="s">
        <v>336</v>
      </c>
      <c r="B274" t="s">
        <v>857</v>
      </c>
      <c r="C274" t="s">
        <v>885</v>
      </c>
      <c r="G274" t="s">
        <v>886</v>
      </c>
    </row>
    <row r="275" spans="1:9" x14ac:dyDescent="0.35">
      <c r="A275" t="s">
        <v>887</v>
      </c>
      <c r="C275" t="s">
        <v>888</v>
      </c>
      <c r="F275" t="s">
        <v>889</v>
      </c>
      <c r="G275" t="s">
        <v>890</v>
      </c>
      <c r="I275" t="s">
        <v>891</v>
      </c>
    </row>
    <row r="276" spans="1:9" x14ac:dyDescent="0.35">
      <c r="A276" t="s">
        <v>367</v>
      </c>
      <c r="C276" t="s">
        <v>892</v>
      </c>
      <c r="G276" t="s">
        <v>893</v>
      </c>
    </row>
    <row r="277" spans="1:9" x14ac:dyDescent="0.35">
      <c r="A277" t="s">
        <v>894</v>
      </c>
      <c r="C277" t="s">
        <v>892</v>
      </c>
      <c r="G277" t="s">
        <v>895</v>
      </c>
      <c r="H277" t="s">
        <v>896</v>
      </c>
      <c r="I277" t="s">
        <v>897</v>
      </c>
    </row>
    <row r="278" spans="1:9" x14ac:dyDescent="0.35">
      <c r="A278" t="s">
        <v>568</v>
      </c>
      <c r="C278" t="s">
        <v>892</v>
      </c>
      <c r="G278" t="s">
        <v>893</v>
      </c>
      <c r="H278" t="s">
        <v>898</v>
      </c>
      <c r="I278" t="s">
        <v>899</v>
      </c>
    </row>
    <row r="279" spans="1:9" x14ac:dyDescent="0.35">
      <c r="A279" t="s">
        <v>1542</v>
      </c>
      <c r="H279">
        <v>31651609266</v>
      </c>
    </row>
    <row r="280" spans="1:9" x14ac:dyDescent="0.35">
      <c r="A280" t="s">
        <v>900</v>
      </c>
      <c r="C280" t="s">
        <v>901</v>
      </c>
      <c r="I280" t="s">
        <v>902</v>
      </c>
    </row>
    <row r="281" spans="1:9" x14ac:dyDescent="0.35">
      <c r="A281" t="s">
        <v>336</v>
      </c>
      <c r="C281" t="s">
        <v>903</v>
      </c>
      <c r="I281" t="s">
        <v>904</v>
      </c>
    </row>
    <row r="282" spans="1:9" x14ac:dyDescent="0.35">
      <c r="A282" t="s">
        <v>905</v>
      </c>
      <c r="C282" t="s">
        <v>906</v>
      </c>
      <c r="D282" t="s">
        <v>710</v>
      </c>
      <c r="G282" t="s">
        <v>907</v>
      </c>
    </row>
    <row r="283" spans="1:9" x14ac:dyDescent="0.35">
      <c r="A283" t="s">
        <v>564</v>
      </c>
      <c r="C283" t="s">
        <v>908</v>
      </c>
      <c r="G283" t="s">
        <v>909</v>
      </c>
      <c r="I283" t="s">
        <v>910</v>
      </c>
    </row>
    <row r="284" spans="1:9" x14ac:dyDescent="0.35">
      <c r="C284" t="s">
        <v>911</v>
      </c>
      <c r="D284" t="s">
        <v>912</v>
      </c>
      <c r="E284" t="s">
        <v>913</v>
      </c>
    </row>
    <row r="285" spans="1:9" x14ac:dyDescent="0.35">
      <c r="A285" t="s">
        <v>914</v>
      </c>
      <c r="C285" t="s">
        <v>915</v>
      </c>
      <c r="F285" t="s">
        <v>916</v>
      </c>
      <c r="G285" t="s">
        <v>917</v>
      </c>
      <c r="H285" t="s">
        <v>918</v>
      </c>
      <c r="I285" t="s">
        <v>919</v>
      </c>
    </row>
    <row r="286" spans="1:9" x14ac:dyDescent="0.35">
      <c r="A286" t="s">
        <v>920</v>
      </c>
      <c r="C286" t="s">
        <v>915</v>
      </c>
      <c r="H286" t="s">
        <v>921</v>
      </c>
    </row>
    <row r="287" spans="1:9" x14ac:dyDescent="0.35">
      <c r="A287" t="s">
        <v>922</v>
      </c>
      <c r="C287" t="s">
        <v>915</v>
      </c>
      <c r="G287" t="s">
        <v>923</v>
      </c>
    </row>
    <row r="288" spans="1:9" x14ac:dyDescent="0.35">
      <c r="A288" t="s">
        <v>924</v>
      </c>
      <c r="C288" t="s">
        <v>925</v>
      </c>
      <c r="G288" t="s">
        <v>926</v>
      </c>
      <c r="I288" t="s">
        <v>927</v>
      </c>
    </row>
    <row r="289" spans="1:9" x14ac:dyDescent="0.35">
      <c r="C289" t="s">
        <v>928</v>
      </c>
      <c r="D289" t="s">
        <v>929</v>
      </c>
      <c r="E289" t="s">
        <v>930</v>
      </c>
    </row>
    <row r="290" spans="1:9" x14ac:dyDescent="0.35">
      <c r="A290" t="s">
        <v>931</v>
      </c>
      <c r="C290" t="s">
        <v>932</v>
      </c>
      <c r="H290" t="s">
        <v>933</v>
      </c>
      <c r="I290" t="s">
        <v>934</v>
      </c>
    </row>
    <row r="291" spans="1:9" x14ac:dyDescent="0.35">
      <c r="A291" t="s">
        <v>639</v>
      </c>
      <c r="C291" t="s">
        <v>935</v>
      </c>
      <c r="D291" t="s">
        <v>1543</v>
      </c>
      <c r="H291" t="s">
        <v>936</v>
      </c>
    </row>
    <row r="292" spans="1:9" x14ac:dyDescent="0.35">
      <c r="A292" t="s">
        <v>937</v>
      </c>
      <c r="D292" t="s">
        <v>202</v>
      </c>
      <c r="E292" t="s">
        <v>938</v>
      </c>
    </row>
    <row r="293" spans="1:9" x14ac:dyDescent="0.35">
      <c r="A293" t="s">
        <v>939</v>
      </c>
      <c r="C293" t="s">
        <v>940</v>
      </c>
      <c r="G293" t="s">
        <v>941</v>
      </c>
    </row>
    <row r="294" spans="1:9" x14ac:dyDescent="0.35">
      <c r="C294" t="s">
        <v>942</v>
      </c>
      <c r="D294" t="s">
        <v>202</v>
      </c>
      <c r="E294" t="s">
        <v>943</v>
      </c>
    </row>
    <row r="295" spans="1:9" x14ac:dyDescent="0.35">
      <c r="A295" t="s">
        <v>944</v>
      </c>
      <c r="C295" t="s">
        <v>945</v>
      </c>
      <c r="F295" t="s">
        <v>946</v>
      </c>
      <c r="G295" t="s">
        <v>947</v>
      </c>
      <c r="I295" t="s">
        <v>948</v>
      </c>
    </row>
    <row r="296" spans="1:9" x14ac:dyDescent="0.35">
      <c r="A296" t="s">
        <v>949</v>
      </c>
      <c r="C296" t="s">
        <v>950</v>
      </c>
      <c r="F296" t="s">
        <v>951</v>
      </c>
      <c r="H296" t="s">
        <v>952</v>
      </c>
    </row>
    <row r="297" spans="1:9" x14ac:dyDescent="0.35">
      <c r="C297" t="s">
        <v>953</v>
      </c>
      <c r="D297" t="s">
        <v>51</v>
      </c>
      <c r="E297" t="s">
        <v>954</v>
      </c>
    </row>
    <row r="298" spans="1:9" x14ac:dyDescent="0.35">
      <c r="A298" t="s">
        <v>955</v>
      </c>
      <c r="C298" t="s">
        <v>956</v>
      </c>
      <c r="H298" t="s">
        <v>957</v>
      </c>
      <c r="I298" t="s">
        <v>958</v>
      </c>
    </row>
    <row r="299" spans="1:9" x14ac:dyDescent="0.35">
      <c r="A299" t="s">
        <v>959</v>
      </c>
      <c r="C299" t="s">
        <v>956</v>
      </c>
      <c r="F299">
        <v>31622924367</v>
      </c>
      <c r="G299">
        <v>31357440204</v>
      </c>
      <c r="H299">
        <v>31641636215</v>
      </c>
      <c r="I299" t="s">
        <v>960</v>
      </c>
    </row>
    <row r="300" spans="1:9" x14ac:dyDescent="0.35">
      <c r="C300" t="s">
        <v>961</v>
      </c>
      <c r="D300" t="s">
        <v>962</v>
      </c>
      <c r="H300" t="s">
        <v>963</v>
      </c>
      <c r="I300" t="s">
        <v>964</v>
      </c>
    </row>
    <row r="301" spans="1:9" x14ac:dyDescent="0.35">
      <c r="A301" t="s">
        <v>965</v>
      </c>
      <c r="C301" t="s">
        <v>966</v>
      </c>
      <c r="G301" t="s">
        <v>967</v>
      </c>
    </row>
    <row r="302" spans="1:9" x14ac:dyDescent="0.35">
      <c r="A302" t="s">
        <v>968</v>
      </c>
      <c r="C302" t="s">
        <v>969</v>
      </c>
      <c r="F302">
        <v>31625413849</v>
      </c>
      <c r="G302">
        <v>31105118390</v>
      </c>
      <c r="I302" t="s">
        <v>970</v>
      </c>
    </row>
    <row r="303" spans="1:9" x14ac:dyDescent="0.35">
      <c r="A303" t="s">
        <v>1544</v>
      </c>
      <c r="C303" t="s">
        <v>969</v>
      </c>
      <c r="G303" t="s">
        <v>971</v>
      </c>
      <c r="I303" t="s">
        <v>972</v>
      </c>
    </row>
    <row r="304" spans="1:9" x14ac:dyDescent="0.35">
      <c r="A304" t="s">
        <v>492</v>
      </c>
      <c r="C304" t="s">
        <v>973</v>
      </c>
      <c r="G304" t="s">
        <v>974</v>
      </c>
      <c r="H304" t="s">
        <v>975</v>
      </c>
      <c r="I304" t="s">
        <v>976</v>
      </c>
    </row>
    <row r="305" spans="1:9" x14ac:dyDescent="0.35">
      <c r="A305" t="s">
        <v>636</v>
      </c>
      <c r="C305" t="s">
        <v>977</v>
      </c>
      <c r="G305" t="s">
        <v>978</v>
      </c>
      <c r="H305" t="s">
        <v>979</v>
      </c>
      <c r="I305" t="s">
        <v>980</v>
      </c>
    </row>
    <row r="306" spans="1:9" x14ac:dyDescent="0.35">
      <c r="A306" t="s">
        <v>981</v>
      </c>
      <c r="C306" t="s">
        <v>982</v>
      </c>
      <c r="D306" t="s">
        <v>983</v>
      </c>
      <c r="G306" t="s">
        <v>984</v>
      </c>
      <c r="I306" t="s">
        <v>985</v>
      </c>
    </row>
    <row r="307" spans="1:9" x14ac:dyDescent="0.35">
      <c r="A307" t="s">
        <v>986</v>
      </c>
      <c r="C307" t="s">
        <v>987</v>
      </c>
      <c r="G307" t="s">
        <v>988</v>
      </c>
    </row>
    <row r="308" spans="1:9" x14ac:dyDescent="0.35">
      <c r="A308" t="s">
        <v>989</v>
      </c>
      <c r="C308" t="s">
        <v>990</v>
      </c>
      <c r="D308" t="s">
        <v>991</v>
      </c>
      <c r="F308" t="s">
        <v>992</v>
      </c>
    </row>
    <row r="309" spans="1:9" x14ac:dyDescent="0.35">
      <c r="A309" t="s">
        <v>993</v>
      </c>
      <c r="C309" t="s">
        <v>994</v>
      </c>
      <c r="D309" t="s">
        <v>995</v>
      </c>
    </row>
    <row r="310" spans="1:9" x14ac:dyDescent="0.35">
      <c r="C310" t="s">
        <v>996</v>
      </c>
      <c r="D310" t="s">
        <v>997</v>
      </c>
      <c r="E310" t="s">
        <v>998</v>
      </c>
    </row>
    <row r="311" spans="1:9" x14ac:dyDescent="0.35">
      <c r="A311" t="s">
        <v>369</v>
      </c>
      <c r="B311" t="s">
        <v>383</v>
      </c>
      <c r="C311" t="s">
        <v>999</v>
      </c>
      <c r="H311" t="s">
        <v>1000</v>
      </c>
    </row>
    <row r="312" spans="1:9" x14ac:dyDescent="0.35">
      <c r="A312" t="s">
        <v>1001</v>
      </c>
      <c r="C312" t="s">
        <v>1002</v>
      </c>
      <c r="H312" t="s">
        <v>1003</v>
      </c>
    </row>
    <row r="313" spans="1:9" x14ac:dyDescent="0.35">
      <c r="A313" t="s">
        <v>1004</v>
      </c>
      <c r="C313" t="s">
        <v>1005</v>
      </c>
      <c r="G313" t="s">
        <v>1006</v>
      </c>
    </row>
    <row r="314" spans="1:9" x14ac:dyDescent="0.35">
      <c r="A314" t="s">
        <v>1007</v>
      </c>
      <c r="C314" t="s">
        <v>1008</v>
      </c>
      <c r="G314" t="s">
        <v>1009</v>
      </c>
      <c r="I314" t="s">
        <v>1010</v>
      </c>
    </row>
    <row r="315" spans="1:9" x14ac:dyDescent="0.35">
      <c r="A315" t="s">
        <v>1011</v>
      </c>
      <c r="C315" t="s">
        <v>1012</v>
      </c>
      <c r="G315" t="s">
        <v>1006</v>
      </c>
      <c r="H315" t="s">
        <v>1013</v>
      </c>
      <c r="I315" t="s">
        <v>1014</v>
      </c>
    </row>
    <row r="316" spans="1:9" x14ac:dyDescent="0.35">
      <c r="C316" t="s">
        <v>1015</v>
      </c>
      <c r="D316" t="s">
        <v>1016</v>
      </c>
      <c r="E316" t="s">
        <v>1017</v>
      </c>
    </row>
    <row r="317" spans="1:9" x14ac:dyDescent="0.35">
      <c r="A317" t="s">
        <v>1018</v>
      </c>
      <c r="C317" t="s">
        <v>1019</v>
      </c>
      <c r="G317" t="s">
        <v>1020</v>
      </c>
      <c r="I317" t="s">
        <v>1021</v>
      </c>
    </row>
    <row r="318" spans="1:9" x14ac:dyDescent="0.35">
      <c r="A318" t="s">
        <v>182</v>
      </c>
      <c r="B318" t="s">
        <v>157</v>
      </c>
      <c r="C318" t="s">
        <v>1022</v>
      </c>
      <c r="G318" t="s">
        <v>1023</v>
      </c>
      <c r="I318" t="s">
        <v>1024</v>
      </c>
    </row>
    <row r="319" spans="1:9" x14ac:dyDescent="0.35">
      <c r="A319" t="s">
        <v>299</v>
      </c>
      <c r="B319" t="s">
        <v>157</v>
      </c>
      <c r="C319" t="s">
        <v>1025</v>
      </c>
    </row>
    <row r="320" spans="1:9" x14ac:dyDescent="0.35">
      <c r="A320" t="s">
        <v>1026</v>
      </c>
      <c r="C320" t="s">
        <v>1027</v>
      </c>
      <c r="F320" t="s">
        <v>1028</v>
      </c>
      <c r="G320" t="s">
        <v>199</v>
      </c>
      <c r="I320" t="s">
        <v>1029</v>
      </c>
    </row>
    <row r="321" spans="1:9" x14ac:dyDescent="0.35">
      <c r="A321" t="s">
        <v>256</v>
      </c>
      <c r="B321" t="s">
        <v>157</v>
      </c>
      <c r="C321" t="s">
        <v>1030</v>
      </c>
      <c r="G321" t="s">
        <v>765</v>
      </c>
    </row>
    <row r="322" spans="1:9" x14ac:dyDescent="0.35">
      <c r="A322" t="s">
        <v>949</v>
      </c>
      <c r="C322" t="s">
        <v>1031</v>
      </c>
      <c r="G322" t="s">
        <v>1032</v>
      </c>
      <c r="I322" t="s">
        <v>1033</v>
      </c>
    </row>
    <row r="323" spans="1:9" x14ac:dyDescent="0.35">
      <c r="C323" t="s">
        <v>1034</v>
      </c>
      <c r="D323" t="s">
        <v>202</v>
      </c>
      <c r="E323" t="s">
        <v>1035</v>
      </c>
    </row>
    <row r="324" spans="1:9" x14ac:dyDescent="0.35">
      <c r="A324" t="s">
        <v>1036</v>
      </c>
      <c r="C324" t="s">
        <v>1037</v>
      </c>
      <c r="G324" t="s">
        <v>1038</v>
      </c>
    </row>
    <row r="325" spans="1:9" x14ac:dyDescent="0.35">
      <c r="A325" t="s">
        <v>1036</v>
      </c>
      <c r="C325" t="s">
        <v>1037</v>
      </c>
      <c r="H325" t="s">
        <v>1039</v>
      </c>
    </row>
    <row r="326" spans="1:9" x14ac:dyDescent="0.35">
      <c r="A326" t="s">
        <v>1040</v>
      </c>
      <c r="C326" t="s">
        <v>1037</v>
      </c>
      <c r="G326" t="s">
        <v>1038</v>
      </c>
      <c r="H326" t="s">
        <v>1041</v>
      </c>
      <c r="I326" t="s">
        <v>1042</v>
      </c>
    </row>
    <row r="327" spans="1:9" x14ac:dyDescent="0.35">
      <c r="A327" t="s">
        <v>1545</v>
      </c>
      <c r="B327" t="s">
        <v>587</v>
      </c>
      <c r="C327" t="s">
        <v>1043</v>
      </c>
      <c r="G327" t="s">
        <v>1044</v>
      </c>
      <c r="I327" t="s">
        <v>1045</v>
      </c>
    </row>
    <row r="328" spans="1:9" x14ac:dyDescent="0.35">
      <c r="A328" t="s">
        <v>1046</v>
      </c>
      <c r="C328" t="s">
        <v>1047</v>
      </c>
      <c r="H328" t="s">
        <v>1048</v>
      </c>
    </row>
    <row r="329" spans="1:9" x14ac:dyDescent="0.35">
      <c r="A329" t="s">
        <v>1049</v>
      </c>
      <c r="C329" t="s">
        <v>1050</v>
      </c>
      <c r="D329" t="s">
        <v>1049</v>
      </c>
      <c r="E329">
        <v>4111</v>
      </c>
    </row>
    <row r="330" spans="1:9" x14ac:dyDescent="0.35">
      <c r="A330" t="s">
        <v>299</v>
      </c>
      <c r="C330" t="s">
        <v>1051</v>
      </c>
      <c r="G330" t="s">
        <v>1052</v>
      </c>
    </row>
    <row r="331" spans="1:9" x14ac:dyDescent="0.35">
      <c r="A331" t="s">
        <v>1053</v>
      </c>
      <c r="C331" t="s">
        <v>1054</v>
      </c>
      <c r="G331" t="s">
        <v>1055</v>
      </c>
      <c r="H331" t="s">
        <v>1056</v>
      </c>
      <c r="I331" t="s">
        <v>1057</v>
      </c>
    </row>
    <row r="332" spans="1:9" x14ac:dyDescent="0.35">
      <c r="C332" t="s">
        <v>1058</v>
      </c>
      <c r="D332" t="s">
        <v>1059</v>
      </c>
      <c r="E332" t="s">
        <v>1060</v>
      </c>
      <c r="I332" t="s">
        <v>1061</v>
      </c>
    </row>
    <row r="333" spans="1:9" x14ac:dyDescent="0.35">
      <c r="C333" t="s">
        <v>1062</v>
      </c>
      <c r="D333" t="s">
        <v>1063</v>
      </c>
      <c r="E333" t="s">
        <v>1064</v>
      </c>
    </row>
    <row r="334" spans="1:9" x14ac:dyDescent="0.35">
      <c r="A334" t="s">
        <v>1065</v>
      </c>
      <c r="C334" t="s">
        <v>1066</v>
      </c>
      <c r="I334" t="s">
        <v>1067</v>
      </c>
    </row>
    <row r="335" spans="1:9" x14ac:dyDescent="0.35">
      <c r="A335" t="s">
        <v>402</v>
      </c>
      <c r="B335" t="s">
        <v>383</v>
      </c>
      <c r="C335" t="s">
        <v>1068</v>
      </c>
      <c r="G335" t="s">
        <v>1069</v>
      </c>
      <c r="H335" t="s">
        <v>1070</v>
      </c>
      <c r="I335" t="s">
        <v>1071</v>
      </c>
    </row>
    <row r="336" spans="1:9" x14ac:dyDescent="0.35">
      <c r="A336" t="s">
        <v>1072</v>
      </c>
      <c r="C336" t="s">
        <v>1073</v>
      </c>
      <c r="H336" t="s">
        <v>1074</v>
      </c>
    </row>
    <row r="337" spans="1:9" x14ac:dyDescent="0.35">
      <c r="C337" t="s">
        <v>1075</v>
      </c>
      <c r="D337" t="s">
        <v>51</v>
      </c>
      <c r="E337" t="s">
        <v>1076</v>
      </c>
    </row>
    <row r="338" spans="1:9" x14ac:dyDescent="0.35">
      <c r="A338" t="s">
        <v>722</v>
      </c>
      <c r="C338" t="s">
        <v>1077</v>
      </c>
      <c r="I338" t="s">
        <v>1078</v>
      </c>
    </row>
    <row r="339" spans="1:9" x14ac:dyDescent="0.35">
      <c r="A339" t="s">
        <v>1079</v>
      </c>
      <c r="C339" t="s">
        <v>1080</v>
      </c>
      <c r="F339" t="s">
        <v>1081</v>
      </c>
      <c r="H339" t="s">
        <v>1082</v>
      </c>
      <c r="I339" t="s">
        <v>1083</v>
      </c>
    </row>
    <row r="340" spans="1:9" x14ac:dyDescent="0.35">
      <c r="A340" t="s">
        <v>1084</v>
      </c>
      <c r="C340" t="s">
        <v>1080</v>
      </c>
      <c r="G340" t="s">
        <v>1081</v>
      </c>
    </row>
    <row r="341" spans="1:9" x14ac:dyDescent="0.35">
      <c r="C341" t="s">
        <v>1085</v>
      </c>
      <c r="D341" t="s">
        <v>784</v>
      </c>
      <c r="E341" t="s">
        <v>1086</v>
      </c>
    </row>
    <row r="342" spans="1:9" x14ac:dyDescent="0.35">
      <c r="A342" t="s">
        <v>1087</v>
      </c>
      <c r="B342" t="s">
        <v>125</v>
      </c>
      <c r="C342" t="s">
        <v>1088</v>
      </c>
      <c r="H342" t="s">
        <v>1089</v>
      </c>
      <c r="I342" t="s">
        <v>1090</v>
      </c>
    </row>
    <row r="343" spans="1:9" x14ac:dyDescent="0.35">
      <c r="A343" t="s">
        <v>1546</v>
      </c>
      <c r="B343" t="s">
        <v>857</v>
      </c>
      <c r="C343" t="s">
        <v>1091</v>
      </c>
      <c r="H343" t="s">
        <v>1092</v>
      </c>
      <c r="I343" t="s">
        <v>1093</v>
      </c>
    </row>
    <row r="344" spans="1:9" x14ac:dyDescent="0.35">
      <c r="C344" t="s">
        <v>1094</v>
      </c>
      <c r="D344" t="s">
        <v>47</v>
      </c>
      <c r="E344" t="s">
        <v>1095</v>
      </c>
    </row>
    <row r="345" spans="1:9" x14ac:dyDescent="0.35">
      <c r="A345" t="s">
        <v>1096</v>
      </c>
      <c r="C345" t="s">
        <v>1097</v>
      </c>
      <c r="G345" t="s">
        <v>1098</v>
      </c>
      <c r="I345" t="s">
        <v>1099</v>
      </c>
    </row>
    <row r="346" spans="1:9" x14ac:dyDescent="0.35">
      <c r="A346" t="s">
        <v>1100</v>
      </c>
      <c r="C346" t="s">
        <v>1101</v>
      </c>
      <c r="D346" t="s">
        <v>1102</v>
      </c>
      <c r="E346" t="s">
        <v>1103</v>
      </c>
    </row>
    <row r="347" spans="1:9" x14ac:dyDescent="0.35">
      <c r="A347" t="s">
        <v>639</v>
      </c>
      <c r="C347" t="s">
        <v>1104</v>
      </c>
      <c r="H347" t="s">
        <v>1105</v>
      </c>
      <c r="I347" t="s">
        <v>1106</v>
      </c>
    </row>
    <row r="348" spans="1:9" x14ac:dyDescent="0.35">
      <c r="A348" t="s">
        <v>1107</v>
      </c>
      <c r="B348" t="s">
        <v>157</v>
      </c>
      <c r="C348" t="s">
        <v>1108</v>
      </c>
    </row>
    <row r="349" spans="1:9" x14ac:dyDescent="0.35">
      <c r="A349" t="s">
        <v>722</v>
      </c>
      <c r="B349" t="s">
        <v>157</v>
      </c>
      <c r="C349" t="s">
        <v>1108</v>
      </c>
      <c r="G349" t="s">
        <v>1020</v>
      </c>
    </row>
    <row r="350" spans="1:9" x14ac:dyDescent="0.35">
      <c r="A350" t="s">
        <v>180</v>
      </c>
      <c r="C350" t="s">
        <v>1109</v>
      </c>
      <c r="G350" t="s">
        <v>1110</v>
      </c>
      <c r="H350" t="s">
        <v>1111</v>
      </c>
      <c r="I350" t="s">
        <v>1112</v>
      </c>
    </row>
    <row r="351" spans="1:9" x14ac:dyDescent="0.35">
      <c r="A351" t="s">
        <v>1113</v>
      </c>
      <c r="C351" t="s">
        <v>1109</v>
      </c>
      <c r="G351" t="s">
        <v>1110</v>
      </c>
    </row>
    <row r="352" spans="1:9" x14ac:dyDescent="0.35">
      <c r="A352" t="s">
        <v>1547</v>
      </c>
      <c r="C352" t="s">
        <v>1114</v>
      </c>
      <c r="E352" t="s">
        <v>1115</v>
      </c>
    </row>
    <row r="353" spans="1:9" x14ac:dyDescent="0.35">
      <c r="A353" t="s">
        <v>1116</v>
      </c>
      <c r="B353" t="s">
        <v>125</v>
      </c>
      <c r="C353" t="s">
        <v>1117</v>
      </c>
      <c r="G353" t="s">
        <v>1118</v>
      </c>
      <c r="I353" t="s">
        <v>1119</v>
      </c>
    </row>
    <row r="354" spans="1:9" x14ac:dyDescent="0.35">
      <c r="A354" t="s">
        <v>1120</v>
      </c>
      <c r="B354" t="s">
        <v>157</v>
      </c>
      <c r="C354" t="s">
        <v>1121</v>
      </c>
      <c r="G354" t="s">
        <v>789</v>
      </c>
      <c r="H354" t="s">
        <v>1122</v>
      </c>
      <c r="I354" t="s">
        <v>1123</v>
      </c>
    </row>
    <row r="355" spans="1:9" x14ac:dyDescent="0.35">
      <c r="A355" t="s">
        <v>1124</v>
      </c>
      <c r="C355" t="s">
        <v>1125</v>
      </c>
      <c r="H355" t="s">
        <v>1126</v>
      </c>
    </row>
    <row r="356" spans="1:9" x14ac:dyDescent="0.35">
      <c r="A356" t="s">
        <v>387</v>
      </c>
      <c r="C356" t="s">
        <v>1127</v>
      </c>
      <c r="I356" t="s">
        <v>1128</v>
      </c>
    </row>
    <row r="357" spans="1:9" x14ac:dyDescent="0.35">
      <c r="C357" t="s">
        <v>1129</v>
      </c>
      <c r="D357" t="s">
        <v>1130</v>
      </c>
      <c r="E357" t="s">
        <v>1131</v>
      </c>
    </row>
    <row r="358" spans="1:9" x14ac:dyDescent="0.35">
      <c r="A358" t="s">
        <v>1132</v>
      </c>
      <c r="C358" t="s">
        <v>1133</v>
      </c>
      <c r="I358" t="s">
        <v>1134</v>
      </c>
    </row>
    <row r="359" spans="1:9" x14ac:dyDescent="0.35">
      <c r="A359" t="s">
        <v>745</v>
      </c>
      <c r="B359" t="s">
        <v>125</v>
      </c>
      <c r="C359" t="s">
        <v>1135</v>
      </c>
      <c r="G359" t="s">
        <v>1136</v>
      </c>
      <c r="H359" t="s">
        <v>1137</v>
      </c>
    </row>
    <row r="360" spans="1:9" x14ac:dyDescent="0.35">
      <c r="A360" t="s">
        <v>1138</v>
      </c>
      <c r="C360" t="s">
        <v>1139</v>
      </c>
      <c r="G360" t="s">
        <v>1140</v>
      </c>
      <c r="I360" t="s">
        <v>1141</v>
      </c>
    </row>
    <row r="361" spans="1:9" x14ac:dyDescent="0.35">
      <c r="A361" t="s">
        <v>1142</v>
      </c>
      <c r="C361" t="s">
        <v>1143</v>
      </c>
      <c r="D361" t="s">
        <v>1142</v>
      </c>
      <c r="E361" t="s">
        <v>1144</v>
      </c>
    </row>
    <row r="362" spans="1:9" x14ac:dyDescent="0.35">
      <c r="A362" t="s">
        <v>1145</v>
      </c>
      <c r="B362" t="s">
        <v>157</v>
      </c>
      <c r="C362" t="s">
        <v>1143</v>
      </c>
      <c r="F362" t="s">
        <v>1146</v>
      </c>
      <c r="G362" t="s">
        <v>513</v>
      </c>
      <c r="I362" t="s">
        <v>1147</v>
      </c>
    </row>
    <row r="363" spans="1:9" x14ac:dyDescent="0.35">
      <c r="C363" t="s">
        <v>1148</v>
      </c>
      <c r="D363" t="s">
        <v>801</v>
      </c>
      <c r="E363" t="s">
        <v>1149</v>
      </c>
      <c r="H363" t="s">
        <v>1150</v>
      </c>
      <c r="I363" t="s">
        <v>1151</v>
      </c>
    </row>
    <row r="364" spans="1:9" x14ac:dyDescent="0.35">
      <c r="A364" t="s">
        <v>1152</v>
      </c>
      <c r="B364" t="s">
        <v>125</v>
      </c>
      <c r="C364" t="s">
        <v>1153</v>
      </c>
      <c r="G364" t="s">
        <v>1154</v>
      </c>
      <c r="H364" t="s">
        <v>1155</v>
      </c>
      <c r="I364" t="s">
        <v>1156</v>
      </c>
    </row>
    <row r="365" spans="1:9" x14ac:dyDescent="0.35">
      <c r="A365" t="s">
        <v>1157</v>
      </c>
      <c r="C365" t="s">
        <v>1158</v>
      </c>
      <c r="H365" t="s">
        <v>1159</v>
      </c>
      <c r="I365" t="s">
        <v>1160</v>
      </c>
    </row>
    <row r="366" spans="1:9" x14ac:dyDescent="0.35">
      <c r="A366" t="s">
        <v>1161</v>
      </c>
      <c r="I366" t="s">
        <v>1162</v>
      </c>
    </row>
    <row r="367" spans="1:9" x14ac:dyDescent="0.35">
      <c r="A367" t="s">
        <v>213</v>
      </c>
      <c r="B367" t="s">
        <v>383</v>
      </c>
      <c r="C367" t="s">
        <v>1163</v>
      </c>
      <c r="H367" t="s">
        <v>1164</v>
      </c>
      <c r="I367" t="s">
        <v>1165</v>
      </c>
    </row>
    <row r="368" spans="1:9" x14ac:dyDescent="0.35">
      <c r="A368" t="s">
        <v>444</v>
      </c>
      <c r="C368" t="s">
        <v>1166</v>
      </c>
      <c r="G368" t="s">
        <v>1167</v>
      </c>
      <c r="I368" t="s">
        <v>1168</v>
      </c>
    </row>
    <row r="369" spans="1:9" x14ac:dyDescent="0.35">
      <c r="A369" t="s">
        <v>1169</v>
      </c>
      <c r="C369" t="s">
        <v>1170</v>
      </c>
      <c r="H369" t="s">
        <v>1171</v>
      </c>
    </row>
    <row r="370" spans="1:9" x14ac:dyDescent="0.35">
      <c r="A370" t="s">
        <v>1172</v>
      </c>
      <c r="C370" t="s">
        <v>1173</v>
      </c>
      <c r="G370" t="s">
        <v>1174</v>
      </c>
      <c r="I370" t="s">
        <v>1175</v>
      </c>
    </row>
    <row r="371" spans="1:9" x14ac:dyDescent="0.35">
      <c r="A371" t="s">
        <v>1176</v>
      </c>
      <c r="C371" t="s">
        <v>1177</v>
      </c>
      <c r="G371" t="s">
        <v>1178</v>
      </c>
      <c r="H371" t="s">
        <v>1179</v>
      </c>
      <c r="I371" t="s">
        <v>1180</v>
      </c>
    </row>
    <row r="372" spans="1:9" x14ac:dyDescent="0.35">
      <c r="A372" t="s">
        <v>213</v>
      </c>
      <c r="C372" t="s">
        <v>1177</v>
      </c>
      <c r="G372" t="s">
        <v>1178</v>
      </c>
    </row>
    <row r="373" spans="1:9" x14ac:dyDescent="0.35">
      <c r="A373" t="s">
        <v>1181</v>
      </c>
      <c r="C373" t="s">
        <v>1177</v>
      </c>
      <c r="H373" t="s">
        <v>1182</v>
      </c>
    </row>
    <row r="374" spans="1:9" x14ac:dyDescent="0.35">
      <c r="A374" t="s">
        <v>1183</v>
      </c>
      <c r="C374" t="s">
        <v>1177</v>
      </c>
      <c r="G374">
        <v>310031655150831</v>
      </c>
    </row>
    <row r="375" spans="1:9" x14ac:dyDescent="0.35">
      <c r="A375" t="s">
        <v>495</v>
      </c>
      <c r="B375" t="s">
        <v>157</v>
      </c>
      <c r="C375" t="s">
        <v>1184</v>
      </c>
      <c r="H375" t="s">
        <v>1185</v>
      </c>
    </row>
    <row r="376" spans="1:9" x14ac:dyDescent="0.35">
      <c r="A376" t="s">
        <v>1186</v>
      </c>
      <c r="C376" t="s">
        <v>1187</v>
      </c>
      <c r="G376" t="s">
        <v>1188</v>
      </c>
    </row>
    <row r="377" spans="1:9" x14ac:dyDescent="0.35">
      <c r="A377" t="s">
        <v>1189</v>
      </c>
      <c r="C377" t="s">
        <v>1187</v>
      </c>
      <c r="G377" t="s">
        <v>1190</v>
      </c>
      <c r="I377" t="s">
        <v>1191</v>
      </c>
    </row>
    <row r="378" spans="1:9" x14ac:dyDescent="0.35">
      <c r="A378" t="s">
        <v>1192</v>
      </c>
      <c r="C378" t="s">
        <v>1193</v>
      </c>
    </row>
    <row r="379" spans="1:9" x14ac:dyDescent="0.35">
      <c r="A379" t="s">
        <v>149</v>
      </c>
      <c r="C379" t="s">
        <v>1194</v>
      </c>
      <c r="D379" t="s">
        <v>202</v>
      </c>
      <c r="E379" t="s">
        <v>1195</v>
      </c>
    </row>
    <row r="380" spans="1:9" x14ac:dyDescent="0.35">
      <c r="A380" t="s">
        <v>1196</v>
      </c>
      <c r="C380" t="s">
        <v>1197</v>
      </c>
      <c r="D380" t="s">
        <v>1198</v>
      </c>
      <c r="E380" t="s">
        <v>1199</v>
      </c>
      <c r="H380" t="s">
        <v>1200</v>
      </c>
      <c r="I380" t="s">
        <v>1201</v>
      </c>
    </row>
    <row r="381" spans="1:9" x14ac:dyDescent="0.35">
      <c r="A381" t="s">
        <v>1018</v>
      </c>
      <c r="B381" t="s">
        <v>157</v>
      </c>
      <c r="C381" t="s">
        <v>1202</v>
      </c>
      <c r="H381" t="s">
        <v>1203</v>
      </c>
      <c r="I381" t="s">
        <v>1204</v>
      </c>
    </row>
    <row r="382" spans="1:9" x14ac:dyDescent="0.35">
      <c r="A382" t="s">
        <v>341</v>
      </c>
      <c r="C382" t="s">
        <v>1205</v>
      </c>
      <c r="H382" t="s">
        <v>1206</v>
      </c>
    </row>
    <row r="383" spans="1:9" x14ac:dyDescent="0.35">
      <c r="A383" t="s">
        <v>1207</v>
      </c>
      <c r="D383" t="s">
        <v>1208</v>
      </c>
      <c r="G383" t="s">
        <v>1209</v>
      </c>
    </row>
    <row r="384" spans="1:9" x14ac:dyDescent="0.35">
      <c r="A384" t="s">
        <v>1210</v>
      </c>
      <c r="C384" t="s">
        <v>1211</v>
      </c>
      <c r="F384" t="s">
        <v>1212</v>
      </c>
      <c r="G384" t="s">
        <v>1213</v>
      </c>
      <c r="I384" t="s">
        <v>1214</v>
      </c>
    </row>
    <row r="385" spans="1:9" x14ac:dyDescent="0.35">
      <c r="A385" t="s">
        <v>1215</v>
      </c>
      <c r="C385" t="s">
        <v>1216</v>
      </c>
      <c r="H385" t="s">
        <v>1217</v>
      </c>
      <c r="I385" t="s">
        <v>1218</v>
      </c>
    </row>
    <row r="386" spans="1:9" x14ac:dyDescent="0.35">
      <c r="A386" t="s">
        <v>1219</v>
      </c>
      <c r="C386" t="s">
        <v>1220</v>
      </c>
      <c r="H386" t="s">
        <v>1221</v>
      </c>
    </row>
    <row r="387" spans="1:9" x14ac:dyDescent="0.35">
      <c r="A387" t="s">
        <v>1222</v>
      </c>
      <c r="C387" t="s">
        <v>1220</v>
      </c>
      <c r="H387" t="s">
        <v>1223</v>
      </c>
    </row>
    <row r="388" spans="1:9" x14ac:dyDescent="0.35">
      <c r="A388" t="s">
        <v>437</v>
      </c>
      <c r="C388" t="s">
        <v>1224</v>
      </c>
      <c r="G388" t="s">
        <v>1225</v>
      </c>
      <c r="H388" t="s">
        <v>1226</v>
      </c>
      <c r="I388" t="s">
        <v>1227</v>
      </c>
    </row>
    <row r="389" spans="1:9" x14ac:dyDescent="0.35">
      <c r="A389" t="s">
        <v>1228</v>
      </c>
      <c r="C389" t="s">
        <v>1229</v>
      </c>
      <c r="D389" t="s">
        <v>1228</v>
      </c>
      <c r="E389">
        <v>4900</v>
      </c>
    </row>
    <row r="390" spans="1:9" x14ac:dyDescent="0.35">
      <c r="A390" t="s">
        <v>1230</v>
      </c>
      <c r="C390" t="s">
        <v>1231</v>
      </c>
      <c r="H390" t="s">
        <v>1232</v>
      </c>
      <c r="I390" t="s">
        <v>1233</v>
      </c>
    </row>
    <row r="391" spans="1:9" x14ac:dyDescent="0.35">
      <c r="A391" t="s">
        <v>299</v>
      </c>
      <c r="C391" t="s">
        <v>1234</v>
      </c>
      <c r="G391" t="s">
        <v>1235</v>
      </c>
      <c r="H391" t="s">
        <v>1236</v>
      </c>
      <c r="I391" t="s">
        <v>1237</v>
      </c>
    </row>
    <row r="392" spans="1:9" x14ac:dyDescent="0.35">
      <c r="A392" t="s">
        <v>537</v>
      </c>
      <c r="C392" t="s">
        <v>1238</v>
      </c>
      <c r="G392" t="s">
        <v>1239</v>
      </c>
      <c r="H392" t="s">
        <v>1240</v>
      </c>
      <c r="I392" t="s">
        <v>1241</v>
      </c>
    </row>
    <row r="393" spans="1:9" x14ac:dyDescent="0.35">
      <c r="A393" t="s">
        <v>187</v>
      </c>
      <c r="C393" t="s">
        <v>1242</v>
      </c>
      <c r="H393" t="s">
        <v>1243</v>
      </c>
    </row>
    <row r="394" spans="1:9" x14ac:dyDescent="0.35">
      <c r="A394" t="s">
        <v>1244</v>
      </c>
      <c r="B394" t="s">
        <v>383</v>
      </c>
      <c r="C394" t="s">
        <v>1245</v>
      </c>
      <c r="G394" t="s">
        <v>1246</v>
      </c>
      <c r="H394" t="s">
        <v>1247</v>
      </c>
      <c r="I394" t="s">
        <v>1248</v>
      </c>
    </row>
    <row r="395" spans="1:9" x14ac:dyDescent="0.35">
      <c r="A395" t="s">
        <v>1230</v>
      </c>
      <c r="C395" t="s">
        <v>1249</v>
      </c>
      <c r="I395" t="s">
        <v>1250</v>
      </c>
    </row>
    <row r="396" spans="1:9" x14ac:dyDescent="0.35">
      <c r="A396" t="s">
        <v>1251</v>
      </c>
      <c r="C396" t="s">
        <v>1252</v>
      </c>
      <c r="I396" t="s">
        <v>1253</v>
      </c>
    </row>
    <row r="397" spans="1:9" x14ac:dyDescent="0.35">
      <c r="A397" t="s">
        <v>1254</v>
      </c>
      <c r="C397" t="s">
        <v>1255</v>
      </c>
      <c r="I397" t="s">
        <v>1256</v>
      </c>
    </row>
    <row r="398" spans="1:9" x14ac:dyDescent="0.35">
      <c r="A398" t="s">
        <v>1257</v>
      </c>
      <c r="C398" t="s">
        <v>1258</v>
      </c>
      <c r="H398">
        <v>31646366608</v>
      </c>
      <c r="I398" t="s">
        <v>1259</v>
      </c>
    </row>
    <row r="399" spans="1:9" x14ac:dyDescent="0.35">
      <c r="C399" t="s">
        <v>1260</v>
      </c>
      <c r="E399" t="s">
        <v>1261</v>
      </c>
    </row>
    <row r="400" spans="1:9" x14ac:dyDescent="0.35">
      <c r="A400" t="s">
        <v>256</v>
      </c>
      <c r="C400" t="s">
        <v>1262</v>
      </c>
      <c r="H400" t="s">
        <v>1263</v>
      </c>
      <c r="I400" t="s">
        <v>1264</v>
      </c>
    </row>
    <row r="401" spans="1:9" x14ac:dyDescent="0.35">
      <c r="A401" t="s">
        <v>1265</v>
      </c>
      <c r="C401" t="s">
        <v>1266</v>
      </c>
      <c r="G401" t="s">
        <v>588</v>
      </c>
      <c r="H401" t="s">
        <v>1267</v>
      </c>
      <c r="I401" t="s">
        <v>1268</v>
      </c>
    </row>
    <row r="402" spans="1:9" x14ac:dyDescent="0.35">
      <c r="A402" t="s">
        <v>1269</v>
      </c>
      <c r="C402" t="s">
        <v>1266</v>
      </c>
      <c r="G402" t="s">
        <v>733</v>
      </c>
      <c r="H402" t="s">
        <v>1270</v>
      </c>
      <c r="I402" t="s">
        <v>1271</v>
      </c>
    </row>
    <row r="403" spans="1:9" x14ac:dyDescent="0.35">
      <c r="A403" t="s">
        <v>1272</v>
      </c>
      <c r="C403" t="s">
        <v>1266</v>
      </c>
      <c r="G403" t="s">
        <v>733</v>
      </c>
      <c r="H403" t="s">
        <v>1273</v>
      </c>
      <c r="I403" t="s">
        <v>1274</v>
      </c>
    </row>
    <row r="404" spans="1:9" x14ac:dyDescent="0.35">
      <c r="A404" t="s">
        <v>1275</v>
      </c>
      <c r="C404" t="s">
        <v>1276</v>
      </c>
      <c r="G404" t="s">
        <v>1277</v>
      </c>
      <c r="I404" t="s">
        <v>1278</v>
      </c>
    </row>
    <row r="405" spans="1:9" x14ac:dyDescent="0.35">
      <c r="A405" t="s">
        <v>1279</v>
      </c>
      <c r="H405" t="s">
        <v>1280</v>
      </c>
    </row>
    <row r="406" spans="1:9" x14ac:dyDescent="0.35">
      <c r="A406" t="s">
        <v>1281</v>
      </c>
      <c r="C406" t="s">
        <v>1282</v>
      </c>
      <c r="D406" t="s">
        <v>1283</v>
      </c>
      <c r="E406" t="s">
        <v>1284</v>
      </c>
    </row>
    <row r="407" spans="1:9" x14ac:dyDescent="0.35">
      <c r="C407" t="s">
        <v>1285</v>
      </c>
      <c r="D407" t="s">
        <v>1285</v>
      </c>
      <c r="E407" t="s">
        <v>1286</v>
      </c>
      <c r="I407" t="s">
        <v>1287</v>
      </c>
    </row>
    <row r="408" spans="1:9" x14ac:dyDescent="0.35">
      <c r="A408" t="s">
        <v>153</v>
      </c>
      <c r="C408" t="s">
        <v>1288</v>
      </c>
      <c r="H408" t="s">
        <v>1289</v>
      </c>
      <c r="I408" t="s">
        <v>1290</v>
      </c>
    </row>
    <row r="409" spans="1:9" x14ac:dyDescent="0.35">
      <c r="A409" t="s">
        <v>706</v>
      </c>
      <c r="C409" t="s">
        <v>1291</v>
      </c>
      <c r="G409" t="s">
        <v>1292</v>
      </c>
      <c r="H409" t="s">
        <v>1293</v>
      </c>
      <c r="I409" t="s">
        <v>1294</v>
      </c>
    </row>
    <row r="410" spans="1:9" x14ac:dyDescent="0.35">
      <c r="A410" t="s">
        <v>1295</v>
      </c>
      <c r="C410" t="s">
        <v>1291</v>
      </c>
      <c r="H410">
        <v>31623097475</v>
      </c>
      <c r="I410" t="s">
        <v>1296</v>
      </c>
    </row>
    <row r="411" spans="1:9" x14ac:dyDescent="0.35">
      <c r="A411" t="s">
        <v>1297</v>
      </c>
      <c r="C411" t="s">
        <v>1298</v>
      </c>
      <c r="G411" t="s">
        <v>1052</v>
      </c>
      <c r="H411" t="s">
        <v>1299</v>
      </c>
      <c r="I411" t="s">
        <v>1300</v>
      </c>
    </row>
    <row r="412" spans="1:9" x14ac:dyDescent="0.35">
      <c r="C412" t="s">
        <v>1301</v>
      </c>
      <c r="D412" t="s">
        <v>202</v>
      </c>
      <c r="E412" t="s">
        <v>1302</v>
      </c>
    </row>
    <row r="413" spans="1:9" x14ac:dyDescent="0.35">
      <c r="C413" t="s">
        <v>1303</v>
      </c>
      <c r="D413" t="s">
        <v>1304</v>
      </c>
      <c r="E413" t="s">
        <v>1305</v>
      </c>
    </row>
    <row r="414" spans="1:9" x14ac:dyDescent="0.35">
      <c r="A414" t="s">
        <v>131</v>
      </c>
      <c r="C414" t="s">
        <v>1306</v>
      </c>
      <c r="G414" t="s">
        <v>594</v>
      </c>
      <c r="H414" t="s">
        <v>1307</v>
      </c>
      <c r="I414" t="s">
        <v>1308</v>
      </c>
    </row>
    <row r="415" spans="1:9" x14ac:dyDescent="0.35">
      <c r="A415" t="s">
        <v>1309</v>
      </c>
      <c r="C415" t="s">
        <v>1306</v>
      </c>
    </row>
    <row r="416" spans="1:9" x14ac:dyDescent="0.35">
      <c r="A416" t="s">
        <v>346</v>
      </c>
      <c r="C416" t="s">
        <v>1310</v>
      </c>
      <c r="I416" t="s">
        <v>1311</v>
      </c>
    </row>
    <row r="417" spans="1:9" x14ac:dyDescent="0.35">
      <c r="A417" t="s">
        <v>1312</v>
      </c>
      <c r="C417" t="s">
        <v>1313</v>
      </c>
      <c r="H417" t="s">
        <v>1314</v>
      </c>
      <c r="I417" t="s">
        <v>1315</v>
      </c>
    </row>
    <row r="418" spans="1:9" x14ac:dyDescent="0.35">
      <c r="A418" t="s">
        <v>1316</v>
      </c>
      <c r="G418" t="s">
        <v>1317</v>
      </c>
    </row>
    <row r="419" spans="1:9" x14ac:dyDescent="0.35">
      <c r="A419" t="s">
        <v>1318</v>
      </c>
      <c r="C419" t="s">
        <v>1319</v>
      </c>
      <c r="F419" t="s">
        <v>1320</v>
      </c>
      <c r="H419" t="s">
        <v>1321</v>
      </c>
      <c r="I419" t="s">
        <v>1322</v>
      </c>
    </row>
    <row r="420" spans="1:9" x14ac:dyDescent="0.35">
      <c r="A420" t="s">
        <v>1323</v>
      </c>
      <c r="C420" t="s">
        <v>1324</v>
      </c>
      <c r="H420" t="s">
        <v>1325</v>
      </c>
    </row>
    <row r="421" spans="1:9" x14ac:dyDescent="0.35">
      <c r="C421" t="s">
        <v>1326</v>
      </c>
      <c r="D421" t="s">
        <v>1327</v>
      </c>
      <c r="E421" t="s">
        <v>1328</v>
      </c>
      <c r="I421" t="s">
        <v>1329</v>
      </c>
    </row>
    <row r="422" spans="1:9" x14ac:dyDescent="0.35">
      <c r="A422" t="s">
        <v>1330</v>
      </c>
      <c r="D422" t="s">
        <v>1331</v>
      </c>
      <c r="G422" t="s">
        <v>1332</v>
      </c>
    </row>
    <row r="423" spans="1:9" x14ac:dyDescent="0.35">
      <c r="A423" t="s">
        <v>1333</v>
      </c>
      <c r="G423" t="s">
        <v>1334</v>
      </c>
    </row>
    <row r="424" spans="1:9" x14ac:dyDescent="0.35">
      <c r="A424" t="s">
        <v>1335</v>
      </c>
      <c r="B424" t="s">
        <v>125</v>
      </c>
      <c r="C424" t="s">
        <v>1336</v>
      </c>
      <c r="G424" t="s">
        <v>1337</v>
      </c>
      <c r="H424" t="s">
        <v>1338</v>
      </c>
      <c r="I424" t="s">
        <v>1339</v>
      </c>
    </row>
    <row r="425" spans="1:9" x14ac:dyDescent="0.35">
      <c r="C425" t="s">
        <v>1340</v>
      </c>
      <c r="E425" t="s">
        <v>1341</v>
      </c>
      <c r="I425" t="s">
        <v>1342</v>
      </c>
    </row>
    <row r="426" spans="1:9" x14ac:dyDescent="0.35">
      <c r="A426" t="s">
        <v>1343</v>
      </c>
      <c r="C426" t="s">
        <v>1344</v>
      </c>
      <c r="D426" t="s">
        <v>1345</v>
      </c>
      <c r="G426" t="s">
        <v>1346</v>
      </c>
      <c r="I426" t="s">
        <v>1347</v>
      </c>
    </row>
    <row r="427" spans="1:9" x14ac:dyDescent="0.35">
      <c r="A427" t="s">
        <v>1348</v>
      </c>
      <c r="C427" t="s">
        <v>1349</v>
      </c>
      <c r="D427" t="s">
        <v>1350</v>
      </c>
      <c r="H427" t="s">
        <v>1351</v>
      </c>
    </row>
    <row r="428" spans="1:9" x14ac:dyDescent="0.35">
      <c r="A428" t="s">
        <v>827</v>
      </c>
      <c r="C428" t="s">
        <v>1352</v>
      </c>
      <c r="D428" t="s">
        <v>1353</v>
      </c>
      <c r="H428" t="s">
        <v>1354</v>
      </c>
      <c r="I428" t="s">
        <v>1355</v>
      </c>
    </row>
    <row r="429" spans="1:9" x14ac:dyDescent="0.35">
      <c r="A429" t="s">
        <v>653</v>
      </c>
      <c r="C429" t="s">
        <v>1356</v>
      </c>
      <c r="D429" t="s">
        <v>1357</v>
      </c>
      <c r="I429" t="s">
        <v>1358</v>
      </c>
    </row>
    <row r="430" spans="1:9" x14ac:dyDescent="0.35">
      <c r="A430" t="s">
        <v>586</v>
      </c>
      <c r="C430" t="s">
        <v>1359</v>
      </c>
      <c r="G430" t="s">
        <v>1360</v>
      </c>
      <c r="I430" t="s">
        <v>1361</v>
      </c>
    </row>
    <row r="431" spans="1:9" x14ac:dyDescent="0.35">
      <c r="A431" t="s">
        <v>1004</v>
      </c>
      <c r="C431" t="s">
        <v>1362</v>
      </c>
      <c r="G431" t="s">
        <v>971</v>
      </c>
      <c r="I431" t="s">
        <v>1363</v>
      </c>
    </row>
    <row r="432" spans="1:9" x14ac:dyDescent="0.35">
      <c r="A432" t="s">
        <v>153</v>
      </c>
      <c r="C432" t="s">
        <v>1364</v>
      </c>
      <c r="H432">
        <v>31653548199</v>
      </c>
    </row>
    <row r="433" spans="1:9" x14ac:dyDescent="0.35">
      <c r="A433" t="s">
        <v>1365</v>
      </c>
      <c r="C433" t="s">
        <v>1366</v>
      </c>
    </row>
    <row r="434" spans="1:9" x14ac:dyDescent="0.35">
      <c r="A434" t="s">
        <v>722</v>
      </c>
      <c r="C434" t="s">
        <v>1367</v>
      </c>
      <c r="G434" t="s">
        <v>1368</v>
      </c>
    </row>
    <row r="435" spans="1:9" x14ac:dyDescent="0.35">
      <c r="A435" t="s">
        <v>1369</v>
      </c>
      <c r="C435" t="s">
        <v>1370</v>
      </c>
      <c r="G435" t="s">
        <v>1371</v>
      </c>
      <c r="I435" t="s">
        <v>1372</v>
      </c>
    </row>
    <row r="436" spans="1:9" x14ac:dyDescent="0.35">
      <c r="A436" t="s">
        <v>1373</v>
      </c>
      <c r="C436" t="s">
        <v>1374</v>
      </c>
      <c r="G436" t="s">
        <v>1375</v>
      </c>
    </row>
    <row r="437" spans="1:9" x14ac:dyDescent="0.35">
      <c r="A437" t="s">
        <v>1376</v>
      </c>
      <c r="C437" t="s">
        <v>1377</v>
      </c>
      <c r="G437" t="s">
        <v>1378</v>
      </c>
    </row>
    <row r="438" spans="1:9" x14ac:dyDescent="0.35">
      <c r="A438" t="s">
        <v>1379</v>
      </c>
      <c r="C438" t="s">
        <v>1380</v>
      </c>
      <c r="G438" t="s">
        <v>1381</v>
      </c>
      <c r="H438" t="s">
        <v>1382</v>
      </c>
      <c r="I438" t="s">
        <v>1383</v>
      </c>
    </row>
    <row r="439" spans="1:9" x14ac:dyDescent="0.35">
      <c r="A439" t="s">
        <v>1384</v>
      </c>
      <c r="C439" t="s">
        <v>1385</v>
      </c>
      <c r="F439" t="s">
        <v>1386</v>
      </c>
      <c r="G439" t="s">
        <v>1387</v>
      </c>
    </row>
    <row r="440" spans="1:9" x14ac:dyDescent="0.35">
      <c r="A440" t="s">
        <v>1388</v>
      </c>
      <c r="C440" t="s">
        <v>1389</v>
      </c>
      <c r="D440" t="s">
        <v>1063</v>
      </c>
      <c r="E440" t="s">
        <v>1064</v>
      </c>
    </row>
    <row r="441" spans="1:9" x14ac:dyDescent="0.35">
      <c r="A441" t="s">
        <v>1390</v>
      </c>
      <c r="C441" t="s">
        <v>1391</v>
      </c>
      <c r="G441" t="s">
        <v>1392</v>
      </c>
    </row>
    <row r="442" spans="1:9" x14ac:dyDescent="0.35">
      <c r="A442" t="s">
        <v>1393</v>
      </c>
      <c r="C442" t="s">
        <v>1394</v>
      </c>
      <c r="G442" t="s">
        <v>1395</v>
      </c>
      <c r="H442" t="s">
        <v>1396</v>
      </c>
      <c r="I442" t="s">
        <v>1397</v>
      </c>
    </row>
    <row r="443" spans="1:9" x14ac:dyDescent="0.35">
      <c r="A443" t="s">
        <v>1398</v>
      </c>
      <c r="C443" t="s">
        <v>1394</v>
      </c>
      <c r="H443" t="s">
        <v>1399</v>
      </c>
      <c r="I443" t="s">
        <v>1400</v>
      </c>
    </row>
    <row r="444" spans="1:9" x14ac:dyDescent="0.35">
      <c r="A444" t="s">
        <v>495</v>
      </c>
      <c r="C444" t="s">
        <v>1394</v>
      </c>
      <c r="G444" t="s">
        <v>1395</v>
      </c>
      <c r="H444" t="s">
        <v>1401</v>
      </c>
      <c r="I444" t="s">
        <v>1402</v>
      </c>
    </row>
    <row r="445" spans="1:9" x14ac:dyDescent="0.35">
      <c r="A445" t="s">
        <v>1403</v>
      </c>
      <c r="C445" t="s">
        <v>1404</v>
      </c>
      <c r="H445" t="s">
        <v>1405</v>
      </c>
      <c r="I445" t="s">
        <v>1406</v>
      </c>
    </row>
    <row r="446" spans="1:9" x14ac:dyDescent="0.35">
      <c r="A446" t="s">
        <v>814</v>
      </c>
      <c r="C446" t="s">
        <v>1407</v>
      </c>
      <c r="F446" t="s">
        <v>1408</v>
      </c>
      <c r="G446" t="s">
        <v>1409</v>
      </c>
      <c r="I446" t="s">
        <v>1410</v>
      </c>
    </row>
    <row r="447" spans="1:9" x14ac:dyDescent="0.35">
      <c r="A447" t="s">
        <v>476</v>
      </c>
      <c r="C447" t="s">
        <v>1411</v>
      </c>
      <c r="H447" t="s">
        <v>1412</v>
      </c>
    </row>
    <row r="448" spans="1:9" x14ac:dyDescent="0.35">
      <c r="A448" t="s">
        <v>1413</v>
      </c>
      <c r="C448" t="s">
        <v>1414</v>
      </c>
      <c r="H448" t="s">
        <v>1415</v>
      </c>
      <c r="I448" t="s">
        <v>1416</v>
      </c>
    </row>
    <row r="449" spans="1:9" x14ac:dyDescent="0.35">
      <c r="A449" t="s">
        <v>1040</v>
      </c>
      <c r="C449" t="s">
        <v>1417</v>
      </c>
      <c r="H449" t="s">
        <v>1418</v>
      </c>
    </row>
    <row r="450" spans="1:9" x14ac:dyDescent="0.35">
      <c r="A450" t="s">
        <v>824</v>
      </c>
      <c r="C450" t="s">
        <v>1417</v>
      </c>
      <c r="I450" t="s">
        <v>1419</v>
      </c>
    </row>
    <row r="451" spans="1:9" x14ac:dyDescent="0.35">
      <c r="A451" t="s">
        <v>391</v>
      </c>
      <c r="C451" t="s">
        <v>1417</v>
      </c>
      <c r="I451" t="s">
        <v>1420</v>
      </c>
    </row>
    <row r="452" spans="1:9" x14ac:dyDescent="0.35">
      <c r="A452" t="s">
        <v>601</v>
      </c>
      <c r="C452" t="s">
        <v>1417</v>
      </c>
      <c r="G452" t="s">
        <v>1421</v>
      </c>
      <c r="H452" t="s">
        <v>1422</v>
      </c>
      <c r="I452" t="s">
        <v>1423</v>
      </c>
    </row>
    <row r="453" spans="1:9" x14ac:dyDescent="0.35">
      <c r="A453" t="s">
        <v>1196</v>
      </c>
      <c r="C453" t="s">
        <v>1424</v>
      </c>
      <c r="H453" t="s">
        <v>1425</v>
      </c>
    </row>
    <row r="454" spans="1:9" x14ac:dyDescent="0.35">
      <c r="A454" t="s">
        <v>447</v>
      </c>
      <c r="C454" t="s">
        <v>1426</v>
      </c>
      <c r="I454" t="s">
        <v>1427</v>
      </c>
    </row>
    <row r="455" spans="1:9" x14ac:dyDescent="0.35">
      <c r="C455" t="s">
        <v>1428</v>
      </c>
      <c r="D455" t="s">
        <v>1429</v>
      </c>
      <c r="G455">
        <v>1233</v>
      </c>
      <c r="H455" t="s">
        <v>1430</v>
      </c>
    </row>
    <row r="456" spans="1:9" x14ac:dyDescent="0.35">
      <c r="A456" t="s">
        <v>1431</v>
      </c>
      <c r="C456" t="s">
        <v>1432</v>
      </c>
      <c r="H456" t="s">
        <v>1433</v>
      </c>
    </row>
    <row r="457" spans="1:9" x14ac:dyDescent="0.35">
      <c r="A457" t="s">
        <v>606</v>
      </c>
      <c r="C457" t="s">
        <v>1434</v>
      </c>
    </row>
    <row r="458" spans="1:9" x14ac:dyDescent="0.35">
      <c r="A458" t="s">
        <v>650</v>
      </c>
      <c r="C458" t="s">
        <v>1435</v>
      </c>
      <c r="G458" t="s">
        <v>1174</v>
      </c>
      <c r="I458" t="s">
        <v>1436</v>
      </c>
    </row>
    <row r="459" spans="1:9" x14ac:dyDescent="0.35">
      <c r="A459" t="s">
        <v>1437</v>
      </c>
      <c r="B459" t="s">
        <v>383</v>
      </c>
      <c r="C459" t="s">
        <v>1438</v>
      </c>
      <c r="I459" t="s">
        <v>1439</v>
      </c>
    </row>
    <row r="460" spans="1:9" x14ac:dyDescent="0.35">
      <c r="A460" t="s">
        <v>322</v>
      </c>
      <c r="B460" t="s">
        <v>157</v>
      </c>
      <c r="C460" t="s">
        <v>1440</v>
      </c>
      <c r="G460">
        <v>31135134277</v>
      </c>
      <c r="H460">
        <v>31616574510</v>
      </c>
      <c r="I460" t="s">
        <v>1441</v>
      </c>
    </row>
    <row r="461" spans="1:9" x14ac:dyDescent="0.35">
      <c r="A461" t="s">
        <v>1442</v>
      </c>
      <c r="C461" t="s">
        <v>1443</v>
      </c>
      <c r="G461" t="s">
        <v>1444</v>
      </c>
      <c r="I461" t="s">
        <v>1445</v>
      </c>
    </row>
    <row r="462" spans="1:9" x14ac:dyDescent="0.35">
      <c r="A462" t="s">
        <v>1446</v>
      </c>
      <c r="C462" t="s">
        <v>1443</v>
      </c>
      <c r="G462" t="s">
        <v>1447</v>
      </c>
    </row>
    <row r="463" spans="1:9" x14ac:dyDescent="0.35">
      <c r="A463" t="s">
        <v>187</v>
      </c>
      <c r="B463" t="s">
        <v>383</v>
      </c>
      <c r="C463" t="s">
        <v>1448</v>
      </c>
      <c r="G463" t="s">
        <v>1449</v>
      </c>
      <c r="I463" t="s">
        <v>1450</v>
      </c>
    </row>
    <row r="464" spans="1:9" x14ac:dyDescent="0.35">
      <c r="A464" t="s">
        <v>1548</v>
      </c>
      <c r="B464" t="s">
        <v>383</v>
      </c>
      <c r="C464" t="s">
        <v>1448</v>
      </c>
      <c r="I464" t="s">
        <v>1451</v>
      </c>
    </row>
    <row r="465" spans="1:9" x14ac:dyDescent="0.35">
      <c r="A465" t="s">
        <v>1549</v>
      </c>
      <c r="C465" t="s">
        <v>1452</v>
      </c>
    </row>
    <row r="466" spans="1:9" x14ac:dyDescent="0.35">
      <c r="A466" t="s">
        <v>1453</v>
      </c>
      <c r="C466" t="s">
        <v>1454</v>
      </c>
      <c r="G466" t="s">
        <v>502</v>
      </c>
      <c r="I466" t="s">
        <v>504</v>
      </c>
    </row>
    <row r="467" spans="1:9" x14ac:dyDescent="0.35">
      <c r="A467" t="s">
        <v>1455</v>
      </c>
      <c r="C467" t="s">
        <v>1454</v>
      </c>
      <c r="I467" t="s">
        <v>1456</v>
      </c>
    </row>
    <row r="468" spans="1:9" x14ac:dyDescent="0.35">
      <c r="A468" t="s">
        <v>1457</v>
      </c>
      <c r="C468" t="s">
        <v>1458</v>
      </c>
      <c r="G468" t="s">
        <v>177</v>
      </c>
      <c r="H468" t="s">
        <v>1459</v>
      </c>
      <c r="I468" t="s">
        <v>1460</v>
      </c>
    </row>
    <row r="469" spans="1:9" x14ac:dyDescent="0.35">
      <c r="A469" t="s">
        <v>1461</v>
      </c>
      <c r="C469" t="s">
        <v>1462</v>
      </c>
      <c r="H469" t="s">
        <v>1463</v>
      </c>
      <c r="I469" t="s">
        <v>1464</v>
      </c>
    </row>
    <row r="470" spans="1:9" x14ac:dyDescent="0.35">
      <c r="A470" t="s">
        <v>402</v>
      </c>
      <c r="C470" t="s">
        <v>1465</v>
      </c>
      <c r="H470" t="s">
        <v>1466</v>
      </c>
      <c r="I470" t="s">
        <v>1467</v>
      </c>
    </row>
    <row r="471" spans="1:9" x14ac:dyDescent="0.35">
      <c r="A471" t="s">
        <v>1550</v>
      </c>
      <c r="C471" t="s">
        <v>1468</v>
      </c>
      <c r="G471" t="s">
        <v>638</v>
      </c>
      <c r="H471" t="s">
        <v>1469</v>
      </c>
      <c r="I471" t="s">
        <v>1470</v>
      </c>
    </row>
    <row r="472" spans="1:9" x14ac:dyDescent="0.35">
      <c r="A472" t="s">
        <v>346</v>
      </c>
      <c r="B472" t="s">
        <v>157</v>
      </c>
      <c r="C472" t="s">
        <v>1471</v>
      </c>
      <c r="H472" t="s">
        <v>1472</v>
      </c>
      <c r="I472" t="s">
        <v>1473</v>
      </c>
    </row>
    <row r="473" spans="1:9" x14ac:dyDescent="0.35">
      <c r="A473" t="s">
        <v>1474</v>
      </c>
      <c r="C473" t="s">
        <v>1475</v>
      </c>
      <c r="H473" t="s">
        <v>1476</v>
      </c>
    </row>
    <row r="474" spans="1:9" x14ac:dyDescent="0.35">
      <c r="A474" t="s">
        <v>1477</v>
      </c>
      <c r="C474" t="s">
        <v>1478</v>
      </c>
      <c r="G474" t="s">
        <v>1479</v>
      </c>
    </row>
    <row r="475" spans="1:9" x14ac:dyDescent="0.35">
      <c r="A475" t="s">
        <v>1480</v>
      </c>
      <c r="B475" t="s">
        <v>125</v>
      </c>
      <c r="C475" t="s">
        <v>1481</v>
      </c>
      <c r="D475" t="s">
        <v>1482</v>
      </c>
      <c r="H475" t="s">
        <v>1483</v>
      </c>
    </row>
    <row r="476" spans="1:9" x14ac:dyDescent="0.35">
      <c r="A476" t="s">
        <v>1484</v>
      </c>
      <c r="C476" t="s">
        <v>1485</v>
      </c>
      <c r="G476" t="s">
        <v>438</v>
      </c>
    </row>
    <row r="477" spans="1:9" x14ac:dyDescent="0.35">
      <c r="A477" t="s">
        <v>98</v>
      </c>
      <c r="C477" t="s">
        <v>1486</v>
      </c>
      <c r="G477" t="s">
        <v>1487</v>
      </c>
      <c r="H477" t="s">
        <v>1488</v>
      </c>
    </row>
    <row r="478" spans="1:9" x14ac:dyDescent="0.35">
      <c r="A478" t="s">
        <v>1489</v>
      </c>
      <c r="C478" t="s">
        <v>1490</v>
      </c>
      <c r="F478" t="s">
        <v>1491</v>
      </c>
      <c r="H478" t="s">
        <v>1492</v>
      </c>
      <c r="I478" t="s">
        <v>1493</v>
      </c>
    </row>
    <row r="479" spans="1:9" x14ac:dyDescent="0.35">
      <c r="A479" t="s">
        <v>476</v>
      </c>
      <c r="C479" t="s">
        <v>1494</v>
      </c>
      <c r="I479" t="s">
        <v>1495</v>
      </c>
    </row>
    <row r="480" spans="1:9" x14ac:dyDescent="0.35">
      <c r="A480" t="s">
        <v>1496</v>
      </c>
      <c r="C480" t="s">
        <v>1497</v>
      </c>
      <c r="G480" t="s">
        <v>1498</v>
      </c>
      <c r="H480" t="s">
        <v>1499</v>
      </c>
      <c r="I480" t="s">
        <v>1500</v>
      </c>
    </row>
    <row r="481" spans="1:9" x14ac:dyDescent="0.35">
      <c r="A481" t="s">
        <v>346</v>
      </c>
      <c r="C481" t="s">
        <v>1501</v>
      </c>
      <c r="G481" t="s">
        <v>1502</v>
      </c>
      <c r="I481" t="s">
        <v>1503</v>
      </c>
    </row>
    <row r="482" spans="1:9" x14ac:dyDescent="0.35">
      <c r="A482" t="s">
        <v>1504</v>
      </c>
      <c r="C482" t="s">
        <v>1505</v>
      </c>
    </row>
    <row r="483" spans="1:9" x14ac:dyDescent="0.35">
      <c r="A483" t="s">
        <v>1506</v>
      </c>
      <c r="C483" t="s">
        <v>1505</v>
      </c>
      <c r="H483" t="s">
        <v>1507</v>
      </c>
      <c r="I483" t="s">
        <v>1508</v>
      </c>
    </row>
    <row r="484" spans="1:9" x14ac:dyDescent="0.35">
      <c r="A484" t="s">
        <v>1509</v>
      </c>
      <c r="C484" t="s">
        <v>1505</v>
      </c>
    </row>
    <row r="485" spans="1:9" x14ac:dyDescent="0.35">
      <c r="A485" t="s">
        <v>799</v>
      </c>
      <c r="C485" t="s">
        <v>1505</v>
      </c>
      <c r="G485" t="s">
        <v>1498</v>
      </c>
      <c r="H485" t="s">
        <v>1510</v>
      </c>
      <c r="I485" t="s">
        <v>1511</v>
      </c>
    </row>
    <row r="486" spans="1:9" x14ac:dyDescent="0.35">
      <c r="A486" t="s">
        <v>1512</v>
      </c>
      <c r="C486" t="s">
        <v>1513</v>
      </c>
      <c r="D486" t="s">
        <v>1482</v>
      </c>
      <c r="H486" t="s">
        <v>1514</v>
      </c>
    </row>
    <row r="487" spans="1:9" x14ac:dyDescent="0.35">
      <c r="A487" t="s">
        <v>1515</v>
      </c>
      <c r="C487" t="s">
        <v>1516</v>
      </c>
      <c r="G487" t="s">
        <v>1517</v>
      </c>
      <c r="I487" t="s">
        <v>1518</v>
      </c>
    </row>
    <row r="488" spans="1:9" x14ac:dyDescent="0.35">
      <c r="A488" t="s">
        <v>1551</v>
      </c>
      <c r="B488" t="s">
        <v>157</v>
      </c>
      <c r="C488" t="s">
        <v>1519</v>
      </c>
      <c r="G488" t="s">
        <v>1520</v>
      </c>
    </row>
    <row r="489" spans="1:9" x14ac:dyDescent="0.35">
      <c r="A489" t="s">
        <v>1521</v>
      </c>
      <c r="C489" t="s">
        <v>1522</v>
      </c>
      <c r="G489" t="s">
        <v>1523</v>
      </c>
      <c r="H489" t="s">
        <v>1524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A1:AJ489"/>
  <sheetViews>
    <sheetView tabSelected="1" topLeftCell="A480" workbookViewId="0">
      <selection activeCell="A490" sqref="A490"/>
    </sheetView>
  </sheetViews>
  <sheetFormatPr defaultRowHeight="14.5" x14ac:dyDescent="0.35"/>
  <cols>
    <col min="1" max="1" width="114.81640625" customWidth="1"/>
    <col min="2" max="3" width="159.6328125" customWidth="1"/>
    <col min="4" max="4" width="100.08984375" customWidth="1"/>
    <col min="5" max="5" width="145.81640625" customWidth="1"/>
    <col min="6" max="6" width="21.1796875" customWidth="1"/>
    <col min="7" max="7" width="57.90625" customWidth="1"/>
    <col min="8" max="8" width="154.90625" customWidth="1"/>
    <col min="9" max="9" width="89.36328125" customWidth="1"/>
    <col min="10" max="10" width="161.36328125" customWidth="1"/>
    <col min="11" max="12" width="12" style="5" customWidth="1"/>
    <col min="13" max="13" width="16.453125" style="5" customWidth="1"/>
    <col min="14" max="14" width="58.81640625" style="5" customWidth="1"/>
    <col min="15" max="17" width="16.453125" style="5" customWidth="1"/>
    <col min="18" max="18" width="56.81640625" style="5" customWidth="1"/>
    <col min="19" max="21" width="16.453125" style="5" customWidth="1"/>
    <col min="22" max="22" width="55.90625" style="5" customWidth="1"/>
    <col min="23" max="25" width="16.453125" style="5" customWidth="1"/>
    <col min="26" max="26" width="35.54296875" customWidth="1"/>
    <col min="27" max="27" width="19.1796875" customWidth="1"/>
    <col min="34" max="34" width="33.6328125" customWidth="1"/>
    <col min="35" max="35" width="15.453125" customWidth="1"/>
    <col min="36" max="36" width="12.54296875" style="5" customWidth="1"/>
  </cols>
  <sheetData>
    <row r="1" spans="1:36" x14ac:dyDescent="0.35">
      <c r="A1" s="6" t="s">
        <v>33</v>
      </c>
      <c r="C1" s="6"/>
      <c r="D1" s="1" t="s">
        <v>25</v>
      </c>
      <c r="E1" s="1" t="s">
        <v>26</v>
      </c>
      <c r="F1" s="1" t="s">
        <v>16</v>
      </c>
      <c r="G1" s="1" t="s">
        <v>17</v>
      </c>
      <c r="H1" s="1" t="s">
        <v>32</v>
      </c>
      <c r="I1" s="1" t="s">
        <v>31</v>
      </c>
      <c r="J1" s="1" t="s">
        <v>28</v>
      </c>
      <c r="K1" s="4" t="s">
        <v>9</v>
      </c>
      <c r="L1" s="4" t="s">
        <v>18</v>
      </c>
      <c r="M1" s="4" t="s">
        <v>8</v>
      </c>
      <c r="N1" s="1" t="s">
        <v>22</v>
      </c>
      <c r="O1" s="4" t="s">
        <v>10</v>
      </c>
      <c r="P1" s="4" t="s">
        <v>19</v>
      </c>
      <c r="Q1" s="4" t="s">
        <v>11</v>
      </c>
      <c r="R1" s="1" t="s">
        <v>23</v>
      </c>
      <c r="S1" s="4" t="s">
        <v>12</v>
      </c>
      <c r="T1" s="4" t="s">
        <v>20</v>
      </c>
      <c r="U1" s="4" t="s">
        <v>13</v>
      </c>
      <c r="V1" s="1" t="s">
        <v>24</v>
      </c>
      <c r="W1" s="4" t="s">
        <v>14</v>
      </c>
      <c r="X1" s="4" t="s">
        <v>21</v>
      </c>
      <c r="Y1" s="4" t="s">
        <v>15</v>
      </c>
      <c r="Z1" s="1" t="s">
        <v>4</v>
      </c>
      <c r="AA1" s="1" t="s">
        <v>2</v>
      </c>
      <c r="AB1" s="1" t="s">
        <v>5</v>
      </c>
      <c r="AC1" s="1" t="s">
        <v>0</v>
      </c>
      <c r="AD1" s="1" t="s">
        <v>1</v>
      </c>
      <c r="AE1" s="1" t="s">
        <v>6</v>
      </c>
      <c r="AF1" s="1" t="s">
        <v>3</v>
      </c>
      <c r="AG1" s="1" t="s">
        <v>7</v>
      </c>
      <c r="AH1" s="1" t="s">
        <v>27</v>
      </c>
      <c r="AI1" s="1" t="s">
        <v>29</v>
      </c>
      <c r="AJ1" s="4" t="s">
        <v>30</v>
      </c>
    </row>
    <row r="2" spans="1:36" x14ac:dyDescent="0.35">
      <c r="A2" s="7" t="str">
        <f t="shared" ref="A2" si="0">IF(+W2 = 0,"",+D2)</f>
        <v>&lt;contact&gt;&lt;category&gt;0&lt;/category&gt;&lt;person&gt;&lt;realName&gt;(Aannemer), Ron   &lt;/realName&gt;&lt;/person&gt;</v>
      </c>
      <c r="B2" s="7" t="str">
        <f>IF(+W2 = 0,"",+E2)</f>
        <v>&lt;telephony nid="1"&gt;&lt;number id="0" prio="1" type="mobile"&gt;31610456086&lt;/number&gt;&lt;/telephony&gt;</v>
      </c>
      <c r="C2" s="7" t="str">
        <f>IF(+W2 = 0,"",+J2)</f>
        <v>&lt;services /&gt;&lt;setup /&gt;&lt;mod_time&gt;1500000010&lt;/mod_time&gt;&lt;uniqueid&gt;1&lt;/uniqueid&gt;&lt;/contact&gt;</v>
      </c>
      <c r="D2" t="str">
        <f>CONCATENATE("&lt;contact&gt;&lt;category&gt;0&lt;/category&gt;&lt;person&gt;&lt;realName&gt;",+Z2,"&lt;/realName&gt;&lt;/person&gt;")</f>
        <v>&lt;contact&gt;&lt;category&gt;0&lt;/category&gt;&lt;person&gt;&lt;realName&gt;(Aannemer), Ron   &lt;/realName&gt;&lt;/person&gt;</v>
      </c>
      <c r="E2" t="str">
        <f t="shared" ref="E2" si="1">CONCATENATE(+F2,+G2,+N2,+R2,+V2,"&lt;/telephony&gt;")</f>
        <v>&lt;telephony nid="1"&gt;&lt;number id="0" prio="1" type="mobile"&gt;31610456086&lt;/number&gt;&lt;/telephony&gt;</v>
      </c>
      <c r="F2" t="str">
        <f t="shared" ref="F2" si="2">CONCATENATE("&lt;telephony nid=""",+W2,"""&gt;")</f>
        <v>&lt;telephony nid="1"&gt;</v>
      </c>
      <c r="G2" t="str">
        <f>IF(+K2 &gt; 0,+CONCATENATE("&lt;number id=""",+K2-1,""" prio=""",+L2,""" type=""work""&gt;",+M2,"&lt;/number&gt;"),"")</f>
        <v/>
      </c>
      <c r="H2" t="str">
        <f>CONCATENATE("&lt;services nid=""1""&gt;&lt;email id=""0"" classifier=""private""&gt;",+AH2,"&lt;/email&gt;&lt;/services&gt;&lt;setup /&gt;&lt;mod_time&gt;",+AI2,"&lt;/mod_time&gt;&lt;uniqueid&gt;",+AJ2,"&lt;/uniqueid&gt;&lt;/contact&gt;")</f>
        <v>&lt;services nid="1"&gt;&lt;email id="0" classifier="private"&gt;&lt;/email&gt;&lt;/services&gt;&lt;setup /&gt;&lt;mod_time&gt;1500000010&lt;/mod_time&gt;&lt;uniqueid&gt;1&lt;/uniqueid&gt;&lt;/contact&gt;</v>
      </c>
      <c r="I2" t="str">
        <f>CONCATENATE("&lt;services /&gt;&lt;setup /&gt;&lt;mod_time&gt;",+AI2,"&lt;/mod_time&gt;&lt;uniqueid&gt;",+AJ2,"&lt;/uniqueid&gt;&lt;/contact&gt;")</f>
        <v>&lt;services /&gt;&lt;setup /&gt;&lt;mod_time&gt;1500000010&lt;/mod_time&gt;&lt;uniqueid&gt;1&lt;/uniqueid&gt;&lt;/contact&gt;</v>
      </c>
      <c r="J2" t="str">
        <f>+IF(+AH2 = "",+I2,+H2)</f>
        <v>&lt;services /&gt;&lt;setup /&gt;&lt;mod_time&gt;1500000010&lt;/mod_time&gt;&lt;uniqueid&gt;1&lt;/uniqueid&gt;&lt;/contact&gt;</v>
      </c>
      <c r="K2" s="5">
        <f>IF(+M2 = "",0,1)</f>
        <v>0</v>
      </c>
      <c r="L2" s="5">
        <f>IF(+K2 = 1,1,0)</f>
        <v>0</v>
      </c>
      <c r="M2" s="5" t="str">
        <f>CONCATENATE(+Contacts!E2)</f>
        <v/>
      </c>
      <c r="N2" t="str">
        <f>IF(+O2 &gt; +K2,+CONCATENATE("&lt;number id=""",+O2-1,""" prio=""",+P2,""" type=""home""&gt;",+Q2,"&lt;/number&gt;"),"")</f>
        <v/>
      </c>
      <c r="O2" s="5">
        <f>IF(+Q2 = "",+K2,+K2+1)</f>
        <v>0</v>
      </c>
      <c r="P2" s="5">
        <f>IF(+O2 = 1,1,0)</f>
        <v>0</v>
      </c>
      <c r="Q2" s="5" t="str">
        <f>CONCATENATE(+Contacts!G2)</f>
        <v/>
      </c>
      <c r="R2" t="str">
        <f>IF(+S2 &gt; +O2,+CONCATENATE("&lt;number id=""",+S2-1,""" prio=""",+T2,""" type=""mobile""&gt;",+U2,"&lt;/number&gt;"),"")</f>
        <v>&lt;number id="0" prio="1" type="mobile"&gt;31610456086&lt;/number&gt;</v>
      </c>
      <c r="S2" s="5">
        <f>IF(+U2 = "",+O2,+O2+1)</f>
        <v>1</v>
      </c>
      <c r="T2" s="5">
        <f>IF(+S2 = 1,1,0)</f>
        <v>1</v>
      </c>
      <c r="U2" s="5" t="str">
        <f>CONCATENATE(+Contacts!H2)</f>
        <v>31610456086</v>
      </c>
      <c r="V2" t="str">
        <f>IF(+W2 &gt; +S2,+CONCATENATE("&lt;number id=""",+W2-1,""" prio=""",+X2,""" type=""work""&gt;",+Y2,"&lt;/number&gt;"),"")</f>
        <v/>
      </c>
      <c r="W2" s="5">
        <f>IF(+Y2 = "",+S2,+S2+1)</f>
        <v>1</v>
      </c>
      <c r="X2" s="5">
        <f>IF(+W2 = 1,1,0)</f>
        <v>1</v>
      </c>
      <c r="Y2" s="5" t="str">
        <f>CONCATENATE(+Contacts!F2)</f>
        <v/>
      </c>
      <c r="Z2" s="2" t="str">
        <f>CONCATENATE(+AA2,+AB2,+AC2,+AD2,+AE2,+AF2,+AG2)</f>
        <v xml:space="preserve">(Aannemer), Ron   </v>
      </c>
      <c r="AA2" s="2" t="str">
        <f>CONCATENATE(+Contacts!C2)</f>
        <v>(Aannemer)</v>
      </c>
      <c r="AB2" s="2" t="str">
        <f t="shared" ref="AB2" si="3">IF(+AC2 = ""," ",", ")</f>
        <v xml:space="preserve">, </v>
      </c>
      <c r="AC2" s="2" t="str">
        <f>CONCATENATE(+Contacts!A2)</f>
        <v>Ron</v>
      </c>
      <c r="AD2" s="3" t="str">
        <f>CONCATENATE(" ",+Contacts!B2)</f>
        <v xml:space="preserve"> </v>
      </c>
      <c r="AE2" s="2" t="str">
        <f t="shared" ref="AE2" si="4">IF(+AF2 = ""," ","(")</f>
        <v xml:space="preserve"> </v>
      </c>
      <c r="AF2" s="3" t="str">
        <f>CONCATENATE(+Contacts!D2)</f>
        <v/>
      </c>
      <c r="AG2" s="2" t="str">
        <f t="shared" ref="AG2" si="5">IF(+AF2 = ""," ",")")</f>
        <v xml:space="preserve"> </v>
      </c>
      <c r="AH2" t="str">
        <f>CONCATENATE(+Contacts!I2)</f>
        <v/>
      </c>
      <c r="AI2">
        <v>1500000010</v>
      </c>
      <c r="AJ2" s="5">
        <f>IF(+W2 = 0,0,1)</f>
        <v>1</v>
      </c>
    </row>
    <row r="3" spans="1:36" x14ac:dyDescent="0.35">
      <c r="A3" s="7" t="str">
        <f t="shared" ref="A3:A66" si="6">IF(+W3 = 0,"",+D3)</f>
        <v>&lt;contact&gt;&lt;category&gt;0&lt;/category&gt;&lt;person&gt;&lt;realName&gt;Abbink, Kora (Koremi)&lt;/realName&gt;&lt;/person&gt;</v>
      </c>
      <c r="B3" s="7" t="str">
        <f t="shared" ref="B3:B66" si="7">IF(+W3 = 0,"",+E3)</f>
        <v>&lt;telephony nid="2"&gt;&lt;number id="0" prio="1" type="home"&gt;+31 6 36 38 47 21&lt;/number&gt;&lt;number id="1" prio="0" type="work"&gt;+31 10 420 40 90&lt;/number&gt;&lt;/telephony&gt;</v>
      </c>
      <c r="C3" s="7" t="str">
        <f t="shared" ref="C3:C66" si="8">IF(+W3 = 0,"",+J3)</f>
        <v>&lt;services /&gt;&lt;setup /&gt;&lt;mod_time&gt;1500000010&lt;/mod_time&gt;&lt;uniqueid&gt;1&lt;/uniqueid&gt;&lt;/contact&gt;</v>
      </c>
      <c r="D3" t="str">
        <f t="shared" ref="D3:D66" si="9">CONCATENATE("&lt;contact&gt;&lt;category&gt;0&lt;/category&gt;&lt;person&gt;&lt;realName&gt;",+Z3,"&lt;/realName&gt;&lt;/person&gt;")</f>
        <v>&lt;contact&gt;&lt;category&gt;0&lt;/category&gt;&lt;person&gt;&lt;realName&gt;Abbink, Kora (Koremi)&lt;/realName&gt;&lt;/person&gt;</v>
      </c>
      <c r="E3" t="str">
        <f t="shared" ref="E3:E66" si="10">CONCATENATE(+F3,+G3,+N3,+R3,+V3,"&lt;/telephony&gt;")</f>
        <v>&lt;telephony nid="2"&gt;&lt;number id="0" prio="1" type="home"&gt;+31 6 36 38 47 21&lt;/number&gt;&lt;number id="1" prio="0" type="work"&gt;+31 10 420 40 90&lt;/number&gt;&lt;/telephony&gt;</v>
      </c>
      <c r="F3" t="str">
        <f t="shared" ref="F3:F66" si="11">CONCATENATE("&lt;telephony nid=""",+W3,"""&gt;")</f>
        <v>&lt;telephony nid="2"&gt;</v>
      </c>
      <c r="G3" t="str">
        <f t="shared" ref="G3:G66" si="12">IF(+K3 &gt; 0,+CONCATENATE("&lt;number id=""",+K3-1,""" prio=""",+L3,""" type=""work""&gt;",+M3,"&lt;/number&gt;"),"")</f>
        <v/>
      </c>
      <c r="H3" t="str">
        <f t="shared" ref="H3:H66" si="13">CONCATENATE("&lt;services nid=""1""&gt;&lt;email id=""0"" classifier=""private""&gt;",+AH3,"&lt;/email&gt;&lt;/services&gt;&lt;setup /&gt;&lt;mod_time&gt;",+AI3,"&lt;/mod_time&gt;&lt;uniqueid&gt;",+AJ3,"&lt;/uniqueid&gt;&lt;/contact&gt;")</f>
        <v>&lt;services nid="1"&gt;&lt;email id="0" classifier="private"&gt;&lt;/email&gt;&lt;/services&gt;&lt;setup /&gt;&lt;mod_time&gt;1500000010&lt;/mod_time&gt;&lt;uniqueid&gt;1&lt;/uniqueid&gt;&lt;/contact&gt;</v>
      </c>
      <c r="I3" t="str">
        <f t="shared" ref="I3:I66" si="14">CONCATENATE("&lt;services /&gt;&lt;setup /&gt;&lt;mod_time&gt;",+AI3,"&lt;/mod_time&gt;&lt;uniqueid&gt;",+AJ3,"&lt;/uniqueid&gt;&lt;/contact&gt;")</f>
        <v>&lt;services /&gt;&lt;setup /&gt;&lt;mod_time&gt;1500000010&lt;/mod_time&gt;&lt;uniqueid&gt;1&lt;/uniqueid&gt;&lt;/contact&gt;</v>
      </c>
      <c r="J3" t="str">
        <f t="shared" ref="J3:J66" si="15">+IF(+AH3 = "",+I3,+H3)</f>
        <v>&lt;services /&gt;&lt;setup /&gt;&lt;mod_time&gt;1500000010&lt;/mod_time&gt;&lt;uniqueid&gt;1&lt;/uniqueid&gt;&lt;/contact&gt;</v>
      </c>
      <c r="K3" s="5">
        <f t="shared" ref="K3:K66" si="16">IF(+M3 = "",0,1)</f>
        <v>0</v>
      </c>
      <c r="L3" s="5">
        <f t="shared" ref="L3:L66" si="17">IF(+K3 = 1,1,0)</f>
        <v>0</v>
      </c>
      <c r="M3" s="5" t="str">
        <f>CONCATENATE(+Contacts!E3)</f>
        <v/>
      </c>
      <c r="N3" t="str">
        <f t="shared" ref="N3:N66" si="18">IF(+O3 &gt; +K3,+CONCATENATE("&lt;number id=""",+O3-1,""" prio=""",+P3,""" type=""home""&gt;",+Q3,"&lt;/number&gt;"),"")</f>
        <v>&lt;number id="0" prio="1" type="home"&gt;+31 6 36 38 47 21&lt;/number&gt;</v>
      </c>
      <c r="O3" s="5">
        <f t="shared" ref="O3:O66" si="19">IF(+Q3 = "",+K3,+K3+1)</f>
        <v>1</v>
      </c>
      <c r="P3" s="5">
        <f t="shared" ref="P3:P66" si="20">IF(+O3 = 1,1,0)</f>
        <v>1</v>
      </c>
      <c r="Q3" s="5" t="str">
        <f>CONCATENATE(+Contacts!G3)</f>
        <v>+31 6 36 38 47 21</v>
      </c>
      <c r="R3" t="str">
        <f t="shared" ref="R3:R66" si="21">IF(+S3 &gt; +O3,+CONCATENATE("&lt;number id=""",+S3-1,""" prio=""",+T3,""" type=""mobile""&gt;",+U3,"&lt;/number&gt;"),"")</f>
        <v/>
      </c>
      <c r="S3" s="5">
        <f t="shared" ref="S3:S66" si="22">IF(+U3 = "",+O3,+O3+1)</f>
        <v>1</v>
      </c>
      <c r="T3" s="5">
        <f t="shared" ref="T3:T66" si="23">IF(+S3 = 1,1,0)</f>
        <v>1</v>
      </c>
      <c r="U3" s="5" t="str">
        <f>CONCATENATE(+Contacts!H3)</f>
        <v/>
      </c>
      <c r="V3" t="str">
        <f t="shared" ref="V3:V66" si="24">IF(+W3 &gt; +S3,+CONCATENATE("&lt;number id=""",+W3-1,""" prio=""",+X3,""" type=""work""&gt;",+Y3,"&lt;/number&gt;"),"")</f>
        <v>&lt;number id="1" prio="0" type="work"&gt;+31 10 420 40 90&lt;/number&gt;</v>
      </c>
      <c r="W3" s="5">
        <f t="shared" ref="W3:W66" si="25">IF(+Y3 = "",+S3,+S3+1)</f>
        <v>2</v>
      </c>
      <c r="X3" s="5">
        <f t="shared" ref="X3:X66" si="26">IF(+W3 = 1,1,0)</f>
        <v>0</v>
      </c>
      <c r="Y3" s="5" t="str">
        <f>CONCATENATE(+Contacts!F3)</f>
        <v>+31 10 420 40 90</v>
      </c>
      <c r="Z3" s="2" t="str">
        <f t="shared" ref="Z3:Z66" si="27">CONCATENATE(+AA3,+AB3,+AC3,+AD3,+AE3,+AF3,+AG3)</f>
        <v>Abbink, Kora (Koremi)</v>
      </c>
      <c r="AA3" s="2" t="str">
        <f>CONCATENATE(+Contacts!C3)</f>
        <v>Abbink</v>
      </c>
      <c r="AB3" s="2" t="str">
        <f t="shared" ref="AB3:AB66" si="28">IF(+AC3 = ""," ",", ")</f>
        <v xml:space="preserve">, </v>
      </c>
      <c r="AC3" s="2" t="str">
        <f>CONCATENATE(+Contacts!A3)</f>
        <v>Kora</v>
      </c>
      <c r="AD3" s="3" t="str">
        <f>CONCATENATE(" ",+Contacts!B3)</f>
        <v xml:space="preserve"> </v>
      </c>
      <c r="AE3" s="2" t="str">
        <f t="shared" ref="AE3:AE66" si="29">IF(+AF3 = ""," ","(")</f>
        <v>(</v>
      </c>
      <c r="AF3" s="3" t="str">
        <f>CONCATENATE(+Contacts!D3)</f>
        <v>Koremi</v>
      </c>
      <c r="AG3" s="2" t="str">
        <f t="shared" ref="AG3:AG66" si="30">IF(+AF3 = ""," ",")")</f>
        <v>)</v>
      </c>
      <c r="AH3" t="str">
        <f>CONCATENATE(+Contacts!I3)</f>
        <v/>
      </c>
      <c r="AI3">
        <v>1500000010</v>
      </c>
      <c r="AJ3" s="5">
        <f t="shared" ref="AJ3:AJ66" si="31">IF(+W3 = 0,0,1)</f>
        <v>1</v>
      </c>
    </row>
    <row r="4" spans="1:36" x14ac:dyDescent="0.35">
      <c r="A4" s="7" t="str">
        <f t="shared" si="6"/>
        <v>&lt;contact&gt;&lt;category&gt;0&lt;/category&gt;&lt;person&gt;&lt;realName&gt;Adam Brand Store  (Kledingwinkel)&lt;/realName&gt;&lt;/person&gt;</v>
      </c>
      <c r="B4" s="7" t="str">
        <f t="shared" si="7"/>
        <v>&lt;telephony nid="2"&gt;&lt;number id="0" prio="1" type="work"&gt;+31 883274327&lt;/number&gt;&lt;number id="1" prio="0" type="work"&gt;+31 104202632&lt;/number&gt;&lt;/telephony&gt;</v>
      </c>
      <c r="C4" s="7" t="str">
        <f t="shared" si="8"/>
        <v>&lt;services /&gt;&lt;setup /&gt;&lt;mod_time&gt;1500000010&lt;/mod_time&gt;&lt;uniqueid&gt;1&lt;/uniqueid&gt;&lt;/contact&gt;</v>
      </c>
      <c r="D4" t="str">
        <f t="shared" si="9"/>
        <v>&lt;contact&gt;&lt;category&gt;0&lt;/category&gt;&lt;person&gt;&lt;realName&gt;Adam Brand Store  (Kledingwinkel)&lt;/realName&gt;&lt;/person&gt;</v>
      </c>
      <c r="E4" t="str">
        <f t="shared" si="10"/>
        <v>&lt;telephony nid="2"&gt;&lt;number id="0" prio="1" type="work"&gt;+31 883274327&lt;/number&gt;&lt;number id="1" prio="0" type="work"&gt;+31 104202632&lt;/number&gt;&lt;/telephony&gt;</v>
      </c>
      <c r="F4" t="str">
        <f t="shared" si="11"/>
        <v>&lt;telephony nid="2"&gt;</v>
      </c>
      <c r="G4" t="str">
        <f t="shared" si="12"/>
        <v>&lt;number id="0" prio="1" type="work"&gt;+31 883274327&lt;/number&gt;</v>
      </c>
      <c r="H4" t="str">
        <f t="shared" si="13"/>
        <v>&lt;services nid="1"&gt;&lt;email id="0" classifier="private"&gt;&lt;/email&gt;&lt;/services&gt;&lt;setup /&gt;&lt;mod_time&gt;1500000010&lt;/mod_time&gt;&lt;uniqueid&gt;1&lt;/uniqueid&gt;&lt;/contact&gt;</v>
      </c>
      <c r="I4" t="str">
        <f t="shared" si="14"/>
        <v>&lt;services /&gt;&lt;setup /&gt;&lt;mod_time&gt;1500000010&lt;/mod_time&gt;&lt;uniqueid&gt;1&lt;/uniqueid&gt;&lt;/contact&gt;</v>
      </c>
      <c r="J4" t="str">
        <f t="shared" si="15"/>
        <v>&lt;services /&gt;&lt;setup /&gt;&lt;mod_time&gt;1500000010&lt;/mod_time&gt;&lt;uniqueid&gt;1&lt;/uniqueid&gt;&lt;/contact&gt;</v>
      </c>
      <c r="K4" s="5">
        <f t="shared" si="16"/>
        <v>1</v>
      </c>
      <c r="L4" s="5">
        <f t="shared" si="17"/>
        <v>1</v>
      </c>
      <c r="M4" s="5" t="str">
        <f>CONCATENATE(+Contacts!E4)</f>
        <v>+31 883274327</v>
      </c>
      <c r="N4" t="str">
        <f t="shared" si="18"/>
        <v/>
      </c>
      <c r="O4" s="5">
        <f t="shared" si="19"/>
        <v>1</v>
      </c>
      <c r="P4" s="5">
        <f t="shared" si="20"/>
        <v>1</v>
      </c>
      <c r="Q4" s="5" t="str">
        <f>CONCATENATE(+Contacts!G4)</f>
        <v/>
      </c>
      <c r="R4" t="str">
        <f t="shared" si="21"/>
        <v/>
      </c>
      <c r="S4" s="5">
        <f t="shared" si="22"/>
        <v>1</v>
      </c>
      <c r="T4" s="5">
        <f t="shared" si="23"/>
        <v>1</v>
      </c>
      <c r="U4" s="5" t="str">
        <f>CONCATENATE(+Contacts!H4)</f>
        <v/>
      </c>
      <c r="V4" t="str">
        <f t="shared" si="24"/>
        <v>&lt;number id="1" prio="0" type="work"&gt;+31 104202632&lt;/number&gt;</v>
      </c>
      <c r="W4" s="5">
        <f t="shared" si="25"/>
        <v>2</v>
      </c>
      <c r="X4" s="5">
        <f t="shared" si="26"/>
        <v>0</v>
      </c>
      <c r="Y4" s="5" t="str">
        <f>CONCATENATE(+Contacts!F4)</f>
        <v>+31 104202632</v>
      </c>
      <c r="Z4" s="2" t="str">
        <f t="shared" si="27"/>
        <v>Adam Brand Store  (Kledingwinkel)</v>
      </c>
      <c r="AA4" s="2" t="str">
        <f>CONCATENATE(+Contacts!C4)</f>
        <v>Adam Brand Store</v>
      </c>
      <c r="AB4" s="2" t="str">
        <f t="shared" si="28"/>
        <v xml:space="preserve"> </v>
      </c>
      <c r="AC4" s="2" t="str">
        <f>CONCATENATE(+Contacts!A4)</f>
        <v/>
      </c>
      <c r="AD4" s="3" t="str">
        <f>CONCATENATE(" ",+Contacts!B4)</f>
        <v xml:space="preserve"> </v>
      </c>
      <c r="AE4" s="2" t="str">
        <f t="shared" si="29"/>
        <v>(</v>
      </c>
      <c r="AF4" s="3" t="str">
        <f>CONCATENATE(+Contacts!D4)</f>
        <v>Kledingwinkel</v>
      </c>
      <c r="AG4" s="2" t="str">
        <f t="shared" si="30"/>
        <v>)</v>
      </c>
      <c r="AH4" t="str">
        <f>CONCATENATE(+Contacts!I4)</f>
        <v/>
      </c>
      <c r="AI4">
        <v>1500000010</v>
      </c>
      <c r="AJ4" s="5">
        <f t="shared" si="31"/>
        <v>1</v>
      </c>
    </row>
    <row r="5" spans="1:36" x14ac:dyDescent="0.35">
      <c r="A5" s="7" t="str">
        <f t="shared" si="6"/>
        <v>&lt;contact&gt;&lt;category&gt;0&lt;/category&gt;&lt;person&gt;&lt;realName&gt;Alarmnummer  (Hulpdiensten)&lt;/realName&gt;&lt;/person&gt;</v>
      </c>
      <c r="B5" s="7" t="str">
        <f t="shared" si="7"/>
        <v>&lt;telephony nid="1"&gt;&lt;number id="0" prio="1" type="work"&gt;112&lt;/number&gt;&lt;/telephony&gt;</v>
      </c>
      <c r="C5" s="7" t="str">
        <f t="shared" si="8"/>
        <v>&lt;services /&gt;&lt;setup /&gt;&lt;mod_time&gt;1500000010&lt;/mod_time&gt;&lt;uniqueid&gt;1&lt;/uniqueid&gt;&lt;/contact&gt;</v>
      </c>
      <c r="D5" t="str">
        <f t="shared" si="9"/>
        <v>&lt;contact&gt;&lt;category&gt;0&lt;/category&gt;&lt;person&gt;&lt;realName&gt;Alarmnummer  (Hulpdiensten)&lt;/realName&gt;&lt;/person&gt;</v>
      </c>
      <c r="E5" t="str">
        <f t="shared" si="10"/>
        <v>&lt;telephony nid="1"&gt;&lt;number id="0" prio="1" type="work"&gt;112&lt;/number&gt;&lt;/telephony&gt;</v>
      </c>
      <c r="F5" t="str">
        <f t="shared" si="11"/>
        <v>&lt;telephony nid="1"&gt;</v>
      </c>
      <c r="G5" t="str">
        <f t="shared" si="12"/>
        <v>&lt;number id="0" prio="1" type="work"&gt;112&lt;/number&gt;</v>
      </c>
      <c r="H5" t="str">
        <f t="shared" si="13"/>
        <v>&lt;services nid="1"&gt;&lt;email id="0" classifier="private"&gt;&lt;/email&gt;&lt;/services&gt;&lt;setup /&gt;&lt;mod_time&gt;1500000010&lt;/mod_time&gt;&lt;uniqueid&gt;1&lt;/uniqueid&gt;&lt;/contact&gt;</v>
      </c>
      <c r="I5" t="str">
        <f t="shared" si="14"/>
        <v>&lt;services /&gt;&lt;setup /&gt;&lt;mod_time&gt;1500000010&lt;/mod_time&gt;&lt;uniqueid&gt;1&lt;/uniqueid&gt;&lt;/contact&gt;</v>
      </c>
      <c r="J5" t="str">
        <f t="shared" si="15"/>
        <v>&lt;services /&gt;&lt;setup /&gt;&lt;mod_time&gt;1500000010&lt;/mod_time&gt;&lt;uniqueid&gt;1&lt;/uniqueid&gt;&lt;/contact&gt;</v>
      </c>
      <c r="K5" s="5">
        <f t="shared" si="16"/>
        <v>1</v>
      </c>
      <c r="L5" s="5">
        <f t="shared" si="17"/>
        <v>1</v>
      </c>
      <c r="M5" s="5" t="str">
        <f>CONCATENATE(+Contacts!E5)</f>
        <v>112</v>
      </c>
      <c r="N5" t="str">
        <f t="shared" si="18"/>
        <v/>
      </c>
      <c r="O5" s="5">
        <f t="shared" si="19"/>
        <v>1</v>
      </c>
      <c r="P5" s="5">
        <f t="shared" si="20"/>
        <v>1</v>
      </c>
      <c r="Q5" s="5" t="str">
        <f>CONCATENATE(+Contacts!G5)</f>
        <v/>
      </c>
      <c r="R5" t="str">
        <f t="shared" si="21"/>
        <v/>
      </c>
      <c r="S5" s="5">
        <f t="shared" si="22"/>
        <v>1</v>
      </c>
      <c r="T5" s="5">
        <f t="shared" si="23"/>
        <v>1</v>
      </c>
      <c r="U5" s="5" t="str">
        <f>CONCATENATE(+Contacts!H5)</f>
        <v/>
      </c>
      <c r="V5" t="str">
        <f t="shared" si="24"/>
        <v/>
      </c>
      <c r="W5" s="5">
        <f t="shared" si="25"/>
        <v>1</v>
      </c>
      <c r="X5" s="5">
        <f t="shared" si="26"/>
        <v>1</v>
      </c>
      <c r="Y5" s="5" t="str">
        <f>CONCATENATE(+Contacts!F5)</f>
        <v/>
      </c>
      <c r="Z5" s="2" t="str">
        <f t="shared" si="27"/>
        <v>Alarmnummer  (Hulpdiensten)</v>
      </c>
      <c r="AA5" s="2" t="str">
        <f>CONCATENATE(+Contacts!C5)</f>
        <v>Alarmnummer</v>
      </c>
      <c r="AB5" s="2" t="str">
        <f t="shared" si="28"/>
        <v xml:space="preserve"> </v>
      </c>
      <c r="AC5" s="2" t="str">
        <f>CONCATENATE(+Contacts!A5)</f>
        <v/>
      </c>
      <c r="AD5" s="3" t="str">
        <f>CONCATENATE(" ",+Contacts!B5)</f>
        <v xml:space="preserve"> </v>
      </c>
      <c r="AE5" s="2" t="str">
        <f t="shared" si="29"/>
        <v>(</v>
      </c>
      <c r="AF5" s="3" t="str">
        <f>CONCATENATE(+Contacts!D5)</f>
        <v>Hulpdiensten</v>
      </c>
      <c r="AG5" s="2" t="str">
        <f t="shared" si="30"/>
        <v>)</v>
      </c>
      <c r="AH5" t="str">
        <f>CONCATENATE(+Contacts!I5)</f>
        <v/>
      </c>
      <c r="AI5">
        <v>1500000010</v>
      </c>
      <c r="AJ5" s="5">
        <f t="shared" si="31"/>
        <v>1</v>
      </c>
    </row>
    <row r="6" spans="1:36" x14ac:dyDescent="0.35">
      <c r="A6" s="7" t="str">
        <f t="shared" si="6"/>
        <v>&lt;contact&gt;&lt;category&gt;0&lt;/category&gt;&lt;person&gt;&lt;realName&gt;Alert, Amber   &lt;/realName&gt;&lt;/person&gt;</v>
      </c>
      <c r="B6" s="7" t="str">
        <f t="shared" si="7"/>
        <v>&lt;telephony nid="1"&gt;&lt;number id="0" prio="1" type="work"&gt;5100&lt;/number&gt;&lt;/telephony&gt;</v>
      </c>
      <c r="C6" s="7" t="str">
        <f t="shared" si="8"/>
        <v>&lt;services /&gt;&lt;setup /&gt;&lt;mod_time&gt;1500000010&lt;/mod_time&gt;&lt;uniqueid&gt;1&lt;/uniqueid&gt;&lt;/contact&gt;</v>
      </c>
      <c r="D6" t="str">
        <f t="shared" si="9"/>
        <v>&lt;contact&gt;&lt;category&gt;0&lt;/category&gt;&lt;person&gt;&lt;realName&gt;Alert, Amber   &lt;/realName&gt;&lt;/person&gt;</v>
      </c>
      <c r="E6" t="str">
        <f t="shared" si="10"/>
        <v>&lt;telephony nid="1"&gt;&lt;number id="0" prio="1" type="work"&gt;5100&lt;/number&gt;&lt;/telephony&gt;</v>
      </c>
      <c r="F6" t="str">
        <f t="shared" si="11"/>
        <v>&lt;telephony nid="1"&gt;</v>
      </c>
      <c r="G6" t="str">
        <f t="shared" si="12"/>
        <v/>
      </c>
      <c r="H6" t="str">
        <f t="shared" si="13"/>
        <v>&lt;services nid="1"&gt;&lt;email id="0" classifier="private"&gt;&lt;/email&gt;&lt;/services&gt;&lt;setup /&gt;&lt;mod_time&gt;1500000010&lt;/mod_time&gt;&lt;uniqueid&gt;1&lt;/uniqueid&gt;&lt;/contact&gt;</v>
      </c>
      <c r="I6" t="str">
        <f t="shared" si="14"/>
        <v>&lt;services /&gt;&lt;setup /&gt;&lt;mod_time&gt;1500000010&lt;/mod_time&gt;&lt;uniqueid&gt;1&lt;/uniqueid&gt;&lt;/contact&gt;</v>
      </c>
      <c r="J6" t="str">
        <f t="shared" si="15"/>
        <v>&lt;services /&gt;&lt;setup /&gt;&lt;mod_time&gt;1500000010&lt;/mod_time&gt;&lt;uniqueid&gt;1&lt;/uniqueid&gt;&lt;/contact&gt;</v>
      </c>
      <c r="K6" s="5">
        <f t="shared" si="16"/>
        <v>0</v>
      </c>
      <c r="L6" s="5">
        <f t="shared" si="17"/>
        <v>0</v>
      </c>
      <c r="M6" s="5" t="str">
        <f>CONCATENATE(+Contacts!E6)</f>
        <v/>
      </c>
      <c r="N6" t="str">
        <f t="shared" si="18"/>
        <v/>
      </c>
      <c r="O6" s="5">
        <f t="shared" si="19"/>
        <v>0</v>
      </c>
      <c r="P6" s="5">
        <f t="shared" si="20"/>
        <v>0</v>
      </c>
      <c r="Q6" s="5" t="str">
        <f>CONCATENATE(+Contacts!G6)</f>
        <v/>
      </c>
      <c r="R6" t="str">
        <f t="shared" si="21"/>
        <v/>
      </c>
      <c r="S6" s="5">
        <f t="shared" si="22"/>
        <v>0</v>
      </c>
      <c r="T6" s="5">
        <f t="shared" si="23"/>
        <v>0</v>
      </c>
      <c r="U6" s="5" t="str">
        <f>CONCATENATE(+Contacts!H6)</f>
        <v/>
      </c>
      <c r="V6" t="str">
        <f t="shared" si="24"/>
        <v>&lt;number id="0" prio="1" type="work"&gt;5100&lt;/number&gt;</v>
      </c>
      <c r="W6" s="5">
        <f t="shared" si="25"/>
        <v>1</v>
      </c>
      <c r="X6" s="5">
        <f t="shared" si="26"/>
        <v>1</v>
      </c>
      <c r="Y6" s="5" t="str">
        <f>CONCATENATE(+Contacts!F6)</f>
        <v>5100</v>
      </c>
      <c r="Z6" s="2" t="str">
        <f t="shared" si="27"/>
        <v xml:space="preserve">Alert, Amber   </v>
      </c>
      <c r="AA6" s="2" t="str">
        <f>CONCATENATE(+Contacts!C6)</f>
        <v>Alert</v>
      </c>
      <c r="AB6" s="2" t="str">
        <f t="shared" si="28"/>
        <v xml:space="preserve">, </v>
      </c>
      <c r="AC6" s="2" t="str">
        <f>CONCATENATE(+Contacts!A6)</f>
        <v>Amber</v>
      </c>
      <c r="AD6" s="3" t="str">
        <f>CONCATENATE(" ",+Contacts!B6)</f>
        <v xml:space="preserve"> </v>
      </c>
      <c r="AE6" s="2" t="str">
        <f t="shared" si="29"/>
        <v xml:space="preserve"> </v>
      </c>
      <c r="AF6" s="3" t="str">
        <f>CONCATENATE(+Contacts!D6)</f>
        <v/>
      </c>
      <c r="AG6" s="2" t="str">
        <f t="shared" si="30"/>
        <v xml:space="preserve"> </v>
      </c>
      <c r="AH6" t="str">
        <f>CONCATENATE(+Contacts!I6)</f>
        <v/>
      </c>
      <c r="AI6">
        <v>1500000010</v>
      </c>
      <c r="AJ6" s="5">
        <f t="shared" si="31"/>
        <v>1</v>
      </c>
    </row>
    <row r="7" spans="1:36" x14ac:dyDescent="0.35">
      <c r="A7" s="7" t="str">
        <f t="shared" si="6"/>
        <v>&lt;contact&gt;&lt;category&gt;0&lt;/category&gt;&lt;person&gt;&lt;realName&gt;Alingh-van der Schalk, Annet (Yogapraktijk Pachamama)&lt;/realName&gt;&lt;/person&gt;</v>
      </c>
      <c r="B7" s="7" t="str">
        <f t="shared" si="7"/>
        <v>&lt;telephony nid="1"&gt;&lt;number id="0" prio="1" type="work"&gt;+31 6 48382506&lt;/number&gt;&lt;/telephony&gt;</v>
      </c>
      <c r="C7" s="7" t="str">
        <f t="shared" si="8"/>
        <v>&lt;services nid="1"&gt;&lt;email id="0" classifier="private"&gt;info@yogapraktijkpachamama.nl&lt;/email&gt;&lt;/services&gt;&lt;setup /&gt;&lt;mod_time&gt;1500000010&lt;/mod_time&gt;&lt;uniqueid&gt;1&lt;/uniqueid&gt;&lt;/contact&gt;</v>
      </c>
      <c r="D7" t="str">
        <f t="shared" si="9"/>
        <v>&lt;contact&gt;&lt;category&gt;0&lt;/category&gt;&lt;person&gt;&lt;realName&gt;Alingh-van der Schalk, Annet (Yogapraktijk Pachamama)&lt;/realName&gt;&lt;/person&gt;</v>
      </c>
      <c r="E7" t="str">
        <f t="shared" si="10"/>
        <v>&lt;telephony nid="1"&gt;&lt;number id="0" prio="1" type="work"&gt;+31 6 48382506&lt;/number&gt;&lt;/telephony&gt;</v>
      </c>
      <c r="F7" t="str">
        <f t="shared" si="11"/>
        <v>&lt;telephony nid="1"&gt;</v>
      </c>
      <c r="G7" t="str">
        <f t="shared" si="12"/>
        <v/>
      </c>
      <c r="H7" t="str">
        <f t="shared" si="13"/>
        <v>&lt;services nid="1"&gt;&lt;email id="0" classifier="private"&gt;info@yogapraktijkpachamama.nl&lt;/email&gt;&lt;/services&gt;&lt;setup /&gt;&lt;mod_time&gt;1500000010&lt;/mod_time&gt;&lt;uniqueid&gt;1&lt;/uniqueid&gt;&lt;/contact&gt;</v>
      </c>
      <c r="I7" t="str">
        <f t="shared" si="14"/>
        <v>&lt;services /&gt;&lt;setup /&gt;&lt;mod_time&gt;1500000010&lt;/mod_time&gt;&lt;uniqueid&gt;1&lt;/uniqueid&gt;&lt;/contact&gt;</v>
      </c>
      <c r="J7" t="str">
        <f t="shared" si="15"/>
        <v>&lt;services nid="1"&gt;&lt;email id="0" classifier="private"&gt;info@yogapraktijkpachamama.nl&lt;/email&gt;&lt;/services&gt;&lt;setup /&gt;&lt;mod_time&gt;1500000010&lt;/mod_time&gt;&lt;uniqueid&gt;1&lt;/uniqueid&gt;&lt;/contact&gt;</v>
      </c>
      <c r="K7" s="5">
        <f t="shared" si="16"/>
        <v>0</v>
      </c>
      <c r="L7" s="5">
        <f t="shared" si="17"/>
        <v>0</v>
      </c>
      <c r="M7" s="5" t="str">
        <f>CONCATENATE(+Contacts!E7)</f>
        <v/>
      </c>
      <c r="N7" t="str">
        <f t="shared" si="18"/>
        <v/>
      </c>
      <c r="O7" s="5">
        <f t="shared" si="19"/>
        <v>0</v>
      </c>
      <c r="P7" s="5">
        <f t="shared" si="20"/>
        <v>0</v>
      </c>
      <c r="Q7" s="5" t="str">
        <f>CONCATENATE(+Contacts!G7)</f>
        <v/>
      </c>
      <c r="R7" t="str">
        <f t="shared" si="21"/>
        <v/>
      </c>
      <c r="S7" s="5">
        <f t="shared" si="22"/>
        <v>0</v>
      </c>
      <c r="T7" s="5">
        <f t="shared" si="23"/>
        <v>0</v>
      </c>
      <c r="U7" s="5" t="str">
        <f>CONCATENATE(+Contacts!H7)</f>
        <v/>
      </c>
      <c r="V7" t="str">
        <f t="shared" si="24"/>
        <v>&lt;number id="0" prio="1" type="work"&gt;+31 6 48382506&lt;/number&gt;</v>
      </c>
      <c r="W7" s="5">
        <f t="shared" si="25"/>
        <v>1</v>
      </c>
      <c r="X7" s="5">
        <f t="shared" si="26"/>
        <v>1</v>
      </c>
      <c r="Y7" s="5" t="str">
        <f>CONCATENATE(+Contacts!F7)</f>
        <v>+31 6 48382506</v>
      </c>
      <c r="Z7" s="2" t="str">
        <f t="shared" si="27"/>
        <v>Alingh-van der Schalk, Annet (Yogapraktijk Pachamama)</v>
      </c>
      <c r="AA7" s="2" t="str">
        <f>CONCATENATE(+Contacts!C7)</f>
        <v>Alingh-van der Schalk</v>
      </c>
      <c r="AB7" s="2" t="str">
        <f t="shared" si="28"/>
        <v xml:space="preserve">, </v>
      </c>
      <c r="AC7" s="2" t="str">
        <f>CONCATENATE(+Contacts!A7)</f>
        <v>Annet</v>
      </c>
      <c r="AD7" s="3" t="str">
        <f>CONCATENATE(" ",+Contacts!B7)</f>
        <v xml:space="preserve"> </v>
      </c>
      <c r="AE7" s="2" t="str">
        <f t="shared" si="29"/>
        <v>(</v>
      </c>
      <c r="AF7" s="3" t="str">
        <f>CONCATENATE(+Contacts!D7)</f>
        <v>Yogapraktijk Pachamama</v>
      </c>
      <c r="AG7" s="2" t="str">
        <f t="shared" si="30"/>
        <v>)</v>
      </c>
      <c r="AH7" t="str">
        <f>CONCATENATE(+Contacts!I7)</f>
        <v>info@yogapraktijkpachamama.nl</v>
      </c>
      <c r="AI7">
        <v>1500000010</v>
      </c>
      <c r="AJ7" s="5">
        <f t="shared" si="31"/>
        <v>1</v>
      </c>
    </row>
    <row r="8" spans="1:36" x14ac:dyDescent="0.35">
      <c r="A8" s="7" t="str">
        <f t="shared" si="6"/>
        <v>&lt;contact&gt;&lt;category&gt;0&lt;/category&gt;&lt;person&gt;&lt;realName&gt;Ambachtsheer, Ad   &lt;/realName&gt;&lt;/person&gt;</v>
      </c>
      <c r="B8" s="7" t="str">
        <f t="shared" si="7"/>
        <v>&lt;telephony nid="2"&gt;&lt;number id="0" prio="1" type="home"&gt;+31 165533596&lt;/number&gt;&lt;number id="1" prio="0" type="mobile"&gt;+31 637600120&lt;/number&gt;&lt;/telephony&gt;</v>
      </c>
      <c r="C8" s="7" t="str">
        <f t="shared" si="8"/>
        <v>&lt;services nid="1"&gt;&lt;email id="0" classifier="private"&gt;adambachtsheer@hotmail.nl&lt;/email&gt;&lt;/services&gt;&lt;setup /&gt;&lt;mod_time&gt;1500000010&lt;/mod_time&gt;&lt;uniqueid&gt;1&lt;/uniqueid&gt;&lt;/contact&gt;</v>
      </c>
      <c r="D8" t="str">
        <f t="shared" si="9"/>
        <v>&lt;contact&gt;&lt;category&gt;0&lt;/category&gt;&lt;person&gt;&lt;realName&gt;Ambachtsheer, Ad   &lt;/realName&gt;&lt;/person&gt;</v>
      </c>
      <c r="E8" t="str">
        <f t="shared" si="10"/>
        <v>&lt;telephony nid="2"&gt;&lt;number id="0" prio="1" type="home"&gt;+31 165533596&lt;/number&gt;&lt;number id="1" prio="0" type="mobile"&gt;+31 637600120&lt;/number&gt;&lt;/telephony&gt;</v>
      </c>
      <c r="F8" t="str">
        <f t="shared" si="11"/>
        <v>&lt;telephony nid="2"&gt;</v>
      </c>
      <c r="G8" t="str">
        <f t="shared" si="12"/>
        <v/>
      </c>
      <c r="H8" t="str">
        <f t="shared" si="13"/>
        <v>&lt;services nid="1"&gt;&lt;email id="0" classifier="private"&gt;adambachtsheer@hotmail.nl&lt;/email&gt;&lt;/services&gt;&lt;setup /&gt;&lt;mod_time&gt;1500000010&lt;/mod_time&gt;&lt;uniqueid&gt;1&lt;/uniqueid&gt;&lt;/contact&gt;</v>
      </c>
      <c r="I8" t="str">
        <f t="shared" si="14"/>
        <v>&lt;services /&gt;&lt;setup /&gt;&lt;mod_time&gt;1500000010&lt;/mod_time&gt;&lt;uniqueid&gt;1&lt;/uniqueid&gt;&lt;/contact&gt;</v>
      </c>
      <c r="J8" t="str">
        <f t="shared" si="15"/>
        <v>&lt;services nid="1"&gt;&lt;email id="0" classifier="private"&gt;adambachtsheer@hotmail.nl&lt;/email&gt;&lt;/services&gt;&lt;setup /&gt;&lt;mod_time&gt;1500000010&lt;/mod_time&gt;&lt;uniqueid&gt;1&lt;/uniqueid&gt;&lt;/contact&gt;</v>
      </c>
      <c r="K8" s="5">
        <f t="shared" si="16"/>
        <v>0</v>
      </c>
      <c r="L8" s="5">
        <f t="shared" si="17"/>
        <v>0</v>
      </c>
      <c r="M8" s="5" t="str">
        <f>CONCATENATE(+Contacts!E8)</f>
        <v/>
      </c>
      <c r="N8" t="str">
        <f t="shared" si="18"/>
        <v>&lt;number id="0" prio="1" type="home"&gt;+31 165533596&lt;/number&gt;</v>
      </c>
      <c r="O8" s="5">
        <f t="shared" si="19"/>
        <v>1</v>
      </c>
      <c r="P8" s="5">
        <f t="shared" si="20"/>
        <v>1</v>
      </c>
      <c r="Q8" s="5" t="str">
        <f>CONCATENATE(+Contacts!G8)</f>
        <v>+31 165533596</v>
      </c>
      <c r="R8" t="str">
        <f t="shared" si="21"/>
        <v>&lt;number id="1" prio="0" type="mobile"&gt;+31 637600120&lt;/number&gt;</v>
      </c>
      <c r="S8" s="5">
        <f t="shared" si="22"/>
        <v>2</v>
      </c>
      <c r="T8" s="5">
        <f t="shared" si="23"/>
        <v>0</v>
      </c>
      <c r="U8" s="5" t="str">
        <f>CONCATENATE(+Contacts!H8)</f>
        <v>+31 637600120</v>
      </c>
      <c r="V8" t="str">
        <f t="shared" si="24"/>
        <v/>
      </c>
      <c r="W8" s="5">
        <f t="shared" si="25"/>
        <v>2</v>
      </c>
      <c r="X8" s="5">
        <f t="shared" si="26"/>
        <v>0</v>
      </c>
      <c r="Y8" s="5" t="str">
        <f>CONCATENATE(+Contacts!F8)</f>
        <v/>
      </c>
      <c r="Z8" s="2" t="str">
        <f t="shared" si="27"/>
        <v xml:space="preserve">Ambachtsheer, Ad   </v>
      </c>
      <c r="AA8" s="2" t="str">
        <f>CONCATENATE(+Contacts!C8)</f>
        <v>Ambachtsheer</v>
      </c>
      <c r="AB8" s="2" t="str">
        <f t="shared" si="28"/>
        <v xml:space="preserve">, </v>
      </c>
      <c r="AC8" s="2" t="str">
        <f>CONCATENATE(+Contacts!A8)</f>
        <v>Ad</v>
      </c>
      <c r="AD8" s="3" t="str">
        <f>CONCATENATE(" ",+Contacts!B8)</f>
        <v xml:space="preserve"> </v>
      </c>
      <c r="AE8" s="2" t="str">
        <f t="shared" si="29"/>
        <v xml:space="preserve"> </v>
      </c>
      <c r="AF8" s="3" t="str">
        <f>CONCATENATE(+Contacts!D8)</f>
        <v/>
      </c>
      <c r="AG8" s="2" t="str">
        <f t="shared" si="30"/>
        <v xml:space="preserve"> </v>
      </c>
      <c r="AH8" t="str">
        <f>CONCATENATE(+Contacts!I8)</f>
        <v>adambachtsheer@hotmail.nl</v>
      </c>
      <c r="AI8">
        <v>1500000010</v>
      </c>
      <c r="AJ8" s="5">
        <f t="shared" si="31"/>
        <v>1</v>
      </c>
    </row>
    <row r="9" spans="1:36" x14ac:dyDescent="0.35">
      <c r="A9" s="7" t="str">
        <f t="shared" si="6"/>
        <v>&lt;contact&gt;&lt;category&gt;0&lt;/category&gt;&lt;person&gt;&lt;realName&gt;Apotheek Hesseplaats  (Apotheek)&lt;/realName&gt;&lt;/person&gt;</v>
      </c>
      <c r="B9" s="7" t="str">
        <f t="shared" si="7"/>
        <v>&lt;telephony nid="1"&gt;&lt;number id="0" prio="1" type="work"&gt;+31 104555552&lt;/number&gt;&lt;/telephony&gt;</v>
      </c>
      <c r="C9" s="7" t="str">
        <f t="shared" si="8"/>
        <v>&lt;services /&gt;&lt;setup /&gt;&lt;mod_time&gt;1500000010&lt;/mod_time&gt;&lt;uniqueid&gt;1&lt;/uniqueid&gt;&lt;/contact&gt;</v>
      </c>
      <c r="D9" t="str">
        <f t="shared" si="9"/>
        <v>&lt;contact&gt;&lt;category&gt;0&lt;/category&gt;&lt;person&gt;&lt;realName&gt;Apotheek Hesseplaats  (Apotheek)&lt;/realName&gt;&lt;/person&gt;</v>
      </c>
      <c r="E9" t="str">
        <f t="shared" si="10"/>
        <v>&lt;telephony nid="1"&gt;&lt;number id="0" prio="1" type="work"&gt;+31 104555552&lt;/number&gt;&lt;/telephony&gt;</v>
      </c>
      <c r="F9" t="str">
        <f t="shared" si="11"/>
        <v>&lt;telephony nid="1"&gt;</v>
      </c>
      <c r="G9" t="str">
        <f t="shared" si="12"/>
        <v>&lt;number id="0" prio="1" type="work"&gt;+31 104555552&lt;/number&gt;</v>
      </c>
      <c r="H9" t="str">
        <f t="shared" si="13"/>
        <v>&lt;services nid="1"&gt;&lt;email id="0" classifier="private"&gt;&lt;/email&gt;&lt;/services&gt;&lt;setup /&gt;&lt;mod_time&gt;1500000010&lt;/mod_time&gt;&lt;uniqueid&gt;1&lt;/uniqueid&gt;&lt;/contact&gt;</v>
      </c>
      <c r="I9" t="str">
        <f t="shared" si="14"/>
        <v>&lt;services /&gt;&lt;setup /&gt;&lt;mod_time&gt;1500000010&lt;/mod_time&gt;&lt;uniqueid&gt;1&lt;/uniqueid&gt;&lt;/contact&gt;</v>
      </c>
      <c r="J9" t="str">
        <f t="shared" si="15"/>
        <v>&lt;services /&gt;&lt;setup /&gt;&lt;mod_time&gt;1500000010&lt;/mod_time&gt;&lt;uniqueid&gt;1&lt;/uniqueid&gt;&lt;/contact&gt;</v>
      </c>
      <c r="K9" s="5">
        <f t="shared" si="16"/>
        <v>1</v>
      </c>
      <c r="L9" s="5">
        <f t="shared" si="17"/>
        <v>1</v>
      </c>
      <c r="M9" s="5" t="str">
        <f>CONCATENATE(+Contacts!E9)</f>
        <v>+31 104555552</v>
      </c>
      <c r="N9" t="str">
        <f t="shared" si="18"/>
        <v/>
      </c>
      <c r="O9" s="5">
        <f t="shared" si="19"/>
        <v>1</v>
      </c>
      <c r="P9" s="5">
        <f t="shared" si="20"/>
        <v>1</v>
      </c>
      <c r="Q9" s="5" t="str">
        <f>CONCATENATE(+Contacts!G9)</f>
        <v/>
      </c>
      <c r="R9" t="str">
        <f t="shared" si="21"/>
        <v/>
      </c>
      <c r="S9" s="5">
        <f t="shared" si="22"/>
        <v>1</v>
      </c>
      <c r="T9" s="5">
        <f t="shared" si="23"/>
        <v>1</v>
      </c>
      <c r="U9" s="5" t="str">
        <f>CONCATENATE(+Contacts!H9)</f>
        <v/>
      </c>
      <c r="V9" t="str">
        <f t="shared" si="24"/>
        <v/>
      </c>
      <c r="W9" s="5">
        <f t="shared" si="25"/>
        <v>1</v>
      </c>
      <c r="X9" s="5">
        <f t="shared" si="26"/>
        <v>1</v>
      </c>
      <c r="Y9" s="5" t="str">
        <f>CONCATENATE(+Contacts!F9)</f>
        <v/>
      </c>
      <c r="Z9" s="2" t="str">
        <f t="shared" si="27"/>
        <v>Apotheek Hesseplaats  (Apotheek)</v>
      </c>
      <c r="AA9" s="2" t="str">
        <f>CONCATENATE(+Contacts!C9)</f>
        <v>Apotheek Hesseplaats</v>
      </c>
      <c r="AB9" s="2" t="str">
        <f t="shared" si="28"/>
        <v xml:space="preserve"> </v>
      </c>
      <c r="AC9" s="2" t="str">
        <f>CONCATENATE(+Contacts!A9)</f>
        <v/>
      </c>
      <c r="AD9" s="3" t="str">
        <f>CONCATENATE(" ",+Contacts!B9)</f>
        <v xml:space="preserve"> </v>
      </c>
      <c r="AE9" s="2" t="str">
        <f t="shared" si="29"/>
        <v>(</v>
      </c>
      <c r="AF9" s="3" t="str">
        <f>CONCATENATE(+Contacts!D9)</f>
        <v>Apotheek</v>
      </c>
      <c r="AG9" s="2" t="str">
        <f t="shared" si="30"/>
        <v>)</v>
      </c>
      <c r="AH9" t="str">
        <f>CONCATENATE(+Contacts!I9)</f>
        <v/>
      </c>
      <c r="AI9">
        <v>1500000010</v>
      </c>
      <c r="AJ9" s="5">
        <f t="shared" si="31"/>
        <v>1</v>
      </c>
    </row>
    <row r="10" spans="1:36" x14ac:dyDescent="0.35">
      <c r="A10" s="7" t="str">
        <f t="shared" si="6"/>
        <v>&lt;contact&gt;&lt;category&gt;0&lt;/category&gt;&lt;person&gt;&lt;realName&gt;Ardea  (Ford Garage)&lt;/realName&gt;&lt;/person&gt;</v>
      </c>
      <c r="B10" s="7" t="str">
        <f t="shared" si="7"/>
        <v>&lt;telephony nid="2"&gt;&lt;number id="0" prio="1" type="work"&gt;+31 102070707&lt;/number&gt;&lt;number id="1" prio="0" type="work"&gt;+31 102070753&lt;/number&gt;&lt;/telephony&gt;</v>
      </c>
      <c r="C10" s="7" t="str">
        <f t="shared" si="8"/>
        <v>&lt;services /&gt;&lt;setup /&gt;&lt;mod_time&gt;1500000010&lt;/mod_time&gt;&lt;uniqueid&gt;1&lt;/uniqueid&gt;&lt;/contact&gt;</v>
      </c>
      <c r="D10" t="str">
        <f t="shared" si="9"/>
        <v>&lt;contact&gt;&lt;category&gt;0&lt;/category&gt;&lt;person&gt;&lt;realName&gt;Ardea  (Ford Garage)&lt;/realName&gt;&lt;/person&gt;</v>
      </c>
      <c r="E10" t="str">
        <f t="shared" si="10"/>
        <v>&lt;telephony nid="2"&gt;&lt;number id="0" prio="1" type="work"&gt;+31 102070707&lt;/number&gt;&lt;number id="1" prio="0" type="work"&gt;+31 102070753&lt;/number&gt;&lt;/telephony&gt;</v>
      </c>
      <c r="F10" t="str">
        <f t="shared" si="11"/>
        <v>&lt;telephony nid="2"&gt;</v>
      </c>
      <c r="G10" t="str">
        <f t="shared" si="12"/>
        <v>&lt;number id="0" prio="1" type="work"&gt;+31 102070707&lt;/number&gt;</v>
      </c>
      <c r="H10" t="str">
        <f t="shared" si="13"/>
        <v>&lt;services nid="1"&gt;&lt;email id="0" classifier="private"&gt;&lt;/email&gt;&lt;/services&gt;&lt;setup /&gt;&lt;mod_time&gt;1500000010&lt;/mod_time&gt;&lt;uniqueid&gt;1&lt;/uniqueid&gt;&lt;/contact&gt;</v>
      </c>
      <c r="I10" t="str">
        <f t="shared" si="14"/>
        <v>&lt;services /&gt;&lt;setup /&gt;&lt;mod_time&gt;1500000010&lt;/mod_time&gt;&lt;uniqueid&gt;1&lt;/uniqueid&gt;&lt;/contact&gt;</v>
      </c>
      <c r="J10" t="str">
        <f t="shared" si="15"/>
        <v>&lt;services /&gt;&lt;setup /&gt;&lt;mod_time&gt;1500000010&lt;/mod_time&gt;&lt;uniqueid&gt;1&lt;/uniqueid&gt;&lt;/contact&gt;</v>
      </c>
      <c r="K10" s="5">
        <f t="shared" si="16"/>
        <v>1</v>
      </c>
      <c r="L10" s="5">
        <f t="shared" si="17"/>
        <v>1</v>
      </c>
      <c r="M10" s="5" t="str">
        <f>CONCATENATE(+Contacts!E10)</f>
        <v>+31 102070707</v>
      </c>
      <c r="N10" t="str">
        <f t="shared" si="18"/>
        <v/>
      </c>
      <c r="O10" s="5">
        <f t="shared" si="19"/>
        <v>1</v>
      </c>
      <c r="P10" s="5">
        <f t="shared" si="20"/>
        <v>1</v>
      </c>
      <c r="Q10" s="5" t="str">
        <f>CONCATENATE(+Contacts!G10)</f>
        <v/>
      </c>
      <c r="R10" t="str">
        <f t="shared" si="21"/>
        <v/>
      </c>
      <c r="S10" s="5">
        <f t="shared" si="22"/>
        <v>1</v>
      </c>
      <c r="T10" s="5">
        <f t="shared" si="23"/>
        <v>1</v>
      </c>
      <c r="U10" s="5" t="str">
        <f>CONCATENATE(+Contacts!H10)</f>
        <v/>
      </c>
      <c r="V10" t="str">
        <f t="shared" si="24"/>
        <v>&lt;number id="1" prio="0" type="work"&gt;+31 102070753&lt;/number&gt;</v>
      </c>
      <c r="W10" s="5">
        <f t="shared" si="25"/>
        <v>2</v>
      </c>
      <c r="X10" s="5">
        <f t="shared" si="26"/>
        <v>0</v>
      </c>
      <c r="Y10" s="5" t="str">
        <f>CONCATENATE(+Contacts!F10)</f>
        <v>+31 102070753</v>
      </c>
      <c r="Z10" s="2" t="str">
        <f t="shared" si="27"/>
        <v>Ardea  (Ford Garage)</v>
      </c>
      <c r="AA10" s="2" t="str">
        <f>CONCATENATE(+Contacts!C10)</f>
        <v>Ardea</v>
      </c>
      <c r="AB10" s="2" t="str">
        <f t="shared" si="28"/>
        <v xml:space="preserve"> </v>
      </c>
      <c r="AC10" s="2" t="str">
        <f>CONCATENATE(+Contacts!A10)</f>
        <v/>
      </c>
      <c r="AD10" s="3" t="str">
        <f>CONCATENATE(" ",+Contacts!B10)</f>
        <v xml:space="preserve"> </v>
      </c>
      <c r="AE10" s="2" t="str">
        <f t="shared" si="29"/>
        <v>(</v>
      </c>
      <c r="AF10" s="3" t="str">
        <f>CONCATENATE(+Contacts!D10)</f>
        <v>Ford Garage</v>
      </c>
      <c r="AG10" s="2" t="str">
        <f t="shared" si="30"/>
        <v>)</v>
      </c>
      <c r="AH10" t="str">
        <f>CONCATENATE(+Contacts!I10)</f>
        <v/>
      </c>
      <c r="AI10">
        <v>1500000010</v>
      </c>
      <c r="AJ10" s="5">
        <f t="shared" si="31"/>
        <v>1</v>
      </c>
    </row>
    <row r="11" spans="1:36" x14ac:dyDescent="0.35">
      <c r="A11" s="7" t="str">
        <f t="shared" si="6"/>
        <v>&lt;contact&gt;&lt;category&gt;0&lt;/category&gt;&lt;person&gt;&lt;realName&gt;Arema, Anton   &lt;/realName&gt;&lt;/person&gt;</v>
      </c>
      <c r="B11" s="7" t="str">
        <f t="shared" si="7"/>
        <v>&lt;telephony nid="1"&gt;&lt;number id="0" prio="1" type="mobile"&gt;+31 610605441&lt;/number&gt;&lt;/telephony&gt;</v>
      </c>
      <c r="C11" s="7" t="str">
        <f t="shared" si="8"/>
        <v>&lt;services nid="1"&gt;&lt;email id="0" classifier="private"&gt;arema.muziek@12move.nl&lt;/email&gt;&lt;/services&gt;&lt;setup /&gt;&lt;mod_time&gt;1500000010&lt;/mod_time&gt;&lt;uniqueid&gt;1&lt;/uniqueid&gt;&lt;/contact&gt;</v>
      </c>
      <c r="D11" t="str">
        <f t="shared" si="9"/>
        <v>&lt;contact&gt;&lt;category&gt;0&lt;/category&gt;&lt;person&gt;&lt;realName&gt;Arema, Anton   &lt;/realName&gt;&lt;/person&gt;</v>
      </c>
      <c r="E11" t="str">
        <f t="shared" si="10"/>
        <v>&lt;telephony nid="1"&gt;&lt;number id="0" prio="1" type="mobile"&gt;+31 610605441&lt;/number&gt;&lt;/telephony&gt;</v>
      </c>
      <c r="F11" t="str">
        <f t="shared" si="11"/>
        <v>&lt;telephony nid="1"&gt;</v>
      </c>
      <c r="G11" t="str">
        <f t="shared" si="12"/>
        <v/>
      </c>
      <c r="H11" t="str">
        <f t="shared" si="13"/>
        <v>&lt;services nid="1"&gt;&lt;email id="0" classifier="private"&gt;arema.muziek@12move.nl&lt;/email&gt;&lt;/services&gt;&lt;setup /&gt;&lt;mod_time&gt;1500000010&lt;/mod_time&gt;&lt;uniqueid&gt;1&lt;/uniqueid&gt;&lt;/contact&gt;</v>
      </c>
      <c r="I11" t="str">
        <f t="shared" si="14"/>
        <v>&lt;services /&gt;&lt;setup /&gt;&lt;mod_time&gt;1500000010&lt;/mod_time&gt;&lt;uniqueid&gt;1&lt;/uniqueid&gt;&lt;/contact&gt;</v>
      </c>
      <c r="J11" t="str">
        <f t="shared" si="15"/>
        <v>&lt;services nid="1"&gt;&lt;email id="0" classifier="private"&gt;arema.muziek@12move.nl&lt;/email&gt;&lt;/services&gt;&lt;setup /&gt;&lt;mod_time&gt;1500000010&lt;/mod_time&gt;&lt;uniqueid&gt;1&lt;/uniqueid&gt;&lt;/contact&gt;</v>
      </c>
      <c r="K11" s="5">
        <f t="shared" si="16"/>
        <v>0</v>
      </c>
      <c r="L11" s="5">
        <f t="shared" si="17"/>
        <v>0</v>
      </c>
      <c r="M11" s="5" t="str">
        <f>CONCATENATE(+Contacts!E11)</f>
        <v/>
      </c>
      <c r="N11" t="str">
        <f t="shared" si="18"/>
        <v/>
      </c>
      <c r="O11" s="5">
        <f t="shared" si="19"/>
        <v>0</v>
      </c>
      <c r="P11" s="5">
        <f t="shared" si="20"/>
        <v>0</v>
      </c>
      <c r="Q11" s="5" t="str">
        <f>CONCATENATE(+Contacts!G11)</f>
        <v/>
      </c>
      <c r="R11" t="str">
        <f t="shared" si="21"/>
        <v>&lt;number id="0" prio="1" type="mobile"&gt;+31 610605441&lt;/number&gt;</v>
      </c>
      <c r="S11" s="5">
        <f t="shared" si="22"/>
        <v>1</v>
      </c>
      <c r="T11" s="5">
        <f t="shared" si="23"/>
        <v>1</v>
      </c>
      <c r="U11" s="5" t="str">
        <f>CONCATENATE(+Contacts!H11)</f>
        <v>+31 610605441</v>
      </c>
      <c r="V11" t="str">
        <f t="shared" si="24"/>
        <v/>
      </c>
      <c r="W11" s="5">
        <f t="shared" si="25"/>
        <v>1</v>
      </c>
      <c r="X11" s="5">
        <f t="shared" si="26"/>
        <v>1</v>
      </c>
      <c r="Y11" s="5" t="str">
        <f>CONCATENATE(+Contacts!F11)</f>
        <v/>
      </c>
      <c r="Z11" s="2" t="str">
        <f t="shared" si="27"/>
        <v xml:space="preserve">Arema, Anton   </v>
      </c>
      <c r="AA11" s="2" t="str">
        <f>CONCATENATE(+Contacts!C11)</f>
        <v>Arema</v>
      </c>
      <c r="AB11" s="2" t="str">
        <f t="shared" si="28"/>
        <v xml:space="preserve">, </v>
      </c>
      <c r="AC11" s="2" t="str">
        <f>CONCATENATE(+Contacts!A11)</f>
        <v>Anton</v>
      </c>
      <c r="AD11" s="3" t="str">
        <f>CONCATENATE(" ",+Contacts!B11)</f>
        <v xml:space="preserve"> </v>
      </c>
      <c r="AE11" s="2" t="str">
        <f t="shared" si="29"/>
        <v xml:space="preserve"> </v>
      </c>
      <c r="AF11" s="3" t="str">
        <f>CONCATENATE(+Contacts!D11)</f>
        <v/>
      </c>
      <c r="AG11" s="2" t="str">
        <f t="shared" si="30"/>
        <v xml:space="preserve"> </v>
      </c>
      <c r="AH11" t="str">
        <f>CONCATENATE(+Contacts!I11)</f>
        <v>arema.muziek@12move.nl</v>
      </c>
      <c r="AI11">
        <v>1500000010</v>
      </c>
      <c r="AJ11" s="5">
        <f t="shared" si="31"/>
        <v>1</v>
      </c>
    </row>
    <row r="12" spans="1:36" x14ac:dyDescent="0.35">
      <c r="A12" s="7" t="str">
        <f t="shared" si="6"/>
        <v/>
      </c>
      <c r="B12" s="7" t="str">
        <f t="shared" si="7"/>
        <v/>
      </c>
      <c r="C12" s="7" t="str">
        <f t="shared" si="8"/>
        <v/>
      </c>
      <c r="D12" t="str">
        <f t="shared" si="9"/>
        <v>&lt;contact&gt;&lt;category&gt;0&lt;/category&gt;&lt;person&gt;&lt;realName&gt;Arends, Corina   &lt;/realName&gt;&lt;/person&gt;</v>
      </c>
      <c r="E12" t="str">
        <f t="shared" si="10"/>
        <v>&lt;telephony nid="0"&gt;&lt;/telephony&gt;</v>
      </c>
      <c r="F12" t="str">
        <f t="shared" si="11"/>
        <v>&lt;telephony nid="0"&gt;</v>
      </c>
      <c r="G12" t="str">
        <f t="shared" si="12"/>
        <v/>
      </c>
      <c r="H12" t="str">
        <f t="shared" si="13"/>
        <v>&lt;services nid="1"&gt;&lt;email id="0" classifier="private"&gt;c.arends@yurtlife.nl&lt;/email&gt;&lt;/services&gt;&lt;setup /&gt;&lt;mod_time&gt;1500000010&lt;/mod_time&gt;&lt;uniqueid&gt;0&lt;/uniqueid&gt;&lt;/contact&gt;</v>
      </c>
      <c r="I12" t="str">
        <f t="shared" si="14"/>
        <v>&lt;services /&gt;&lt;setup /&gt;&lt;mod_time&gt;1500000010&lt;/mod_time&gt;&lt;uniqueid&gt;0&lt;/uniqueid&gt;&lt;/contact&gt;</v>
      </c>
      <c r="J12" t="str">
        <f t="shared" si="15"/>
        <v>&lt;services nid="1"&gt;&lt;email id="0" classifier="private"&gt;c.arends@yurtlife.nl&lt;/email&gt;&lt;/services&gt;&lt;setup /&gt;&lt;mod_time&gt;1500000010&lt;/mod_time&gt;&lt;uniqueid&gt;0&lt;/uniqueid&gt;&lt;/contact&gt;</v>
      </c>
      <c r="K12" s="5">
        <f t="shared" si="16"/>
        <v>0</v>
      </c>
      <c r="L12" s="5">
        <f t="shared" si="17"/>
        <v>0</v>
      </c>
      <c r="M12" s="5" t="str">
        <f>CONCATENATE(+Contacts!E12)</f>
        <v/>
      </c>
      <c r="N12" t="str">
        <f t="shared" si="18"/>
        <v/>
      </c>
      <c r="O12" s="5">
        <f t="shared" si="19"/>
        <v>0</v>
      </c>
      <c r="P12" s="5">
        <f t="shared" si="20"/>
        <v>0</v>
      </c>
      <c r="Q12" s="5" t="str">
        <f>CONCATENATE(+Contacts!G12)</f>
        <v/>
      </c>
      <c r="R12" t="str">
        <f t="shared" si="21"/>
        <v/>
      </c>
      <c r="S12" s="5">
        <f t="shared" si="22"/>
        <v>0</v>
      </c>
      <c r="T12" s="5">
        <f t="shared" si="23"/>
        <v>0</v>
      </c>
      <c r="U12" s="5" t="str">
        <f>CONCATENATE(+Contacts!H12)</f>
        <v/>
      </c>
      <c r="V12" t="str">
        <f t="shared" si="24"/>
        <v/>
      </c>
      <c r="W12" s="5">
        <f t="shared" si="25"/>
        <v>0</v>
      </c>
      <c r="X12" s="5">
        <f t="shared" si="26"/>
        <v>0</v>
      </c>
      <c r="Y12" s="5" t="str">
        <f>CONCATENATE(+Contacts!F12)</f>
        <v/>
      </c>
      <c r="Z12" s="2" t="str">
        <f t="shared" si="27"/>
        <v xml:space="preserve">Arends, Corina   </v>
      </c>
      <c r="AA12" s="2" t="str">
        <f>CONCATENATE(+Contacts!C12)</f>
        <v>Arends</v>
      </c>
      <c r="AB12" s="2" t="str">
        <f t="shared" si="28"/>
        <v xml:space="preserve">, </v>
      </c>
      <c r="AC12" s="2" t="str">
        <f>CONCATENATE(+Contacts!A12)</f>
        <v>Corina</v>
      </c>
      <c r="AD12" s="3" t="str">
        <f>CONCATENATE(" ",+Contacts!B12)</f>
        <v xml:space="preserve"> </v>
      </c>
      <c r="AE12" s="2" t="str">
        <f t="shared" si="29"/>
        <v xml:space="preserve"> </v>
      </c>
      <c r="AF12" s="3" t="str">
        <f>CONCATENATE(+Contacts!D12)</f>
        <v/>
      </c>
      <c r="AG12" s="2" t="str">
        <f t="shared" si="30"/>
        <v xml:space="preserve"> </v>
      </c>
      <c r="AH12" t="str">
        <f>CONCATENATE(+Contacts!I12)</f>
        <v>c.arends@yurtlife.nl</v>
      </c>
      <c r="AI12">
        <v>1500000010</v>
      </c>
      <c r="AJ12" s="5">
        <f t="shared" si="31"/>
        <v>0</v>
      </c>
    </row>
    <row r="13" spans="1:36" x14ac:dyDescent="0.35">
      <c r="A13" s="7" t="str">
        <f t="shared" si="6"/>
        <v>&lt;contact&gt;&lt;category&gt;0&lt;/category&gt;&lt;person&gt;&lt;realName&gt;Baaijens, Kirsten   &lt;/realName&gt;&lt;/person&gt;</v>
      </c>
      <c r="B13" s="7" t="str">
        <f t="shared" si="7"/>
        <v>&lt;telephony nid="1"&gt;&lt;number id="0" prio="1" type="home"&gt;+31 357440204&lt;/number&gt;&lt;/telephony&gt;</v>
      </c>
      <c r="C13" s="7" t="str">
        <f t="shared" si="8"/>
        <v>&lt;services /&gt;&lt;setup /&gt;&lt;mod_time&gt;1500000010&lt;/mod_time&gt;&lt;uniqueid&gt;1&lt;/uniqueid&gt;&lt;/contact&gt;</v>
      </c>
      <c r="D13" t="str">
        <f t="shared" si="9"/>
        <v>&lt;contact&gt;&lt;category&gt;0&lt;/category&gt;&lt;person&gt;&lt;realName&gt;Baaijens, Kirsten   &lt;/realName&gt;&lt;/person&gt;</v>
      </c>
      <c r="E13" t="str">
        <f t="shared" si="10"/>
        <v>&lt;telephony nid="1"&gt;&lt;number id="0" prio="1" type="home"&gt;+31 357440204&lt;/number&gt;&lt;/telephony&gt;</v>
      </c>
      <c r="F13" t="str">
        <f t="shared" si="11"/>
        <v>&lt;telephony nid="1"&gt;</v>
      </c>
      <c r="G13" t="str">
        <f t="shared" si="12"/>
        <v/>
      </c>
      <c r="H13" t="str">
        <f t="shared" si="13"/>
        <v>&lt;services nid="1"&gt;&lt;email id="0" classifier="private"&gt;&lt;/email&gt;&lt;/services&gt;&lt;setup /&gt;&lt;mod_time&gt;1500000010&lt;/mod_time&gt;&lt;uniqueid&gt;1&lt;/uniqueid&gt;&lt;/contact&gt;</v>
      </c>
      <c r="I13" t="str">
        <f t="shared" si="14"/>
        <v>&lt;services /&gt;&lt;setup /&gt;&lt;mod_time&gt;1500000010&lt;/mod_time&gt;&lt;uniqueid&gt;1&lt;/uniqueid&gt;&lt;/contact&gt;</v>
      </c>
      <c r="J13" t="str">
        <f t="shared" si="15"/>
        <v>&lt;services /&gt;&lt;setup /&gt;&lt;mod_time&gt;1500000010&lt;/mod_time&gt;&lt;uniqueid&gt;1&lt;/uniqueid&gt;&lt;/contact&gt;</v>
      </c>
      <c r="K13" s="5">
        <f t="shared" si="16"/>
        <v>0</v>
      </c>
      <c r="L13" s="5">
        <f t="shared" si="17"/>
        <v>0</v>
      </c>
      <c r="M13" s="5" t="str">
        <f>CONCATENATE(+Contacts!E13)</f>
        <v/>
      </c>
      <c r="N13" t="str">
        <f t="shared" si="18"/>
        <v>&lt;number id="0" prio="1" type="home"&gt;+31 357440204&lt;/number&gt;</v>
      </c>
      <c r="O13" s="5">
        <f t="shared" si="19"/>
        <v>1</v>
      </c>
      <c r="P13" s="5">
        <f t="shared" si="20"/>
        <v>1</v>
      </c>
      <c r="Q13" s="5" t="str">
        <f>CONCATENATE(+Contacts!G13)</f>
        <v>+31 357440204</v>
      </c>
      <c r="R13" t="str">
        <f t="shared" si="21"/>
        <v/>
      </c>
      <c r="S13" s="5">
        <f t="shared" si="22"/>
        <v>1</v>
      </c>
      <c r="T13" s="5">
        <f t="shared" si="23"/>
        <v>1</v>
      </c>
      <c r="U13" s="5" t="str">
        <f>CONCATENATE(+Contacts!H13)</f>
        <v/>
      </c>
      <c r="V13" t="str">
        <f t="shared" si="24"/>
        <v/>
      </c>
      <c r="W13" s="5">
        <f t="shared" si="25"/>
        <v>1</v>
      </c>
      <c r="X13" s="5">
        <f t="shared" si="26"/>
        <v>1</v>
      </c>
      <c r="Y13" s="5" t="str">
        <f>CONCATENATE(+Contacts!F13)</f>
        <v/>
      </c>
      <c r="Z13" s="2" t="str">
        <f t="shared" si="27"/>
        <v xml:space="preserve">Baaijens, Kirsten   </v>
      </c>
      <c r="AA13" s="2" t="str">
        <f>CONCATENATE(+Contacts!C13)</f>
        <v>Baaijens</v>
      </c>
      <c r="AB13" s="2" t="str">
        <f t="shared" si="28"/>
        <v xml:space="preserve">, </v>
      </c>
      <c r="AC13" s="2" t="str">
        <f>CONCATENATE(+Contacts!A13)</f>
        <v>Kirsten</v>
      </c>
      <c r="AD13" s="3" t="str">
        <f>CONCATENATE(" ",+Contacts!B13)</f>
        <v xml:space="preserve"> </v>
      </c>
      <c r="AE13" s="2" t="str">
        <f t="shared" si="29"/>
        <v xml:space="preserve"> </v>
      </c>
      <c r="AF13" s="3" t="str">
        <f>CONCATENATE(+Contacts!D13)</f>
        <v/>
      </c>
      <c r="AG13" s="2" t="str">
        <f t="shared" si="30"/>
        <v xml:space="preserve"> </v>
      </c>
      <c r="AH13" t="str">
        <f>CONCATENATE(+Contacts!I13)</f>
        <v/>
      </c>
      <c r="AI13">
        <v>1500000010</v>
      </c>
      <c r="AJ13" s="5">
        <f t="shared" si="31"/>
        <v>1</v>
      </c>
    </row>
    <row r="14" spans="1:36" x14ac:dyDescent="0.35">
      <c r="A14" s="7" t="str">
        <f t="shared" si="6"/>
        <v>&lt;contact&gt;&lt;category&gt;0&lt;/category&gt;&lt;person&gt;&lt;realName&gt;, Baderie (Baderie)&lt;/realName&gt;&lt;/person&gt;</v>
      </c>
      <c r="B14" s="7" t="str">
        <f t="shared" si="7"/>
        <v>&lt;telephony nid="1"&gt;&lt;number id="0" prio="1" type="work"&gt;+31 105218434&lt;/number&gt;&lt;/telephony&gt;</v>
      </c>
      <c r="C14" s="7" t="str">
        <f t="shared" si="8"/>
        <v>&lt;services /&gt;&lt;setup /&gt;&lt;mod_time&gt;1500000010&lt;/mod_time&gt;&lt;uniqueid&gt;1&lt;/uniqueid&gt;&lt;/contact&gt;</v>
      </c>
      <c r="D14" t="str">
        <f t="shared" si="9"/>
        <v>&lt;contact&gt;&lt;category&gt;0&lt;/category&gt;&lt;person&gt;&lt;realName&gt;, Baderie (Baderie)&lt;/realName&gt;&lt;/person&gt;</v>
      </c>
      <c r="E14" t="str">
        <f t="shared" si="10"/>
        <v>&lt;telephony nid="1"&gt;&lt;number id="0" prio="1" type="work"&gt;+31 105218434&lt;/number&gt;&lt;/telephony&gt;</v>
      </c>
      <c r="F14" t="str">
        <f t="shared" si="11"/>
        <v>&lt;telephony nid="1"&gt;</v>
      </c>
      <c r="G14" t="str">
        <f t="shared" si="12"/>
        <v>&lt;number id="0" prio="1" type="work"&gt;+31 105218434&lt;/number&gt;</v>
      </c>
      <c r="H14" t="str">
        <f t="shared" si="13"/>
        <v>&lt;services nid="1"&gt;&lt;email id="0" classifier="private"&gt;&lt;/email&gt;&lt;/services&gt;&lt;setup /&gt;&lt;mod_time&gt;1500000010&lt;/mod_time&gt;&lt;uniqueid&gt;1&lt;/uniqueid&gt;&lt;/contact&gt;</v>
      </c>
      <c r="I14" t="str">
        <f t="shared" si="14"/>
        <v>&lt;services /&gt;&lt;setup /&gt;&lt;mod_time&gt;1500000010&lt;/mod_time&gt;&lt;uniqueid&gt;1&lt;/uniqueid&gt;&lt;/contact&gt;</v>
      </c>
      <c r="J14" t="str">
        <f t="shared" si="15"/>
        <v>&lt;services /&gt;&lt;setup /&gt;&lt;mod_time&gt;1500000010&lt;/mod_time&gt;&lt;uniqueid&gt;1&lt;/uniqueid&gt;&lt;/contact&gt;</v>
      </c>
      <c r="K14" s="5">
        <f t="shared" si="16"/>
        <v>1</v>
      </c>
      <c r="L14" s="5">
        <f t="shared" si="17"/>
        <v>1</v>
      </c>
      <c r="M14" s="5" t="str">
        <f>CONCATENATE(+Contacts!E14)</f>
        <v>+31 105218434</v>
      </c>
      <c r="N14" t="str">
        <f t="shared" si="18"/>
        <v/>
      </c>
      <c r="O14" s="5">
        <f t="shared" si="19"/>
        <v>1</v>
      </c>
      <c r="P14" s="5">
        <f t="shared" si="20"/>
        <v>1</v>
      </c>
      <c r="Q14" s="5" t="str">
        <f>CONCATENATE(+Contacts!G14)</f>
        <v/>
      </c>
      <c r="R14" t="str">
        <f t="shared" si="21"/>
        <v/>
      </c>
      <c r="S14" s="5">
        <f t="shared" si="22"/>
        <v>1</v>
      </c>
      <c r="T14" s="5">
        <f t="shared" si="23"/>
        <v>1</v>
      </c>
      <c r="U14" s="5" t="str">
        <f>CONCATENATE(+Contacts!H14)</f>
        <v/>
      </c>
      <c r="V14" t="str">
        <f t="shared" si="24"/>
        <v/>
      </c>
      <c r="W14" s="5">
        <f t="shared" si="25"/>
        <v>1</v>
      </c>
      <c r="X14" s="5">
        <f t="shared" si="26"/>
        <v>1</v>
      </c>
      <c r="Y14" s="5" t="str">
        <f>CONCATENATE(+Contacts!F14)</f>
        <v/>
      </c>
      <c r="Z14" s="2" t="str">
        <f t="shared" si="27"/>
        <v>, Baderie (Baderie)</v>
      </c>
      <c r="AA14" s="2" t="str">
        <f>CONCATENATE(+Contacts!C14)</f>
        <v/>
      </c>
      <c r="AB14" s="2" t="str">
        <f t="shared" si="28"/>
        <v xml:space="preserve">, </v>
      </c>
      <c r="AC14" s="2" t="str">
        <f>CONCATENATE(+Contacts!A14)</f>
        <v>Baderie</v>
      </c>
      <c r="AD14" s="3" t="str">
        <f>CONCATENATE(" ",+Contacts!B14)</f>
        <v xml:space="preserve"> </v>
      </c>
      <c r="AE14" s="2" t="str">
        <f t="shared" si="29"/>
        <v>(</v>
      </c>
      <c r="AF14" s="3" t="str">
        <f>CONCATENATE(+Contacts!D14)</f>
        <v>Baderie</v>
      </c>
      <c r="AG14" s="2" t="str">
        <f t="shared" si="30"/>
        <v>)</v>
      </c>
      <c r="AH14" t="str">
        <f>CONCATENATE(+Contacts!I14)</f>
        <v/>
      </c>
      <c r="AI14">
        <v>1500000010</v>
      </c>
      <c r="AJ14" s="5">
        <f t="shared" si="31"/>
        <v>1</v>
      </c>
    </row>
    <row r="15" spans="1:36" x14ac:dyDescent="0.35">
      <c r="A15" s="7" t="str">
        <f t="shared" si="6"/>
        <v>&lt;contact&gt;&lt;category&gt;0&lt;/category&gt;&lt;person&gt;&lt;realName&gt;Bakker Ammerlaan    &lt;/realName&gt;&lt;/person&gt;</v>
      </c>
      <c r="B15" s="7" t="str">
        <f t="shared" si="7"/>
        <v>&lt;telephony nid="1"&gt;&lt;number id="0" prio="1" type="work"&gt;+31 107600010&lt;/number&gt;&lt;/telephony&gt;</v>
      </c>
      <c r="C15" s="7" t="str">
        <f t="shared" si="8"/>
        <v>&lt;services /&gt;&lt;setup /&gt;&lt;mod_time&gt;1500000010&lt;/mod_time&gt;&lt;uniqueid&gt;1&lt;/uniqueid&gt;&lt;/contact&gt;</v>
      </c>
      <c r="D15" t="str">
        <f t="shared" si="9"/>
        <v>&lt;contact&gt;&lt;category&gt;0&lt;/category&gt;&lt;person&gt;&lt;realName&gt;Bakker Ammerlaan    &lt;/realName&gt;&lt;/person&gt;</v>
      </c>
      <c r="E15" t="str">
        <f t="shared" si="10"/>
        <v>&lt;telephony nid="1"&gt;&lt;number id="0" prio="1" type="work"&gt;+31 107600010&lt;/number&gt;&lt;/telephony&gt;</v>
      </c>
      <c r="F15" t="str">
        <f t="shared" si="11"/>
        <v>&lt;telephony nid="1"&gt;</v>
      </c>
      <c r="G15" t="str">
        <f t="shared" si="12"/>
        <v>&lt;number id="0" prio="1" type="work"&gt;+31 107600010&lt;/number&gt;</v>
      </c>
      <c r="H15" t="str">
        <f t="shared" si="13"/>
        <v>&lt;services nid="1"&gt;&lt;email id="0" classifier="private"&gt;&lt;/email&gt;&lt;/services&gt;&lt;setup /&gt;&lt;mod_time&gt;1500000010&lt;/mod_time&gt;&lt;uniqueid&gt;1&lt;/uniqueid&gt;&lt;/contact&gt;</v>
      </c>
      <c r="I15" t="str">
        <f t="shared" si="14"/>
        <v>&lt;services /&gt;&lt;setup /&gt;&lt;mod_time&gt;1500000010&lt;/mod_time&gt;&lt;uniqueid&gt;1&lt;/uniqueid&gt;&lt;/contact&gt;</v>
      </c>
      <c r="J15" t="str">
        <f t="shared" si="15"/>
        <v>&lt;services /&gt;&lt;setup /&gt;&lt;mod_time&gt;1500000010&lt;/mod_time&gt;&lt;uniqueid&gt;1&lt;/uniqueid&gt;&lt;/contact&gt;</v>
      </c>
      <c r="K15" s="5">
        <f t="shared" si="16"/>
        <v>1</v>
      </c>
      <c r="L15" s="5">
        <f t="shared" si="17"/>
        <v>1</v>
      </c>
      <c r="M15" s="5" t="str">
        <f>CONCATENATE(+Contacts!E15)</f>
        <v>+31 107600010</v>
      </c>
      <c r="N15" t="str">
        <f t="shared" si="18"/>
        <v/>
      </c>
      <c r="O15" s="5">
        <f t="shared" si="19"/>
        <v>1</v>
      </c>
      <c r="P15" s="5">
        <f t="shared" si="20"/>
        <v>1</v>
      </c>
      <c r="Q15" s="5" t="str">
        <f>CONCATENATE(+Contacts!G15)</f>
        <v/>
      </c>
      <c r="R15" t="str">
        <f t="shared" si="21"/>
        <v/>
      </c>
      <c r="S15" s="5">
        <f t="shared" si="22"/>
        <v>1</v>
      </c>
      <c r="T15" s="5">
        <f t="shared" si="23"/>
        <v>1</v>
      </c>
      <c r="U15" s="5" t="str">
        <f>CONCATENATE(+Contacts!H15)</f>
        <v/>
      </c>
      <c r="V15" t="str">
        <f t="shared" si="24"/>
        <v/>
      </c>
      <c r="W15" s="5">
        <f t="shared" si="25"/>
        <v>1</v>
      </c>
      <c r="X15" s="5">
        <f t="shared" si="26"/>
        <v>1</v>
      </c>
      <c r="Y15" s="5" t="str">
        <f>CONCATENATE(+Contacts!F15)</f>
        <v/>
      </c>
      <c r="Z15" s="2" t="str">
        <f t="shared" si="27"/>
        <v xml:space="preserve">Bakker Ammerlaan    </v>
      </c>
      <c r="AA15" s="2" t="str">
        <f>CONCATENATE(+Contacts!C15)</f>
        <v>Bakker Ammerlaan</v>
      </c>
      <c r="AB15" s="2" t="str">
        <f t="shared" si="28"/>
        <v xml:space="preserve"> </v>
      </c>
      <c r="AC15" s="2" t="str">
        <f>CONCATENATE(+Contacts!A15)</f>
        <v/>
      </c>
      <c r="AD15" s="3" t="str">
        <f>CONCATENATE(" ",+Contacts!B15)</f>
        <v xml:space="preserve"> </v>
      </c>
      <c r="AE15" s="2" t="str">
        <f t="shared" si="29"/>
        <v xml:space="preserve"> </v>
      </c>
      <c r="AF15" s="3" t="str">
        <f>CONCATENATE(+Contacts!D15)</f>
        <v/>
      </c>
      <c r="AG15" s="2" t="str">
        <f t="shared" si="30"/>
        <v xml:space="preserve"> </v>
      </c>
      <c r="AH15" t="str">
        <f>CONCATENATE(+Contacts!I15)</f>
        <v/>
      </c>
      <c r="AI15">
        <v>1500000010</v>
      </c>
      <c r="AJ15" s="5">
        <f t="shared" si="31"/>
        <v>1</v>
      </c>
    </row>
    <row r="16" spans="1:36" x14ac:dyDescent="0.35">
      <c r="A16" s="7" t="str">
        <f t="shared" si="6"/>
        <v>&lt;contact&gt;&lt;category&gt;0&lt;/category&gt;&lt;person&gt;&lt;realName&gt;Bakker, Martin   &lt;/realName&gt;&lt;/person&gt;</v>
      </c>
      <c r="B16" s="7" t="str">
        <f t="shared" si="7"/>
        <v>&lt;telephony nid="2"&gt;&lt;number id="0" prio="1" type="home"&gt;+31 135111246&lt;/number&gt;&lt;number id="1" prio="0" type="mobile"&gt;+31 641878606&lt;/number&gt;&lt;/telephony&gt;</v>
      </c>
      <c r="C16" s="7" t="str">
        <f t="shared" si="8"/>
        <v>&lt;services nid="1"&gt;&lt;email id="0" classifier="private"&gt;m.mbakker@hetnet.nl&lt;/email&gt;&lt;/services&gt;&lt;setup /&gt;&lt;mod_time&gt;1500000010&lt;/mod_time&gt;&lt;uniqueid&gt;1&lt;/uniqueid&gt;&lt;/contact&gt;</v>
      </c>
      <c r="D16" t="str">
        <f t="shared" si="9"/>
        <v>&lt;contact&gt;&lt;category&gt;0&lt;/category&gt;&lt;person&gt;&lt;realName&gt;Bakker, Martin   &lt;/realName&gt;&lt;/person&gt;</v>
      </c>
      <c r="E16" t="str">
        <f t="shared" si="10"/>
        <v>&lt;telephony nid="2"&gt;&lt;number id="0" prio="1" type="home"&gt;+31 135111246&lt;/number&gt;&lt;number id="1" prio="0" type="mobile"&gt;+31 641878606&lt;/number&gt;&lt;/telephony&gt;</v>
      </c>
      <c r="F16" t="str">
        <f t="shared" si="11"/>
        <v>&lt;telephony nid="2"&gt;</v>
      </c>
      <c r="G16" t="str">
        <f t="shared" si="12"/>
        <v/>
      </c>
      <c r="H16" t="str">
        <f t="shared" si="13"/>
        <v>&lt;services nid="1"&gt;&lt;email id="0" classifier="private"&gt;m.mbakker@hetnet.nl&lt;/email&gt;&lt;/services&gt;&lt;setup /&gt;&lt;mod_time&gt;1500000010&lt;/mod_time&gt;&lt;uniqueid&gt;1&lt;/uniqueid&gt;&lt;/contact&gt;</v>
      </c>
      <c r="I16" t="str">
        <f t="shared" si="14"/>
        <v>&lt;services /&gt;&lt;setup /&gt;&lt;mod_time&gt;1500000010&lt;/mod_time&gt;&lt;uniqueid&gt;1&lt;/uniqueid&gt;&lt;/contact&gt;</v>
      </c>
      <c r="J16" t="str">
        <f t="shared" si="15"/>
        <v>&lt;services nid="1"&gt;&lt;email id="0" classifier="private"&gt;m.mbakker@hetnet.nl&lt;/email&gt;&lt;/services&gt;&lt;setup /&gt;&lt;mod_time&gt;1500000010&lt;/mod_time&gt;&lt;uniqueid&gt;1&lt;/uniqueid&gt;&lt;/contact&gt;</v>
      </c>
      <c r="K16" s="5">
        <f t="shared" si="16"/>
        <v>0</v>
      </c>
      <c r="L16" s="5">
        <f t="shared" si="17"/>
        <v>0</v>
      </c>
      <c r="M16" s="5" t="str">
        <f>CONCATENATE(+Contacts!E16)</f>
        <v/>
      </c>
      <c r="N16" t="str">
        <f t="shared" si="18"/>
        <v>&lt;number id="0" prio="1" type="home"&gt;+31 135111246&lt;/number&gt;</v>
      </c>
      <c r="O16" s="5">
        <f t="shared" si="19"/>
        <v>1</v>
      </c>
      <c r="P16" s="5">
        <f t="shared" si="20"/>
        <v>1</v>
      </c>
      <c r="Q16" s="5" t="str">
        <f>CONCATENATE(+Contacts!G16)</f>
        <v>+31 135111246</v>
      </c>
      <c r="R16" t="str">
        <f t="shared" si="21"/>
        <v>&lt;number id="1" prio="0" type="mobile"&gt;+31 641878606&lt;/number&gt;</v>
      </c>
      <c r="S16" s="5">
        <f t="shared" si="22"/>
        <v>2</v>
      </c>
      <c r="T16" s="5">
        <f t="shared" si="23"/>
        <v>0</v>
      </c>
      <c r="U16" s="5" t="str">
        <f>CONCATENATE(+Contacts!H16)</f>
        <v>+31 641878606</v>
      </c>
      <c r="V16" t="str">
        <f t="shared" si="24"/>
        <v/>
      </c>
      <c r="W16" s="5">
        <f t="shared" si="25"/>
        <v>2</v>
      </c>
      <c r="X16" s="5">
        <f t="shared" si="26"/>
        <v>0</v>
      </c>
      <c r="Y16" s="5" t="str">
        <f>CONCATENATE(+Contacts!F16)</f>
        <v/>
      </c>
      <c r="Z16" s="2" t="str">
        <f t="shared" si="27"/>
        <v xml:space="preserve">Bakker, Martin   </v>
      </c>
      <c r="AA16" s="2" t="str">
        <f>CONCATENATE(+Contacts!C16)</f>
        <v>Bakker</v>
      </c>
      <c r="AB16" s="2" t="str">
        <f t="shared" si="28"/>
        <v xml:space="preserve">, </v>
      </c>
      <c r="AC16" s="2" t="str">
        <f>CONCATENATE(+Contacts!A16)</f>
        <v>Martin</v>
      </c>
      <c r="AD16" s="3" t="str">
        <f>CONCATENATE(" ",+Contacts!B16)</f>
        <v xml:space="preserve"> </v>
      </c>
      <c r="AE16" s="2" t="str">
        <f t="shared" si="29"/>
        <v xml:space="preserve"> </v>
      </c>
      <c r="AF16" s="3" t="str">
        <f>CONCATENATE(+Contacts!D16)</f>
        <v/>
      </c>
      <c r="AG16" s="2" t="str">
        <f t="shared" si="30"/>
        <v xml:space="preserve"> </v>
      </c>
      <c r="AH16" t="str">
        <f>CONCATENATE(+Contacts!I16)</f>
        <v>m.mbakker@hetnet.nl</v>
      </c>
      <c r="AI16">
        <v>1500000010</v>
      </c>
      <c r="AJ16" s="5">
        <f t="shared" si="31"/>
        <v>1</v>
      </c>
    </row>
    <row r="17" spans="1:36" x14ac:dyDescent="0.35">
      <c r="A17" s="7" t="str">
        <f t="shared" si="6"/>
        <v>&lt;contact&gt;&lt;category&gt;0&lt;/category&gt;&lt;person&gt;&lt;realName&gt;Bakker, Vera   &lt;/realName&gt;&lt;/person&gt;</v>
      </c>
      <c r="B17" s="7" t="str">
        <f t="shared" si="7"/>
        <v>&lt;telephony nid="1"&gt;&lt;number id="0" prio="1" type="mobile"&gt;+31 618363412&lt;/number&gt;&lt;/telephony&gt;</v>
      </c>
      <c r="C17" s="7" t="str">
        <f t="shared" si="8"/>
        <v>&lt;services nid="1"&gt;&lt;email id="0" classifier="private"&gt;Vera_Melanchthon@hotmail.com&lt;/email&gt;&lt;/services&gt;&lt;setup /&gt;&lt;mod_time&gt;1500000010&lt;/mod_time&gt;&lt;uniqueid&gt;1&lt;/uniqueid&gt;&lt;/contact&gt;</v>
      </c>
      <c r="D17" t="str">
        <f t="shared" si="9"/>
        <v>&lt;contact&gt;&lt;category&gt;0&lt;/category&gt;&lt;person&gt;&lt;realName&gt;Bakker, Vera   &lt;/realName&gt;&lt;/person&gt;</v>
      </c>
      <c r="E17" t="str">
        <f t="shared" si="10"/>
        <v>&lt;telephony nid="1"&gt;&lt;number id="0" prio="1" type="mobile"&gt;+31 618363412&lt;/number&gt;&lt;/telephony&gt;</v>
      </c>
      <c r="F17" t="str">
        <f t="shared" si="11"/>
        <v>&lt;telephony nid="1"&gt;</v>
      </c>
      <c r="G17" t="str">
        <f t="shared" si="12"/>
        <v/>
      </c>
      <c r="H17" t="str">
        <f t="shared" si="13"/>
        <v>&lt;services nid="1"&gt;&lt;email id="0" classifier="private"&gt;Vera_Melanchthon@hotmail.com&lt;/email&gt;&lt;/services&gt;&lt;setup /&gt;&lt;mod_time&gt;1500000010&lt;/mod_time&gt;&lt;uniqueid&gt;1&lt;/uniqueid&gt;&lt;/contact&gt;</v>
      </c>
      <c r="I17" t="str">
        <f t="shared" si="14"/>
        <v>&lt;services /&gt;&lt;setup /&gt;&lt;mod_time&gt;1500000010&lt;/mod_time&gt;&lt;uniqueid&gt;1&lt;/uniqueid&gt;&lt;/contact&gt;</v>
      </c>
      <c r="J17" t="str">
        <f t="shared" si="15"/>
        <v>&lt;services nid="1"&gt;&lt;email id="0" classifier="private"&gt;Vera_Melanchthon@hotmail.com&lt;/email&gt;&lt;/services&gt;&lt;setup /&gt;&lt;mod_time&gt;1500000010&lt;/mod_time&gt;&lt;uniqueid&gt;1&lt;/uniqueid&gt;&lt;/contact&gt;</v>
      </c>
      <c r="K17" s="5">
        <f t="shared" si="16"/>
        <v>0</v>
      </c>
      <c r="L17" s="5">
        <f t="shared" si="17"/>
        <v>0</v>
      </c>
      <c r="M17" s="5" t="str">
        <f>CONCATENATE(+Contacts!E17)</f>
        <v/>
      </c>
      <c r="N17" t="str">
        <f t="shared" si="18"/>
        <v/>
      </c>
      <c r="O17" s="5">
        <f t="shared" si="19"/>
        <v>0</v>
      </c>
      <c r="P17" s="5">
        <f t="shared" si="20"/>
        <v>0</v>
      </c>
      <c r="Q17" s="5" t="str">
        <f>CONCATENATE(+Contacts!G17)</f>
        <v/>
      </c>
      <c r="R17" t="str">
        <f t="shared" si="21"/>
        <v>&lt;number id="0" prio="1" type="mobile"&gt;+31 618363412&lt;/number&gt;</v>
      </c>
      <c r="S17" s="5">
        <f t="shared" si="22"/>
        <v>1</v>
      </c>
      <c r="T17" s="5">
        <f t="shared" si="23"/>
        <v>1</v>
      </c>
      <c r="U17" s="5" t="str">
        <f>CONCATENATE(+Contacts!H17)</f>
        <v>+31 618363412</v>
      </c>
      <c r="V17" t="str">
        <f t="shared" si="24"/>
        <v/>
      </c>
      <c r="W17" s="5">
        <f t="shared" si="25"/>
        <v>1</v>
      </c>
      <c r="X17" s="5">
        <f t="shared" si="26"/>
        <v>1</v>
      </c>
      <c r="Y17" s="5" t="str">
        <f>CONCATENATE(+Contacts!F17)</f>
        <v/>
      </c>
      <c r="Z17" s="2" t="str">
        <f t="shared" si="27"/>
        <v xml:space="preserve">Bakker, Vera   </v>
      </c>
      <c r="AA17" s="2" t="str">
        <f>CONCATENATE(+Contacts!C17)</f>
        <v>Bakker</v>
      </c>
      <c r="AB17" s="2" t="str">
        <f t="shared" si="28"/>
        <v xml:space="preserve">, </v>
      </c>
      <c r="AC17" s="2" t="str">
        <f>CONCATENATE(+Contacts!A17)</f>
        <v>Vera</v>
      </c>
      <c r="AD17" s="3" t="str">
        <f>CONCATENATE(" ",+Contacts!B17)</f>
        <v xml:space="preserve"> </v>
      </c>
      <c r="AE17" s="2" t="str">
        <f t="shared" si="29"/>
        <v xml:space="preserve"> </v>
      </c>
      <c r="AF17" s="3" t="str">
        <f>CONCATENATE(+Contacts!D17)</f>
        <v/>
      </c>
      <c r="AG17" s="2" t="str">
        <f t="shared" si="30"/>
        <v xml:space="preserve"> </v>
      </c>
      <c r="AH17" t="str">
        <f>CONCATENATE(+Contacts!I17)</f>
        <v>Vera_Melanchthon@hotmail.com</v>
      </c>
      <c r="AI17">
        <v>1500000010</v>
      </c>
      <c r="AJ17" s="5">
        <f t="shared" si="31"/>
        <v>1</v>
      </c>
    </row>
    <row r="18" spans="1:36" x14ac:dyDescent="0.35">
      <c r="A18" s="7" t="str">
        <f t="shared" si="6"/>
        <v>&lt;contact&gt;&lt;category&gt;0&lt;/category&gt;&lt;person&gt;&lt;realName&gt;Bal, Joek   &lt;/realName&gt;&lt;/person&gt;</v>
      </c>
      <c r="B18" s="7" t="str">
        <f t="shared" si="7"/>
        <v>&lt;telephony nid="1"&gt;&lt;number id="0" prio="1" type="home"&gt;+31 104211178&lt;/number&gt;&lt;/telephony&gt;</v>
      </c>
      <c r="C18" s="7" t="str">
        <f t="shared" si="8"/>
        <v>&lt;services nid="1"&gt;&lt;email id="0" classifier="private"&gt;jcbal1961@gmail.com&lt;/email&gt;&lt;/services&gt;&lt;setup /&gt;&lt;mod_time&gt;1500000010&lt;/mod_time&gt;&lt;uniqueid&gt;1&lt;/uniqueid&gt;&lt;/contact&gt;</v>
      </c>
      <c r="D18" t="str">
        <f t="shared" si="9"/>
        <v>&lt;contact&gt;&lt;category&gt;0&lt;/category&gt;&lt;person&gt;&lt;realName&gt;Bal, Joek   &lt;/realName&gt;&lt;/person&gt;</v>
      </c>
      <c r="E18" t="str">
        <f t="shared" si="10"/>
        <v>&lt;telephony nid="1"&gt;&lt;number id="0" prio="1" type="home"&gt;+31 104211178&lt;/number&gt;&lt;/telephony&gt;</v>
      </c>
      <c r="F18" t="str">
        <f t="shared" si="11"/>
        <v>&lt;telephony nid="1"&gt;</v>
      </c>
      <c r="G18" t="str">
        <f t="shared" si="12"/>
        <v/>
      </c>
      <c r="H18" t="str">
        <f t="shared" si="13"/>
        <v>&lt;services nid="1"&gt;&lt;email id="0" classifier="private"&gt;jcbal1961@gmail.com&lt;/email&gt;&lt;/services&gt;&lt;setup /&gt;&lt;mod_time&gt;1500000010&lt;/mod_time&gt;&lt;uniqueid&gt;1&lt;/uniqueid&gt;&lt;/contact&gt;</v>
      </c>
      <c r="I18" t="str">
        <f t="shared" si="14"/>
        <v>&lt;services /&gt;&lt;setup /&gt;&lt;mod_time&gt;1500000010&lt;/mod_time&gt;&lt;uniqueid&gt;1&lt;/uniqueid&gt;&lt;/contact&gt;</v>
      </c>
      <c r="J18" t="str">
        <f t="shared" si="15"/>
        <v>&lt;services nid="1"&gt;&lt;email id="0" classifier="private"&gt;jcbal1961@gmail.com&lt;/email&gt;&lt;/services&gt;&lt;setup /&gt;&lt;mod_time&gt;1500000010&lt;/mod_time&gt;&lt;uniqueid&gt;1&lt;/uniqueid&gt;&lt;/contact&gt;</v>
      </c>
      <c r="K18" s="5">
        <f t="shared" si="16"/>
        <v>0</v>
      </c>
      <c r="L18" s="5">
        <f t="shared" si="17"/>
        <v>0</v>
      </c>
      <c r="M18" s="5" t="str">
        <f>CONCATENATE(+Contacts!E18)</f>
        <v/>
      </c>
      <c r="N18" t="str">
        <f t="shared" si="18"/>
        <v>&lt;number id="0" prio="1" type="home"&gt;+31 104211178&lt;/number&gt;</v>
      </c>
      <c r="O18" s="5">
        <f t="shared" si="19"/>
        <v>1</v>
      </c>
      <c r="P18" s="5">
        <f t="shared" si="20"/>
        <v>1</v>
      </c>
      <c r="Q18" s="5" t="str">
        <f>CONCATENATE(+Contacts!G18)</f>
        <v>+31 104211178</v>
      </c>
      <c r="R18" t="str">
        <f t="shared" si="21"/>
        <v/>
      </c>
      <c r="S18" s="5">
        <f t="shared" si="22"/>
        <v>1</v>
      </c>
      <c r="T18" s="5">
        <f t="shared" si="23"/>
        <v>1</v>
      </c>
      <c r="U18" s="5" t="str">
        <f>CONCATENATE(+Contacts!H18)</f>
        <v/>
      </c>
      <c r="V18" t="str">
        <f t="shared" si="24"/>
        <v/>
      </c>
      <c r="W18" s="5">
        <f t="shared" si="25"/>
        <v>1</v>
      </c>
      <c r="X18" s="5">
        <f t="shared" si="26"/>
        <v>1</v>
      </c>
      <c r="Y18" s="5" t="str">
        <f>CONCATENATE(+Contacts!F18)</f>
        <v/>
      </c>
      <c r="Z18" s="2" t="str">
        <f t="shared" si="27"/>
        <v xml:space="preserve">Bal, Joek   </v>
      </c>
      <c r="AA18" s="2" t="str">
        <f>CONCATENATE(+Contacts!C18)</f>
        <v>Bal</v>
      </c>
      <c r="AB18" s="2" t="str">
        <f t="shared" si="28"/>
        <v xml:space="preserve">, </v>
      </c>
      <c r="AC18" s="2" t="str">
        <f>CONCATENATE(+Contacts!A18)</f>
        <v>Joek</v>
      </c>
      <c r="AD18" s="3" t="str">
        <f>CONCATENATE(" ",+Contacts!B18)</f>
        <v xml:space="preserve"> </v>
      </c>
      <c r="AE18" s="2" t="str">
        <f t="shared" si="29"/>
        <v xml:space="preserve"> </v>
      </c>
      <c r="AF18" s="3" t="str">
        <f>CONCATENATE(+Contacts!D18)</f>
        <v/>
      </c>
      <c r="AG18" s="2" t="str">
        <f t="shared" si="30"/>
        <v xml:space="preserve"> </v>
      </c>
      <c r="AH18" t="str">
        <f>CONCATENATE(+Contacts!I18)</f>
        <v>jcbal1961@gmail.com</v>
      </c>
      <c r="AI18">
        <v>1500000010</v>
      </c>
      <c r="AJ18" s="5">
        <f t="shared" si="31"/>
        <v>1</v>
      </c>
    </row>
    <row r="19" spans="1:36" x14ac:dyDescent="0.35">
      <c r="A19" s="7" t="str">
        <f t="shared" si="6"/>
        <v/>
      </c>
      <c r="B19" s="7" t="str">
        <f t="shared" si="7"/>
        <v/>
      </c>
      <c r="C19" s="7" t="str">
        <f t="shared" si="8"/>
        <v/>
      </c>
      <c r="D19" t="str">
        <f t="shared" si="9"/>
        <v>&lt;contact&gt;&lt;category&gt;0&lt;/category&gt;&lt;person&gt;&lt;realName&gt;Balder, Hans &amp;amp; Marianne   &lt;/realName&gt;&lt;/person&gt;</v>
      </c>
      <c r="E19" t="str">
        <f t="shared" si="10"/>
        <v>&lt;telephony nid="0"&gt;&lt;/telephony&gt;</v>
      </c>
      <c r="F19" t="str">
        <f t="shared" si="11"/>
        <v>&lt;telephony nid="0"&gt;</v>
      </c>
      <c r="G19" t="str">
        <f t="shared" si="12"/>
        <v/>
      </c>
      <c r="H19" t="str">
        <f t="shared" si="13"/>
        <v>&lt;services nid="1"&gt;&lt;email id="0" classifier="private"&gt;&lt;/email&gt;&lt;/services&gt;&lt;setup /&gt;&lt;mod_time&gt;1500000010&lt;/mod_time&gt;&lt;uniqueid&gt;0&lt;/uniqueid&gt;&lt;/contact&gt;</v>
      </c>
      <c r="I19" t="str">
        <f t="shared" si="14"/>
        <v>&lt;services /&gt;&lt;setup /&gt;&lt;mod_time&gt;1500000010&lt;/mod_time&gt;&lt;uniqueid&gt;0&lt;/uniqueid&gt;&lt;/contact&gt;</v>
      </c>
      <c r="J19" t="str">
        <f t="shared" si="15"/>
        <v>&lt;services /&gt;&lt;setup /&gt;&lt;mod_time&gt;1500000010&lt;/mod_time&gt;&lt;uniqueid&gt;0&lt;/uniqueid&gt;&lt;/contact&gt;</v>
      </c>
      <c r="K19" s="5">
        <f t="shared" si="16"/>
        <v>0</v>
      </c>
      <c r="L19" s="5">
        <f t="shared" si="17"/>
        <v>0</v>
      </c>
      <c r="M19" s="5" t="str">
        <f>CONCATENATE(+Contacts!E19)</f>
        <v/>
      </c>
      <c r="N19" t="str">
        <f t="shared" si="18"/>
        <v/>
      </c>
      <c r="O19" s="5">
        <f t="shared" si="19"/>
        <v>0</v>
      </c>
      <c r="P19" s="5">
        <f t="shared" si="20"/>
        <v>0</v>
      </c>
      <c r="Q19" s="5" t="str">
        <f>CONCATENATE(+Contacts!G19)</f>
        <v/>
      </c>
      <c r="R19" t="str">
        <f t="shared" si="21"/>
        <v/>
      </c>
      <c r="S19" s="5">
        <f t="shared" si="22"/>
        <v>0</v>
      </c>
      <c r="T19" s="5">
        <f t="shared" si="23"/>
        <v>0</v>
      </c>
      <c r="U19" s="5" t="str">
        <f>CONCATENATE(+Contacts!H19)</f>
        <v/>
      </c>
      <c r="V19" t="str">
        <f t="shared" si="24"/>
        <v/>
      </c>
      <c r="W19" s="5">
        <f t="shared" si="25"/>
        <v>0</v>
      </c>
      <c r="X19" s="5">
        <f t="shared" si="26"/>
        <v>0</v>
      </c>
      <c r="Y19" s="5" t="str">
        <f>CONCATENATE(+Contacts!F19)</f>
        <v/>
      </c>
      <c r="Z19" s="2" t="str">
        <f t="shared" si="27"/>
        <v xml:space="preserve">Balder, Hans &amp;amp; Marianne   </v>
      </c>
      <c r="AA19" s="2" t="str">
        <f>CONCATENATE(+Contacts!C19)</f>
        <v>Balder</v>
      </c>
      <c r="AB19" s="2" t="str">
        <f t="shared" si="28"/>
        <v xml:space="preserve">, </v>
      </c>
      <c r="AC19" s="2" t="str">
        <f>CONCATENATE(+Contacts!A19)</f>
        <v>Hans &amp;amp; Marianne</v>
      </c>
      <c r="AD19" s="3" t="str">
        <f>CONCATENATE(" ",+Contacts!B19)</f>
        <v xml:space="preserve"> </v>
      </c>
      <c r="AE19" s="2" t="str">
        <f t="shared" si="29"/>
        <v xml:space="preserve"> </v>
      </c>
      <c r="AF19" s="3" t="str">
        <f>CONCATENATE(+Contacts!D19)</f>
        <v/>
      </c>
      <c r="AG19" s="2" t="str">
        <f t="shared" si="30"/>
        <v xml:space="preserve"> </v>
      </c>
      <c r="AH19" t="str">
        <f>CONCATENATE(+Contacts!I19)</f>
        <v/>
      </c>
      <c r="AI19">
        <v>1500000010</v>
      </c>
      <c r="AJ19" s="5">
        <f t="shared" si="31"/>
        <v>0</v>
      </c>
    </row>
    <row r="20" spans="1:36" x14ac:dyDescent="0.35">
      <c r="A20" s="7" t="str">
        <f t="shared" si="6"/>
        <v>&lt;contact&gt;&lt;category&gt;0&lt;/category&gt;&lt;person&gt;&lt;realName&gt;Barton, Christine   &lt;/realName&gt;&lt;/person&gt;</v>
      </c>
      <c r="B20" s="7" t="str">
        <f t="shared" si="7"/>
        <v>&lt;telephony nid="1"&gt;&lt;number id="0" prio="1" type="mobile"&gt;447939263017&lt;/number&gt;&lt;/telephony&gt;</v>
      </c>
      <c r="C20" s="7" t="str">
        <f t="shared" si="8"/>
        <v>&lt;services nid="1"&gt;&lt;email id="0" classifier="private"&gt;teeny51@icloud.com&lt;/email&gt;&lt;/services&gt;&lt;setup /&gt;&lt;mod_time&gt;1500000010&lt;/mod_time&gt;&lt;uniqueid&gt;1&lt;/uniqueid&gt;&lt;/contact&gt;</v>
      </c>
      <c r="D20" t="str">
        <f t="shared" si="9"/>
        <v>&lt;contact&gt;&lt;category&gt;0&lt;/category&gt;&lt;person&gt;&lt;realName&gt;Barton, Christine   &lt;/realName&gt;&lt;/person&gt;</v>
      </c>
      <c r="E20" t="str">
        <f t="shared" si="10"/>
        <v>&lt;telephony nid="1"&gt;&lt;number id="0" prio="1" type="mobile"&gt;447939263017&lt;/number&gt;&lt;/telephony&gt;</v>
      </c>
      <c r="F20" t="str">
        <f t="shared" si="11"/>
        <v>&lt;telephony nid="1"&gt;</v>
      </c>
      <c r="G20" t="str">
        <f t="shared" si="12"/>
        <v/>
      </c>
      <c r="H20" t="str">
        <f t="shared" si="13"/>
        <v>&lt;services nid="1"&gt;&lt;email id="0" classifier="private"&gt;teeny51@icloud.com&lt;/email&gt;&lt;/services&gt;&lt;setup /&gt;&lt;mod_time&gt;1500000010&lt;/mod_time&gt;&lt;uniqueid&gt;1&lt;/uniqueid&gt;&lt;/contact&gt;</v>
      </c>
      <c r="I20" t="str">
        <f t="shared" si="14"/>
        <v>&lt;services /&gt;&lt;setup /&gt;&lt;mod_time&gt;1500000010&lt;/mod_time&gt;&lt;uniqueid&gt;1&lt;/uniqueid&gt;&lt;/contact&gt;</v>
      </c>
      <c r="J20" t="str">
        <f t="shared" si="15"/>
        <v>&lt;services nid="1"&gt;&lt;email id="0" classifier="private"&gt;teeny51@icloud.com&lt;/email&gt;&lt;/services&gt;&lt;setup /&gt;&lt;mod_time&gt;1500000010&lt;/mod_time&gt;&lt;uniqueid&gt;1&lt;/uniqueid&gt;&lt;/contact&gt;</v>
      </c>
      <c r="K20" s="5">
        <f t="shared" si="16"/>
        <v>0</v>
      </c>
      <c r="L20" s="5">
        <f t="shared" si="17"/>
        <v>0</v>
      </c>
      <c r="M20" s="5" t="str">
        <f>CONCATENATE(+Contacts!E20)</f>
        <v/>
      </c>
      <c r="N20" t="str">
        <f t="shared" si="18"/>
        <v/>
      </c>
      <c r="O20" s="5">
        <f t="shared" si="19"/>
        <v>0</v>
      </c>
      <c r="P20" s="5">
        <f t="shared" si="20"/>
        <v>0</v>
      </c>
      <c r="Q20" s="5" t="str">
        <f>CONCATENATE(+Contacts!G20)</f>
        <v/>
      </c>
      <c r="R20" t="str">
        <f t="shared" si="21"/>
        <v>&lt;number id="0" prio="1" type="mobile"&gt;447939263017&lt;/number&gt;</v>
      </c>
      <c r="S20" s="5">
        <f t="shared" si="22"/>
        <v>1</v>
      </c>
      <c r="T20" s="5">
        <f t="shared" si="23"/>
        <v>1</v>
      </c>
      <c r="U20" s="5" t="str">
        <f>CONCATENATE(+Contacts!H20)</f>
        <v>447939263017</v>
      </c>
      <c r="V20" t="str">
        <f t="shared" si="24"/>
        <v/>
      </c>
      <c r="W20" s="5">
        <f t="shared" si="25"/>
        <v>1</v>
      </c>
      <c r="X20" s="5">
        <f t="shared" si="26"/>
        <v>1</v>
      </c>
      <c r="Y20" s="5" t="str">
        <f>CONCATENATE(+Contacts!F20)</f>
        <v/>
      </c>
      <c r="Z20" s="2" t="str">
        <f t="shared" si="27"/>
        <v xml:space="preserve">Barton, Christine   </v>
      </c>
      <c r="AA20" s="2" t="str">
        <f>CONCATENATE(+Contacts!C20)</f>
        <v>Barton</v>
      </c>
      <c r="AB20" s="2" t="str">
        <f t="shared" si="28"/>
        <v xml:space="preserve">, </v>
      </c>
      <c r="AC20" s="2" t="str">
        <f>CONCATENATE(+Contacts!A20)</f>
        <v>Christine</v>
      </c>
      <c r="AD20" s="3" t="str">
        <f>CONCATENATE(" ",+Contacts!B20)</f>
        <v xml:space="preserve"> </v>
      </c>
      <c r="AE20" s="2" t="str">
        <f t="shared" si="29"/>
        <v xml:space="preserve"> </v>
      </c>
      <c r="AF20" s="3" t="str">
        <f>CONCATENATE(+Contacts!D20)</f>
        <v/>
      </c>
      <c r="AG20" s="2" t="str">
        <f t="shared" si="30"/>
        <v xml:space="preserve"> </v>
      </c>
      <c r="AH20" t="str">
        <f>CONCATENATE(+Contacts!I20)</f>
        <v>teeny51@icloud.com</v>
      </c>
      <c r="AI20">
        <v>1500000010</v>
      </c>
      <c r="AJ20" s="5">
        <f t="shared" si="31"/>
        <v>1</v>
      </c>
    </row>
    <row r="21" spans="1:36" x14ac:dyDescent="0.35">
      <c r="A21" s="7" t="str">
        <f t="shared" si="6"/>
        <v/>
      </c>
      <c r="B21" s="7" t="str">
        <f t="shared" si="7"/>
        <v/>
      </c>
      <c r="C21" s="7" t="str">
        <f t="shared" si="8"/>
        <v/>
      </c>
      <c r="D21" t="str">
        <f t="shared" si="9"/>
        <v>&lt;contact&gt;&lt;category&gt;0&lt;/category&gt;&lt;person&gt;&lt;realName&gt;Barton, Nick   &lt;/realName&gt;&lt;/person&gt;</v>
      </c>
      <c r="E21" t="str">
        <f t="shared" si="10"/>
        <v>&lt;telephony nid="0"&gt;&lt;/telephony&gt;</v>
      </c>
      <c r="F21" t="str">
        <f t="shared" si="11"/>
        <v>&lt;telephony nid="0"&gt;</v>
      </c>
      <c r="G21" t="str">
        <f t="shared" si="12"/>
        <v/>
      </c>
      <c r="H21" t="str">
        <f t="shared" si="13"/>
        <v>&lt;services nid="1"&gt;&lt;email id="0" classifier="private"&gt;&lt;/email&gt;&lt;/services&gt;&lt;setup /&gt;&lt;mod_time&gt;1500000010&lt;/mod_time&gt;&lt;uniqueid&gt;0&lt;/uniqueid&gt;&lt;/contact&gt;</v>
      </c>
      <c r="I21" t="str">
        <f t="shared" si="14"/>
        <v>&lt;services /&gt;&lt;setup /&gt;&lt;mod_time&gt;1500000010&lt;/mod_time&gt;&lt;uniqueid&gt;0&lt;/uniqueid&gt;&lt;/contact&gt;</v>
      </c>
      <c r="J21" t="str">
        <f t="shared" si="15"/>
        <v>&lt;services /&gt;&lt;setup /&gt;&lt;mod_time&gt;1500000010&lt;/mod_time&gt;&lt;uniqueid&gt;0&lt;/uniqueid&gt;&lt;/contact&gt;</v>
      </c>
      <c r="K21" s="5">
        <f t="shared" si="16"/>
        <v>0</v>
      </c>
      <c r="L21" s="5">
        <f t="shared" si="17"/>
        <v>0</v>
      </c>
      <c r="M21" s="5" t="str">
        <f>CONCATENATE(+Contacts!E21)</f>
        <v/>
      </c>
      <c r="N21" t="str">
        <f t="shared" si="18"/>
        <v/>
      </c>
      <c r="O21" s="5">
        <f t="shared" si="19"/>
        <v>0</v>
      </c>
      <c r="P21" s="5">
        <f t="shared" si="20"/>
        <v>0</v>
      </c>
      <c r="Q21" s="5" t="str">
        <f>CONCATENATE(+Contacts!G21)</f>
        <v/>
      </c>
      <c r="R21" t="str">
        <f t="shared" si="21"/>
        <v/>
      </c>
      <c r="S21" s="5">
        <f t="shared" si="22"/>
        <v>0</v>
      </c>
      <c r="T21" s="5">
        <f t="shared" si="23"/>
        <v>0</v>
      </c>
      <c r="U21" s="5" t="str">
        <f>CONCATENATE(+Contacts!H21)</f>
        <v/>
      </c>
      <c r="V21" t="str">
        <f t="shared" si="24"/>
        <v/>
      </c>
      <c r="W21" s="5">
        <f t="shared" si="25"/>
        <v>0</v>
      </c>
      <c r="X21" s="5">
        <f t="shared" si="26"/>
        <v>0</v>
      </c>
      <c r="Y21" s="5" t="str">
        <f>CONCATENATE(+Contacts!F21)</f>
        <v/>
      </c>
      <c r="Z21" s="2" t="str">
        <f t="shared" si="27"/>
        <v xml:space="preserve">Barton, Nick   </v>
      </c>
      <c r="AA21" s="2" t="str">
        <f>CONCATENATE(+Contacts!C21)</f>
        <v>Barton</v>
      </c>
      <c r="AB21" s="2" t="str">
        <f t="shared" si="28"/>
        <v xml:space="preserve">, </v>
      </c>
      <c r="AC21" s="2" t="str">
        <f>CONCATENATE(+Contacts!A21)</f>
        <v>Nick</v>
      </c>
      <c r="AD21" s="3" t="str">
        <f>CONCATENATE(" ",+Contacts!B21)</f>
        <v xml:space="preserve"> </v>
      </c>
      <c r="AE21" s="2" t="str">
        <f t="shared" si="29"/>
        <v xml:space="preserve"> </v>
      </c>
      <c r="AF21" s="3" t="str">
        <f>CONCATENATE(+Contacts!D21)</f>
        <v/>
      </c>
      <c r="AG21" s="2" t="str">
        <f t="shared" si="30"/>
        <v xml:space="preserve"> </v>
      </c>
      <c r="AH21" t="str">
        <f>CONCATENATE(+Contacts!I21)</f>
        <v/>
      </c>
      <c r="AI21">
        <v>1500000010</v>
      </c>
      <c r="AJ21" s="5">
        <f t="shared" si="31"/>
        <v>0</v>
      </c>
    </row>
    <row r="22" spans="1:36" x14ac:dyDescent="0.35">
      <c r="A22" s="7" t="str">
        <f t="shared" si="6"/>
        <v>&lt;contact&gt;&lt;category&gt;0&lt;/category&gt;&lt;person&gt;&lt;realName&gt;Belastingtelefoon  (Overheid)&lt;/realName&gt;&lt;/person&gt;</v>
      </c>
      <c r="B22" s="7" t="str">
        <f t="shared" si="7"/>
        <v>&lt;telephony nid="1"&gt;&lt;number id="0" prio="1" type="work"&gt;0800 0543&lt;/number&gt;&lt;/telephony&gt;</v>
      </c>
      <c r="C22" s="7" t="str">
        <f t="shared" si="8"/>
        <v>&lt;services /&gt;&lt;setup /&gt;&lt;mod_time&gt;1500000010&lt;/mod_time&gt;&lt;uniqueid&gt;1&lt;/uniqueid&gt;&lt;/contact&gt;</v>
      </c>
      <c r="D22" t="str">
        <f t="shared" si="9"/>
        <v>&lt;contact&gt;&lt;category&gt;0&lt;/category&gt;&lt;person&gt;&lt;realName&gt;Belastingtelefoon  (Overheid)&lt;/realName&gt;&lt;/person&gt;</v>
      </c>
      <c r="E22" t="str">
        <f t="shared" si="10"/>
        <v>&lt;telephony nid="1"&gt;&lt;number id="0" prio="1" type="work"&gt;0800 0543&lt;/number&gt;&lt;/telephony&gt;</v>
      </c>
      <c r="F22" t="str">
        <f t="shared" si="11"/>
        <v>&lt;telephony nid="1"&gt;</v>
      </c>
      <c r="G22" t="str">
        <f t="shared" si="12"/>
        <v>&lt;number id="0" prio="1" type="work"&gt;0800 0543&lt;/number&gt;</v>
      </c>
      <c r="H22" t="str">
        <f t="shared" si="13"/>
        <v>&lt;services nid="1"&gt;&lt;email id="0" classifier="private"&gt;&lt;/email&gt;&lt;/services&gt;&lt;setup /&gt;&lt;mod_time&gt;1500000010&lt;/mod_time&gt;&lt;uniqueid&gt;1&lt;/uniqueid&gt;&lt;/contact&gt;</v>
      </c>
      <c r="I22" t="str">
        <f t="shared" si="14"/>
        <v>&lt;services /&gt;&lt;setup /&gt;&lt;mod_time&gt;1500000010&lt;/mod_time&gt;&lt;uniqueid&gt;1&lt;/uniqueid&gt;&lt;/contact&gt;</v>
      </c>
      <c r="J22" t="str">
        <f t="shared" si="15"/>
        <v>&lt;services /&gt;&lt;setup /&gt;&lt;mod_time&gt;1500000010&lt;/mod_time&gt;&lt;uniqueid&gt;1&lt;/uniqueid&gt;&lt;/contact&gt;</v>
      </c>
      <c r="K22" s="5">
        <f t="shared" si="16"/>
        <v>1</v>
      </c>
      <c r="L22" s="5">
        <f t="shared" si="17"/>
        <v>1</v>
      </c>
      <c r="M22" s="5" t="str">
        <f>CONCATENATE(+Contacts!E22)</f>
        <v>0800 0543</v>
      </c>
      <c r="N22" t="str">
        <f t="shared" si="18"/>
        <v/>
      </c>
      <c r="O22" s="5">
        <f t="shared" si="19"/>
        <v>1</v>
      </c>
      <c r="P22" s="5">
        <f t="shared" si="20"/>
        <v>1</v>
      </c>
      <c r="Q22" s="5" t="str">
        <f>CONCATENATE(+Contacts!G22)</f>
        <v/>
      </c>
      <c r="R22" t="str">
        <f t="shared" si="21"/>
        <v/>
      </c>
      <c r="S22" s="5">
        <f t="shared" si="22"/>
        <v>1</v>
      </c>
      <c r="T22" s="5">
        <f t="shared" si="23"/>
        <v>1</v>
      </c>
      <c r="U22" s="5" t="str">
        <f>CONCATENATE(+Contacts!H22)</f>
        <v/>
      </c>
      <c r="V22" t="str">
        <f t="shared" si="24"/>
        <v/>
      </c>
      <c r="W22" s="5">
        <f t="shared" si="25"/>
        <v>1</v>
      </c>
      <c r="X22" s="5">
        <f t="shared" si="26"/>
        <v>1</v>
      </c>
      <c r="Y22" s="5" t="str">
        <f>CONCATENATE(+Contacts!F22)</f>
        <v/>
      </c>
      <c r="Z22" s="2" t="str">
        <f t="shared" si="27"/>
        <v>Belastingtelefoon  (Overheid)</v>
      </c>
      <c r="AA22" s="2" t="str">
        <f>CONCATENATE(+Contacts!C22)</f>
        <v>Belastingtelefoon</v>
      </c>
      <c r="AB22" s="2" t="str">
        <f t="shared" si="28"/>
        <v xml:space="preserve"> </v>
      </c>
      <c r="AC22" s="2" t="str">
        <f>CONCATENATE(+Contacts!A22)</f>
        <v/>
      </c>
      <c r="AD22" s="3" t="str">
        <f>CONCATENATE(" ",+Contacts!B22)</f>
        <v xml:space="preserve"> </v>
      </c>
      <c r="AE22" s="2" t="str">
        <f t="shared" si="29"/>
        <v>(</v>
      </c>
      <c r="AF22" s="3" t="str">
        <f>CONCATENATE(+Contacts!D22)</f>
        <v>Overheid</v>
      </c>
      <c r="AG22" s="2" t="str">
        <f t="shared" si="30"/>
        <v>)</v>
      </c>
      <c r="AH22" t="str">
        <f>CONCATENATE(+Contacts!I22)</f>
        <v/>
      </c>
      <c r="AI22">
        <v>1500000010</v>
      </c>
      <c r="AJ22" s="5">
        <f t="shared" si="31"/>
        <v>1</v>
      </c>
    </row>
    <row r="23" spans="1:36" x14ac:dyDescent="0.35">
      <c r="A23" s="7" t="str">
        <f t="shared" si="6"/>
        <v>&lt;contact&gt;&lt;category&gt;0&lt;/category&gt;&lt;person&gt;&lt;realName&gt;Berben, Maureen   &lt;/realName&gt;&lt;/person&gt;</v>
      </c>
      <c r="B23" s="7" t="str">
        <f t="shared" si="7"/>
        <v>&lt;telephony nid="1"&gt;&lt;number id="0" prio="1" type="mobile"&gt;+31 645830230&lt;/number&gt;&lt;/telephony&gt;</v>
      </c>
      <c r="C23" s="7" t="str">
        <f t="shared" si="8"/>
        <v>&lt;services nid="1"&gt;&lt;email id="0" classifier="private"&gt;mberben@gmail.com&lt;/email&gt;&lt;/services&gt;&lt;setup /&gt;&lt;mod_time&gt;1500000010&lt;/mod_time&gt;&lt;uniqueid&gt;1&lt;/uniqueid&gt;&lt;/contact&gt;</v>
      </c>
      <c r="D23" t="str">
        <f t="shared" si="9"/>
        <v>&lt;contact&gt;&lt;category&gt;0&lt;/category&gt;&lt;person&gt;&lt;realName&gt;Berben, Maureen   &lt;/realName&gt;&lt;/person&gt;</v>
      </c>
      <c r="E23" t="str">
        <f t="shared" si="10"/>
        <v>&lt;telephony nid="1"&gt;&lt;number id="0" prio="1" type="mobile"&gt;+31 645830230&lt;/number&gt;&lt;/telephony&gt;</v>
      </c>
      <c r="F23" t="str">
        <f t="shared" si="11"/>
        <v>&lt;telephony nid="1"&gt;</v>
      </c>
      <c r="G23" t="str">
        <f t="shared" si="12"/>
        <v/>
      </c>
      <c r="H23" t="str">
        <f t="shared" si="13"/>
        <v>&lt;services nid="1"&gt;&lt;email id="0" classifier="private"&gt;mberben@gmail.com&lt;/email&gt;&lt;/services&gt;&lt;setup /&gt;&lt;mod_time&gt;1500000010&lt;/mod_time&gt;&lt;uniqueid&gt;1&lt;/uniqueid&gt;&lt;/contact&gt;</v>
      </c>
      <c r="I23" t="str">
        <f t="shared" si="14"/>
        <v>&lt;services /&gt;&lt;setup /&gt;&lt;mod_time&gt;1500000010&lt;/mod_time&gt;&lt;uniqueid&gt;1&lt;/uniqueid&gt;&lt;/contact&gt;</v>
      </c>
      <c r="J23" t="str">
        <f t="shared" si="15"/>
        <v>&lt;services nid="1"&gt;&lt;email id="0" classifier="private"&gt;mberben@gmail.com&lt;/email&gt;&lt;/services&gt;&lt;setup /&gt;&lt;mod_time&gt;1500000010&lt;/mod_time&gt;&lt;uniqueid&gt;1&lt;/uniqueid&gt;&lt;/contact&gt;</v>
      </c>
      <c r="K23" s="5">
        <f t="shared" si="16"/>
        <v>0</v>
      </c>
      <c r="L23" s="5">
        <f t="shared" si="17"/>
        <v>0</v>
      </c>
      <c r="M23" s="5" t="str">
        <f>CONCATENATE(+Contacts!E23)</f>
        <v/>
      </c>
      <c r="N23" t="str">
        <f t="shared" si="18"/>
        <v/>
      </c>
      <c r="O23" s="5">
        <f t="shared" si="19"/>
        <v>0</v>
      </c>
      <c r="P23" s="5">
        <f t="shared" si="20"/>
        <v>0</v>
      </c>
      <c r="Q23" s="5" t="str">
        <f>CONCATENATE(+Contacts!G23)</f>
        <v/>
      </c>
      <c r="R23" t="str">
        <f t="shared" si="21"/>
        <v>&lt;number id="0" prio="1" type="mobile"&gt;+31 645830230&lt;/number&gt;</v>
      </c>
      <c r="S23" s="5">
        <f t="shared" si="22"/>
        <v>1</v>
      </c>
      <c r="T23" s="5">
        <f t="shared" si="23"/>
        <v>1</v>
      </c>
      <c r="U23" s="5" t="str">
        <f>CONCATENATE(+Contacts!H23)</f>
        <v>+31 645830230</v>
      </c>
      <c r="V23" t="str">
        <f t="shared" si="24"/>
        <v/>
      </c>
      <c r="W23" s="5">
        <f t="shared" si="25"/>
        <v>1</v>
      </c>
      <c r="X23" s="5">
        <f t="shared" si="26"/>
        <v>1</v>
      </c>
      <c r="Y23" s="5" t="str">
        <f>CONCATENATE(+Contacts!F23)</f>
        <v/>
      </c>
      <c r="Z23" s="2" t="str">
        <f t="shared" si="27"/>
        <v xml:space="preserve">Berben, Maureen   </v>
      </c>
      <c r="AA23" s="2" t="str">
        <f>CONCATENATE(+Contacts!C23)</f>
        <v>Berben</v>
      </c>
      <c r="AB23" s="2" t="str">
        <f t="shared" si="28"/>
        <v xml:space="preserve">, </v>
      </c>
      <c r="AC23" s="2" t="str">
        <f>CONCATENATE(+Contacts!A23)</f>
        <v>Maureen</v>
      </c>
      <c r="AD23" s="3" t="str">
        <f>CONCATENATE(" ",+Contacts!B23)</f>
        <v xml:space="preserve"> </v>
      </c>
      <c r="AE23" s="2" t="str">
        <f t="shared" si="29"/>
        <v xml:space="preserve"> </v>
      </c>
      <c r="AF23" s="3" t="str">
        <f>CONCATENATE(+Contacts!D23)</f>
        <v/>
      </c>
      <c r="AG23" s="2" t="str">
        <f t="shared" si="30"/>
        <v xml:space="preserve"> </v>
      </c>
      <c r="AH23" t="str">
        <f>CONCATENATE(+Contacts!I23)</f>
        <v>mberben@gmail.com</v>
      </c>
      <c r="AI23">
        <v>1500000010</v>
      </c>
      <c r="AJ23" s="5">
        <f t="shared" si="31"/>
        <v>1</v>
      </c>
    </row>
    <row r="24" spans="1:36" x14ac:dyDescent="0.35">
      <c r="A24" s="7" t="str">
        <f t="shared" si="6"/>
        <v>&lt;contact&gt;&lt;category&gt;0&lt;/category&gt;&lt;person&gt;&lt;realName&gt;Berg, Nick van den  &lt;/realName&gt;&lt;/person&gt;</v>
      </c>
      <c r="B24" s="7" t="str">
        <f t="shared" si="7"/>
        <v>&lt;telephony nid="1"&gt;&lt;number id="0" prio="1" type="mobile"&gt;+31 6 26922570&lt;/number&gt;&lt;/telephony&gt;</v>
      </c>
      <c r="C24" s="7" t="str">
        <f t="shared" si="8"/>
        <v>&lt;services nid="1"&gt;&lt;email id="0" classifier="private"&gt;nick.kranck@gmail.com&lt;/email&gt;&lt;/services&gt;&lt;setup /&gt;&lt;mod_time&gt;1500000010&lt;/mod_time&gt;&lt;uniqueid&gt;1&lt;/uniqueid&gt;&lt;/contact&gt;</v>
      </c>
      <c r="D24" t="str">
        <f t="shared" si="9"/>
        <v>&lt;contact&gt;&lt;category&gt;0&lt;/category&gt;&lt;person&gt;&lt;realName&gt;Berg, Nick van den  &lt;/realName&gt;&lt;/person&gt;</v>
      </c>
      <c r="E24" t="str">
        <f t="shared" si="10"/>
        <v>&lt;telephony nid="1"&gt;&lt;number id="0" prio="1" type="mobile"&gt;+31 6 26922570&lt;/number&gt;&lt;/telephony&gt;</v>
      </c>
      <c r="F24" t="str">
        <f t="shared" si="11"/>
        <v>&lt;telephony nid="1"&gt;</v>
      </c>
      <c r="G24" t="str">
        <f t="shared" si="12"/>
        <v/>
      </c>
      <c r="H24" t="str">
        <f t="shared" si="13"/>
        <v>&lt;services nid="1"&gt;&lt;email id="0" classifier="private"&gt;nick.kranck@gmail.com&lt;/email&gt;&lt;/services&gt;&lt;setup /&gt;&lt;mod_time&gt;1500000010&lt;/mod_time&gt;&lt;uniqueid&gt;1&lt;/uniqueid&gt;&lt;/contact&gt;</v>
      </c>
      <c r="I24" t="str">
        <f t="shared" si="14"/>
        <v>&lt;services /&gt;&lt;setup /&gt;&lt;mod_time&gt;1500000010&lt;/mod_time&gt;&lt;uniqueid&gt;1&lt;/uniqueid&gt;&lt;/contact&gt;</v>
      </c>
      <c r="J24" t="str">
        <f t="shared" si="15"/>
        <v>&lt;services nid="1"&gt;&lt;email id="0" classifier="private"&gt;nick.kranck@gmail.com&lt;/email&gt;&lt;/services&gt;&lt;setup /&gt;&lt;mod_time&gt;1500000010&lt;/mod_time&gt;&lt;uniqueid&gt;1&lt;/uniqueid&gt;&lt;/contact&gt;</v>
      </c>
      <c r="K24" s="5">
        <f t="shared" si="16"/>
        <v>0</v>
      </c>
      <c r="L24" s="5">
        <f t="shared" si="17"/>
        <v>0</v>
      </c>
      <c r="M24" s="5" t="str">
        <f>CONCATENATE(+Contacts!E24)</f>
        <v/>
      </c>
      <c r="N24" t="str">
        <f t="shared" si="18"/>
        <v/>
      </c>
      <c r="O24" s="5">
        <f t="shared" si="19"/>
        <v>0</v>
      </c>
      <c r="P24" s="5">
        <f t="shared" si="20"/>
        <v>0</v>
      </c>
      <c r="Q24" s="5" t="str">
        <f>CONCATENATE(+Contacts!G24)</f>
        <v/>
      </c>
      <c r="R24" t="str">
        <f t="shared" si="21"/>
        <v>&lt;number id="0" prio="1" type="mobile"&gt;+31 6 26922570&lt;/number&gt;</v>
      </c>
      <c r="S24" s="5">
        <f t="shared" si="22"/>
        <v>1</v>
      </c>
      <c r="T24" s="5">
        <f t="shared" si="23"/>
        <v>1</v>
      </c>
      <c r="U24" s="5" t="str">
        <f>CONCATENATE(+Contacts!H24)</f>
        <v>+31 6 26922570</v>
      </c>
      <c r="V24" t="str">
        <f t="shared" si="24"/>
        <v/>
      </c>
      <c r="W24" s="5">
        <f t="shared" si="25"/>
        <v>1</v>
      </c>
      <c r="X24" s="5">
        <f t="shared" si="26"/>
        <v>1</v>
      </c>
      <c r="Y24" s="5" t="str">
        <f>CONCATENATE(+Contacts!F24)</f>
        <v/>
      </c>
      <c r="Z24" s="2" t="str">
        <f t="shared" si="27"/>
        <v xml:space="preserve">Berg, Nick van den  </v>
      </c>
      <c r="AA24" s="2" t="str">
        <f>CONCATENATE(+Contacts!C24)</f>
        <v>Berg</v>
      </c>
      <c r="AB24" s="2" t="str">
        <f t="shared" si="28"/>
        <v xml:space="preserve">, </v>
      </c>
      <c r="AC24" s="2" t="str">
        <f>CONCATENATE(+Contacts!A24)</f>
        <v>Nick</v>
      </c>
      <c r="AD24" s="3" t="str">
        <f>CONCATENATE(" ",+Contacts!B24)</f>
        <v xml:space="preserve"> van den</v>
      </c>
      <c r="AE24" s="2" t="str">
        <f t="shared" si="29"/>
        <v xml:space="preserve"> </v>
      </c>
      <c r="AF24" s="3" t="str">
        <f>CONCATENATE(+Contacts!D24)</f>
        <v/>
      </c>
      <c r="AG24" s="2" t="str">
        <f t="shared" si="30"/>
        <v xml:space="preserve"> </v>
      </c>
      <c r="AH24" t="str">
        <f>CONCATENATE(+Contacts!I24)</f>
        <v>nick.kranck@gmail.com</v>
      </c>
      <c r="AI24">
        <v>1500000010</v>
      </c>
      <c r="AJ24" s="5">
        <f t="shared" si="31"/>
        <v>1</v>
      </c>
    </row>
    <row r="25" spans="1:36" x14ac:dyDescent="0.35">
      <c r="A25" s="7" t="str">
        <f t="shared" si="6"/>
        <v>&lt;contact&gt;&lt;category&gt;0&lt;/category&gt;&lt;person&gt;&lt;realName&gt;Bergwerff, Herman   &lt;/realName&gt;&lt;/person&gt;</v>
      </c>
      <c r="B25" s="7" t="str">
        <f t="shared" si="7"/>
        <v>&lt;telephony nid="2"&gt;&lt;number id="0" prio="1" type="home"&gt;+31 517341600&lt;/number&gt;&lt;number id="1" prio="0" type="mobile"&gt;+31 653 838 441&lt;/number&gt;&lt;/telephony&gt;</v>
      </c>
      <c r="C25" s="7" t="str">
        <f t="shared" si="8"/>
        <v>&lt;services nid="1"&gt;&lt;email id="0" classifier="private"&gt;bergwerffhb@planet.nl&lt;/email&gt;&lt;/services&gt;&lt;setup /&gt;&lt;mod_time&gt;1500000010&lt;/mod_time&gt;&lt;uniqueid&gt;1&lt;/uniqueid&gt;&lt;/contact&gt;</v>
      </c>
      <c r="D25" t="str">
        <f t="shared" si="9"/>
        <v>&lt;contact&gt;&lt;category&gt;0&lt;/category&gt;&lt;person&gt;&lt;realName&gt;Bergwerff, Herman   &lt;/realName&gt;&lt;/person&gt;</v>
      </c>
      <c r="E25" t="str">
        <f t="shared" si="10"/>
        <v>&lt;telephony nid="2"&gt;&lt;number id="0" prio="1" type="home"&gt;+31 517341600&lt;/number&gt;&lt;number id="1" prio="0" type="mobile"&gt;+31 653 838 441&lt;/number&gt;&lt;/telephony&gt;</v>
      </c>
      <c r="F25" t="str">
        <f t="shared" si="11"/>
        <v>&lt;telephony nid="2"&gt;</v>
      </c>
      <c r="G25" t="str">
        <f t="shared" si="12"/>
        <v/>
      </c>
      <c r="H25" t="str">
        <f t="shared" si="13"/>
        <v>&lt;services nid="1"&gt;&lt;email id="0" classifier="private"&gt;bergwerffhb@planet.nl&lt;/email&gt;&lt;/services&gt;&lt;setup /&gt;&lt;mod_time&gt;1500000010&lt;/mod_time&gt;&lt;uniqueid&gt;1&lt;/uniqueid&gt;&lt;/contact&gt;</v>
      </c>
      <c r="I25" t="str">
        <f t="shared" si="14"/>
        <v>&lt;services /&gt;&lt;setup /&gt;&lt;mod_time&gt;1500000010&lt;/mod_time&gt;&lt;uniqueid&gt;1&lt;/uniqueid&gt;&lt;/contact&gt;</v>
      </c>
      <c r="J25" t="str">
        <f t="shared" si="15"/>
        <v>&lt;services nid="1"&gt;&lt;email id="0" classifier="private"&gt;bergwerffhb@planet.nl&lt;/email&gt;&lt;/services&gt;&lt;setup /&gt;&lt;mod_time&gt;1500000010&lt;/mod_time&gt;&lt;uniqueid&gt;1&lt;/uniqueid&gt;&lt;/contact&gt;</v>
      </c>
      <c r="K25" s="5">
        <f t="shared" si="16"/>
        <v>0</v>
      </c>
      <c r="L25" s="5">
        <f t="shared" si="17"/>
        <v>0</v>
      </c>
      <c r="M25" s="5" t="str">
        <f>CONCATENATE(+Contacts!E25)</f>
        <v/>
      </c>
      <c r="N25" t="str">
        <f t="shared" si="18"/>
        <v>&lt;number id="0" prio="1" type="home"&gt;+31 517341600&lt;/number&gt;</v>
      </c>
      <c r="O25" s="5">
        <f t="shared" si="19"/>
        <v>1</v>
      </c>
      <c r="P25" s="5">
        <f t="shared" si="20"/>
        <v>1</v>
      </c>
      <c r="Q25" s="5" t="str">
        <f>CONCATENATE(+Contacts!G25)</f>
        <v>+31 517341600</v>
      </c>
      <c r="R25" t="str">
        <f t="shared" si="21"/>
        <v>&lt;number id="1" prio="0" type="mobile"&gt;+31 653 838 441&lt;/number&gt;</v>
      </c>
      <c r="S25" s="5">
        <f t="shared" si="22"/>
        <v>2</v>
      </c>
      <c r="T25" s="5">
        <f t="shared" si="23"/>
        <v>0</v>
      </c>
      <c r="U25" s="5" t="str">
        <f>CONCATENATE(+Contacts!H25)</f>
        <v>+31 653 838 441</v>
      </c>
      <c r="V25" t="str">
        <f t="shared" si="24"/>
        <v/>
      </c>
      <c r="W25" s="5">
        <f t="shared" si="25"/>
        <v>2</v>
      </c>
      <c r="X25" s="5">
        <f t="shared" si="26"/>
        <v>0</v>
      </c>
      <c r="Y25" s="5" t="str">
        <f>CONCATENATE(+Contacts!F25)</f>
        <v/>
      </c>
      <c r="Z25" s="2" t="str">
        <f t="shared" si="27"/>
        <v xml:space="preserve">Bergwerff, Herman   </v>
      </c>
      <c r="AA25" s="2" t="str">
        <f>CONCATENATE(+Contacts!C25)</f>
        <v>Bergwerff</v>
      </c>
      <c r="AB25" s="2" t="str">
        <f t="shared" si="28"/>
        <v xml:space="preserve">, </v>
      </c>
      <c r="AC25" s="2" t="str">
        <f>CONCATENATE(+Contacts!A25)</f>
        <v>Herman</v>
      </c>
      <c r="AD25" s="3" t="str">
        <f>CONCATENATE(" ",+Contacts!B25)</f>
        <v xml:space="preserve"> </v>
      </c>
      <c r="AE25" s="2" t="str">
        <f t="shared" si="29"/>
        <v xml:space="preserve"> </v>
      </c>
      <c r="AF25" s="3" t="str">
        <f>CONCATENATE(+Contacts!D25)</f>
        <v/>
      </c>
      <c r="AG25" s="2" t="str">
        <f t="shared" si="30"/>
        <v xml:space="preserve"> </v>
      </c>
      <c r="AH25" t="str">
        <f>CONCATENATE(+Contacts!I25)</f>
        <v>bergwerffhb@planet.nl</v>
      </c>
      <c r="AI25">
        <v>1500000010</v>
      </c>
      <c r="AJ25" s="5">
        <f t="shared" si="31"/>
        <v>1</v>
      </c>
    </row>
    <row r="26" spans="1:36" x14ac:dyDescent="0.35">
      <c r="A26" s="7" t="str">
        <f t="shared" si="6"/>
        <v>&lt;contact&gt;&lt;category&gt;0&lt;/category&gt;&lt;person&gt;&lt;realName&gt;Bever Zwerfsport  (Sportwinkel)&lt;/realName&gt;&lt;/person&gt;</v>
      </c>
      <c r="B26" s="7" t="str">
        <f t="shared" si="7"/>
        <v>&lt;telephony nid="1"&gt;&lt;number id="0" prio="1" type="work"&gt;+31 104134914&lt;/number&gt;&lt;/telephony&gt;</v>
      </c>
      <c r="C26" s="7" t="str">
        <f t="shared" si="8"/>
        <v>&lt;services /&gt;&lt;setup /&gt;&lt;mod_time&gt;1500000010&lt;/mod_time&gt;&lt;uniqueid&gt;1&lt;/uniqueid&gt;&lt;/contact&gt;</v>
      </c>
      <c r="D26" t="str">
        <f t="shared" si="9"/>
        <v>&lt;contact&gt;&lt;category&gt;0&lt;/category&gt;&lt;person&gt;&lt;realName&gt;Bever Zwerfsport  (Sportwinkel)&lt;/realName&gt;&lt;/person&gt;</v>
      </c>
      <c r="E26" t="str">
        <f t="shared" si="10"/>
        <v>&lt;telephony nid="1"&gt;&lt;number id="0" prio="1" type="work"&gt;+31 104134914&lt;/number&gt;&lt;/telephony&gt;</v>
      </c>
      <c r="F26" t="str">
        <f t="shared" si="11"/>
        <v>&lt;telephony nid="1"&gt;</v>
      </c>
      <c r="G26" t="str">
        <f t="shared" si="12"/>
        <v>&lt;number id="0" prio="1" type="work"&gt;+31 104134914&lt;/number&gt;</v>
      </c>
      <c r="H26" t="str">
        <f t="shared" si="13"/>
        <v>&lt;services nid="1"&gt;&lt;email id="0" classifier="private"&gt;&lt;/email&gt;&lt;/services&gt;&lt;setup /&gt;&lt;mod_time&gt;1500000010&lt;/mod_time&gt;&lt;uniqueid&gt;1&lt;/uniqueid&gt;&lt;/contact&gt;</v>
      </c>
      <c r="I26" t="str">
        <f t="shared" si="14"/>
        <v>&lt;services /&gt;&lt;setup /&gt;&lt;mod_time&gt;1500000010&lt;/mod_time&gt;&lt;uniqueid&gt;1&lt;/uniqueid&gt;&lt;/contact&gt;</v>
      </c>
      <c r="J26" t="str">
        <f t="shared" si="15"/>
        <v>&lt;services /&gt;&lt;setup /&gt;&lt;mod_time&gt;1500000010&lt;/mod_time&gt;&lt;uniqueid&gt;1&lt;/uniqueid&gt;&lt;/contact&gt;</v>
      </c>
      <c r="K26" s="5">
        <f t="shared" si="16"/>
        <v>1</v>
      </c>
      <c r="L26" s="5">
        <f t="shared" si="17"/>
        <v>1</v>
      </c>
      <c r="M26" s="5" t="str">
        <f>CONCATENATE(+Contacts!E26)</f>
        <v>+31 104134914</v>
      </c>
      <c r="N26" t="str">
        <f t="shared" si="18"/>
        <v/>
      </c>
      <c r="O26" s="5">
        <f t="shared" si="19"/>
        <v>1</v>
      </c>
      <c r="P26" s="5">
        <f t="shared" si="20"/>
        <v>1</v>
      </c>
      <c r="Q26" s="5" t="str">
        <f>CONCATENATE(+Contacts!G26)</f>
        <v/>
      </c>
      <c r="R26" t="str">
        <f t="shared" si="21"/>
        <v/>
      </c>
      <c r="S26" s="5">
        <f t="shared" si="22"/>
        <v>1</v>
      </c>
      <c r="T26" s="5">
        <f t="shared" si="23"/>
        <v>1</v>
      </c>
      <c r="U26" s="5" t="str">
        <f>CONCATENATE(+Contacts!H26)</f>
        <v/>
      </c>
      <c r="V26" t="str">
        <f t="shared" si="24"/>
        <v/>
      </c>
      <c r="W26" s="5">
        <f t="shared" si="25"/>
        <v>1</v>
      </c>
      <c r="X26" s="5">
        <f t="shared" si="26"/>
        <v>1</v>
      </c>
      <c r="Y26" s="5" t="str">
        <f>CONCATENATE(+Contacts!F26)</f>
        <v/>
      </c>
      <c r="Z26" s="2" t="str">
        <f t="shared" si="27"/>
        <v>Bever Zwerfsport  (Sportwinkel)</v>
      </c>
      <c r="AA26" s="2" t="str">
        <f>CONCATENATE(+Contacts!C26)</f>
        <v>Bever Zwerfsport</v>
      </c>
      <c r="AB26" s="2" t="str">
        <f t="shared" si="28"/>
        <v xml:space="preserve"> </v>
      </c>
      <c r="AC26" s="2" t="str">
        <f>CONCATENATE(+Contacts!A26)</f>
        <v/>
      </c>
      <c r="AD26" s="3" t="str">
        <f>CONCATENATE(" ",+Contacts!B26)</f>
        <v xml:space="preserve"> </v>
      </c>
      <c r="AE26" s="2" t="str">
        <f t="shared" si="29"/>
        <v>(</v>
      </c>
      <c r="AF26" s="3" t="str">
        <f>CONCATENATE(+Contacts!D26)</f>
        <v>Sportwinkel</v>
      </c>
      <c r="AG26" s="2" t="str">
        <f t="shared" si="30"/>
        <v>)</v>
      </c>
      <c r="AH26" t="str">
        <f>CONCATENATE(+Contacts!I26)</f>
        <v/>
      </c>
      <c r="AI26">
        <v>1500000010</v>
      </c>
      <c r="AJ26" s="5">
        <f t="shared" si="31"/>
        <v>1</v>
      </c>
    </row>
    <row r="27" spans="1:36" x14ac:dyDescent="0.35">
      <c r="A27" s="7" t="str">
        <f t="shared" si="6"/>
        <v>&lt;contact&gt;&lt;category&gt;0&lt;/category&gt;&lt;person&gt;&lt;realName&gt;Bevolkingsonderzoek Zuid-West  (Gezondheidszorg)&lt;/realName&gt;&lt;/person&gt;</v>
      </c>
      <c r="B27" s="7" t="str">
        <f t="shared" si="7"/>
        <v>&lt;telephony nid="1"&gt;&lt;number id="0" prio="1" type="work"&gt;+31 882482000&lt;/number&gt;&lt;/telephony&gt;</v>
      </c>
      <c r="C27" s="7" t="str">
        <f t="shared" si="8"/>
        <v>&lt;services /&gt;&lt;setup /&gt;&lt;mod_time&gt;1500000010&lt;/mod_time&gt;&lt;uniqueid&gt;1&lt;/uniqueid&gt;&lt;/contact&gt;</v>
      </c>
      <c r="D27" t="str">
        <f t="shared" si="9"/>
        <v>&lt;contact&gt;&lt;category&gt;0&lt;/category&gt;&lt;person&gt;&lt;realName&gt;Bevolkingsonderzoek Zuid-West  (Gezondheidszorg)&lt;/realName&gt;&lt;/person&gt;</v>
      </c>
      <c r="E27" t="str">
        <f t="shared" si="10"/>
        <v>&lt;telephony nid="1"&gt;&lt;number id="0" prio="1" type="work"&gt;+31 882482000&lt;/number&gt;&lt;/telephony&gt;</v>
      </c>
      <c r="F27" t="str">
        <f t="shared" si="11"/>
        <v>&lt;telephony nid="1"&gt;</v>
      </c>
      <c r="G27" t="str">
        <f t="shared" si="12"/>
        <v>&lt;number id="0" prio="1" type="work"&gt;+31 882482000&lt;/number&gt;</v>
      </c>
      <c r="H27" t="str">
        <f t="shared" si="13"/>
        <v>&lt;services nid="1"&gt;&lt;email id="0" classifier="private"&gt;&lt;/email&gt;&lt;/services&gt;&lt;setup /&gt;&lt;mod_time&gt;1500000010&lt;/mod_time&gt;&lt;uniqueid&gt;1&lt;/uniqueid&gt;&lt;/contact&gt;</v>
      </c>
      <c r="I27" t="str">
        <f t="shared" si="14"/>
        <v>&lt;services /&gt;&lt;setup /&gt;&lt;mod_time&gt;1500000010&lt;/mod_time&gt;&lt;uniqueid&gt;1&lt;/uniqueid&gt;&lt;/contact&gt;</v>
      </c>
      <c r="J27" t="str">
        <f t="shared" si="15"/>
        <v>&lt;services /&gt;&lt;setup /&gt;&lt;mod_time&gt;1500000010&lt;/mod_time&gt;&lt;uniqueid&gt;1&lt;/uniqueid&gt;&lt;/contact&gt;</v>
      </c>
      <c r="K27" s="5">
        <f t="shared" si="16"/>
        <v>1</v>
      </c>
      <c r="L27" s="5">
        <f t="shared" si="17"/>
        <v>1</v>
      </c>
      <c r="M27" s="5" t="str">
        <f>CONCATENATE(+Contacts!E27)</f>
        <v>+31 882482000</v>
      </c>
      <c r="N27" t="str">
        <f t="shared" si="18"/>
        <v/>
      </c>
      <c r="O27" s="5">
        <f t="shared" si="19"/>
        <v>1</v>
      </c>
      <c r="P27" s="5">
        <f t="shared" si="20"/>
        <v>1</v>
      </c>
      <c r="Q27" s="5" t="str">
        <f>CONCATENATE(+Contacts!G27)</f>
        <v/>
      </c>
      <c r="R27" t="str">
        <f t="shared" si="21"/>
        <v/>
      </c>
      <c r="S27" s="5">
        <f t="shared" si="22"/>
        <v>1</v>
      </c>
      <c r="T27" s="5">
        <f t="shared" si="23"/>
        <v>1</v>
      </c>
      <c r="U27" s="5" t="str">
        <f>CONCATENATE(+Contacts!H27)</f>
        <v/>
      </c>
      <c r="V27" t="str">
        <f t="shared" si="24"/>
        <v/>
      </c>
      <c r="W27" s="5">
        <f t="shared" si="25"/>
        <v>1</v>
      </c>
      <c r="X27" s="5">
        <f t="shared" si="26"/>
        <v>1</v>
      </c>
      <c r="Y27" s="5" t="str">
        <f>CONCATENATE(+Contacts!F27)</f>
        <v/>
      </c>
      <c r="Z27" s="2" t="str">
        <f t="shared" si="27"/>
        <v>Bevolkingsonderzoek Zuid-West  (Gezondheidszorg)</v>
      </c>
      <c r="AA27" s="2" t="str">
        <f>CONCATENATE(+Contacts!C27)</f>
        <v>Bevolkingsonderzoek Zuid-West</v>
      </c>
      <c r="AB27" s="2" t="str">
        <f t="shared" si="28"/>
        <v xml:space="preserve"> </v>
      </c>
      <c r="AC27" s="2" t="str">
        <f>CONCATENATE(+Contacts!A27)</f>
        <v/>
      </c>
      <c r="AD27" s="3" t="str">
        <f>CONCATENATE(" ",+Contacts!B27)</f>
        <v xml:space="preserve"> </v>
      </c>
      <c r="AE27" s="2" t="str">
        <f t="shared" si="29"/>
        <v>(</v>
      </c>
      <c r="AF27" s="3" t="str">
        <f>CONCATENATE(+Contacts!D27)</f>
        <v>Gezondheidszorg</v>
      </c>
      <c r="AG27" s="2" t="str">
        <f t="shared" si="30"/>
        <v>)</v>
      </c>
      <c r="AH27" t="str">
        <f>CONCATENATE(+Contacts!I27)</f>
        <v/>
      </c>
      <c r="AI27">
        <v>1500000010</v>
      </c>
      <c r="AJ27" s="5">
        <f t="shared" si="31"/>
        <v>1</v>
      </c>
    </row>
    <row r="28" spans="1:36" x14ac:dyDescent="0.35">
      <c r="A28" s="7" t="str">
        <f t="shared" si="6"/>
        <v>&lt;contact&gt;&lt;category&gt;0&lt;/category&gt;&lt;person&gt;&lt;realName&gt;Bie, Anne-Marie de  &lt;/realName&gt;&lt;/person&gt;</v>
      </c>
      <c r="B28" s="7" t="str">
        <f t="shared" si="7"/>
        <v>&lt;telephony nid="3"&gt;&lt;number id="0" prio="1" type="home"&gt;+31 102180905&lt;/number&gt;&lt;number id="1" prio="0" type="mobile"&gt;(06) 31 97 62 15&lt;/number&gt;&lt;number id="2" prio="0" type="work"&gt;(0180) 52 22 55&lt;/number&gt;&lt;/telephony&gt;</v>
      </c>
      <c r="C28" s="7" t="str">
        <f t="shared" si="8"/>
        <v>&lt;services nid="1"&gt;&lt;email id="0" classifier="private"&gt;mjacdebie@online.nl&lt;/email&gt;&lt;/services&gt;&lt;setup /&gt;&lt;mod_time&gt;1500000010&lt;/mod_time&gt;&lt;uniqueid&gt;1&lt;/uniqueid&gt;&lt;/contact&gt;</v>
      </c>
      <c r="D28" t="str">
        <f t="shared" si="9"/>
        <v>&lt;contact&gt;&lt;category&gt;0&lt;/category&gt;&lt;person&gt;&lt;realName&gt;Bie, Anne-Marie de  &lt;/realName&gt;&lt;/person&gt;</v>
      </c>
      <c r="E28" t="str">
        <f t="shared" si="10"/>
        <v>&lt;telephony nid="3"&gt;&lt;number id="0" prio="1" type="home"&gt;+31 102180905&lt;/number&gt;&lt;number id="1" prio="0" type="mobile"&gt;(06) 31 97 62 15&lt;/number&gt;&lt;number id="2" prio="0" type="work"&gt;(0180) 52 22 55&lt;/number&gt;&lt;/telephony&gt;</v>
      </c>
      <c r="F28" t="str">
        <f t="shared" si="11"/>
        <v>&lt;telephony nid="3"&gt;</v>
      </c>
      <c r="G28" t="str">
        <f t="shared" si="12"/>
        <v/>
      </c>
      <c r="H28" t="str">
        <f t="shared" si="13"/>
        <v>&lt;services nid="1"&gt;&lt;email id="0" classifier="private"&gt;mjacdebie@online.nl&lt;/email&gt;&lt;/services&gt;&lt;setup /&gt;&lt;mod_time&gt;1500000010&lt;/mod_time&gt;&lt;uniqueid&gt;1&lt;/uniqueid&gt;&lt;/contact&gt;</v>
      </c>
      <c r="I28" t="str">
        <f t="shared" si="14"/>
        <v>&lt;services /&gt;&lt;setup /&gt;&lt;mod_time&gt;1500000010&lt;/mod_time&gt;&lt;uniqueid&gt;1&lt;/uniqueid&gt;&lt;/contact&gt;</v>
      </c>
      <c r="J28" t="str">
        <f t="shared" si="15"/>
        <v>&lt;services nid="1"&gt;&lt;email id="0" classifier="private"&gt;mjacdebie@online.nl&lt;/email&gt;&lt;/services&gt;&lt;setup /&gt;&lt;mod_time&gt;1500000010&lt;/mod_time&gt;&lt;uniqueid&gt;1&lt;/uniqueid&gt;&lt;/contact&gt;</v>
      </c>
      <c r="K28" s="5">
        <f t="shared" si="16"/>
        <v>0</v>
      </c>
      <c r="L28" s="5">
        <f t="shared" si="17"/>
        <v>0</v>
      </c>
      <c r="M28" s="5" t="str">
        <f>CONCATENATE(+Contacts!E28)</f>
        <v/>
      </c>
      <c r="N28" t="str">
        <f t="shared" si="18"/>
        <v>&lt;number id="0" prio="1" type="home"&gt;+31 102180905&lt;/number&gt;</v>
      </c>
      <c r="O28" s="5">
        <f t="shared" si="19"/>
        <v>1</v>
      </c>
      <c r="P28" s="5">
        <f t="shared" si="20"/>
        <v>1</v>
      </c>
      <c r="Q28" s="5" t="str">
        <f>CONCATENATE(+Contacts!G28)</f>
        <v>+31 102180905</v>
      </c>
      <c r="R28" t="str">
        <f t="shared" si="21"/>
        <v>&lt;number id="1" prio="0" type="mobile"&gt;(06) 31 97 62 15&lt;/number&gt;</v>
      </c>
      <c r="S28" s="5">
        <f t="shared" si="22"/>
        <v>2</v>
      </c>
      <c r="T28" s="5">
        <f t="shared" si="23"/>
        <v>0</v>
      </c>
      <c r="U28" s="5" t="str">
        <f>CONCATENATE(+Contacts!H28)</f>
        <v>(06) 31 97 62 15</v>
      </c>
      <c r="V28" t="str">
        <f t="shared" si="24"/>
        <v>&lt;number id="2" prio="0" type="work"&gt;(0180) 52 22 55&lt;/number&gt;</v>
      </c>
      <c r="W28" s="5">
        <f t="shared" si="25"/>
        <v>3</v>
      </c>
      <c r="X28" s="5">
        <f t="shared" si="26"/>
        <v>0</v>
      </c>
      <c r="Y28" s="5" t="str">
        <f>CONCATENATE(+Contacts!F28)</f>
        <v>(0180) 52 22 55</v>
      </c>
      <c r="Z28" s="2" t="str">
        <f t="shared" si="27"/>
        <v xml:space="preserve">Bie, Anne-Marie de  </v>
      </c>
      <c r="AA28" s="2" t="str">
        <f>CONCATENATE(+Contacts!C28)</f>
        <v>Bie</v>
      </c>
      <c r="AB28" s="2" t="str">
        <f t="shared" si="28"/>
        <v xml:space="preserve">, </v>
      </c>
      <c r="AC28" s="2" t="str">
        <f>CONCATENATE(+Contacts!A28)</f>
        <v>Anne-Marie</v>
      </c>
      <c r="AD28" s="3" t="str">
        <f>CONCATENATE(" ",+Contacts!B28)</f>
        <v xml:space="preserve"> de</v>
      </c>
      <c r="AE28" s="2" t="str">
        <f t="shared" si="29"/>
        <v xml:space="preserve"> </v>
      </c>
      <c r="AF28" s="3" t="str">
        <f>CONCATENATE(+Contacts!D28)</f>
        <v/>
      </c>
      <c r="AG28" s="2" t="str">
        <f t="shared" si="30"/>
        <v xml:space="preserve"> </v>
      </c>
      <c r="AH28" t="str">
        <f>CONCATENATE(+Contacts!I28)</f>
        <v>mjacdebie@online.nl</v>
      </c>
      <c r="AI28">
        <v>1500000010</v>
      </c>
      <c r="AJ28" s="5">
        <f t="shared" si="31"/>
        <v>1</v>
      </c>
    </row>
    <row r="29" spans="1:36" x14ac:dyDescent="0.35">
      <c r="A29" s="7" t="str">
        <f t="shared" si="6"/>
        <v>&lt;contact&gt;&lt;category&gt;0&lt;/category&gt;&lt;person&gt;&lt;realName&gt;Bie, Corry de  &lt;/realName&gt;&lt;/person&gt;</v>
      </c>
      <c r="B29" s="7" t="str">
        <f t="shared" si="7"/>
        <v>&lt;telephony nid="1"&gt;&lt;number id="0" prio="1" type="home"&gt;+31 104183598&lt;/number&gt;&lt;/telephony&gt;</v>
      </c>
      <c r="C29" s="7" t="str">
        <f t="shared" si="8"/>
        <v>&lt;services /&gt;&lt;setup /&gt;&lt;mod_time&gt;1500000010&lt;/mod_time&gt;&lt;uniqueid&gt;1&lt;/uniqueid&gt;&lt;/contact&gt;</v>
      </c>
      <c r="D29" t="str">
        <f t="shared" si="9"/>
        <v>&lt;contact&gt;&lt;category&gt;0&lt;/category&gt;&lt;person&gt;&lt;realName&gt;Bie, Corry de  &lt;/realName&gt;&lt;/person&gt;</v>
      </c>
      <c r="E29" t="str">
        <f t="shared" si="10"/>
        <v>&lt;telephony nid="1"&gt;&lt;number id="0" prio="1" type="home"&gt;+31 104183598&lt;/number&gt;&lt;/telephony&gt;</v>
      </c>
      <c r="F29" t="str">
        <f t="shared" si="11"/>
        <v>&lt;telephony nid="1"&gt;</v>
      </c>
      <c r="G29" t="str">
        <f t="shared" si="12"/>
        <v/>
      </c>
      <c r="H29" t="str">
        <f t="shared" si="13"/>
        <v>&lt;services nid="1"&gt;&lt;email id="0" classifier="private"&gt;&lt;/email&gt;&lt;/services&gt;&lt;setup /&gt;&lt;mod_time&gt;1500000010&lt;/mod_time&gt;&lt;uniqueid&gt;1&lt;/uniqueid&gt;&lt;/contact&gt;</v>
      </c>
      <c r="I29" t="str">
        <f t="shared" si="14"/>
        <v>&lt;services /&gt;&lt;setup /&gt;&lt;mod_time&gt;1500000010&lt;/mod_time&gt;&lt;uniqueid&gt;1&lt;/uniqueid&gt;&lt;/contact&gt;</v>
      </c>
      <c r="J29" t="str">
        <f t="shared" si="15"/>
        <v>&lt;services /&gt;&lt;setup /&gt;&lt;mod_time&gt;1500000010&lt;/mod_time&gt;&lt;uniqueid&gt;1&lt;/uniqueid&gt;&lt;/contact&gt;</v>
      </c>
      <c r="K29" s="5">
        <f t="shared" si="16"/>
        <v>0</v>
      </c>
      <c r="L29" s="5">
        <f t="shared" si="17"/>
        <v>0</v>
      </c>
      <c r="M29" s="5" t="str">
        <f>CONCATENATE(+Contacts!E29)</f>
        <v/>
      </c>
      <c r="N29" t="str">
        <f t="shared" si="18"/>
        <v>&lt;number id="0" prio="1" type="home"&gt;+31 104183598&lt;/number&gt;</v>
      </c>
      <c r="O29" s="5">
        <f t="shared" si="19"/>
        <v>1</v>
      </c>
      <c r="P29" s="5">
        <f t="shared" si="20"/>
        <v>1</v>
      </c>
      <c r="Q29" s="5" t="str">
        <f>CONCATENATE(+Contacts!G29)</f>
        <v>+31 104183598</v>
      </c>
      <c r="R29" t="str">
        <f t="shared" si="21"/>
        <v/>
      </c>
      <c r="S29" s="5">
        <f t="shared" si="22"/>
        <v>1</v>
      </c>
      <c r="T29" s="5">
        <f t="shared" si="23"/>
        <v>1</v>
      </c>
      <c r="U29" s="5" t="str">
        <f>CONCATENATE(+Contacts!H29)</f>
        <v/>
      </c>
      <c r="V29" t="str">
        <f t="shared" si="24"/>
        <v/>
      </c>
      <c r="W29" s="5">
        <f t="shared" si="25"/>
        <v>1</v>
      </c>
      <c r="X29" s="5">
        <f t="shared" si="26"/>
        <v>1</v>
      </c>
      <c r="Y29" s="5" t="str">
        <f>CONCATENATE(+Contacts!F29)</f>
        <v/>
      </c>
      <c r="Z29" s="2" t="str">
        <f t="shared" si="27"/>
        <v xml:space="preserve">Bie, Corry de  </v>
      </c>
      <c r="AA29" s="2" t="str">
        <f>CONCATENATE(+Contacts!C29)</f>
        <v>Bie</v>
      </c>
      <c r="AB29" s="2" t="str">
        <f t="shared" si="28"/>
        <v xml:space="preserve">, </v>
      </c>
      <c r="AC29" s="2" t="str">
        <f>CONCATENATE(+Contacts!A29)</f>
        <v>Corry</v>
      </c>
      <c r="AD29" s="3" t="str">
        <f>CONCATENATE(" ",+Contacts!B29)</f>
        <v xml:space="preserve"> de</v>
      </c>
      <c r="AE29" s="2" t="str">
        <f t="shared" si="29"/>
        <v xml:space="preserve"> </v>
      </c>
      <c r="AF29" s="3" t="str">
        <f>CONCATENATE(+Contacts!D29)</f>
        <v/>
      </c>
      <c r="AG29" s="2" t="str">
        <f t="shared" si="30"/>
        <v xml:space="preserve"> </v>
      </c>
      <c r="AH29" t="str">
        <f>CONCATENATE(+Contacts!I29)</f>
        <v/>
      </c>
      <c r="AI29">
        <v>1500000010</v>
      </c>
      <c r="AJ29" s="5">
        <f t="shared" si="31"/>
        <v>1</v>
      </c>
    </row>
    <row r="30" spans="1:36" x14ac:dyDescent="0.35">
      <c r="A30" s="7" t="str">
        <f t="shared" si="6"/>
        <v>&lt;contact&gt;&lt;category&gt;0&lt;/category&gt;&lt;person&gt;&lt;realName&gt;Blaauwboer (voorheen), Herma   &lt;/realName&gt;&lt;/person&gt;</v>
      </c>
      <c r="B30" s="7" t="str">
        <f t="shared" si="7"/>
        <v>&lt;telephony nid="1"&gt;&lt;number id="0" prio="1" type="home"&gt;+31 102202722&lt;/number&gt;&lt;/telephony&gt;</v>
      </c>
      <c r="C30" s="7" t="str">
        <f t="shared" si="8"/>
        <v>&lt;services /&gt;&lt;setup /&gt;&lt;mod_time&gt;1500000010&lt;/mod_time&gt;&lt;uniqueid&gt;1&lt;/uniqueid&gt;&lt;/contact&gt;</v>
      </c>
      <c r="D30" t="str">
        <f t="shared" si="9"/>
        <v>&lt;contact&gt;&lt;category&gt;0&lt;/category&gt;&lt;person&gt;&lt;realName&gt;Blaauwboer (voorheen), Herma   &lt;/realName&gt;&lt;/person&gt;</v>
      </c>
      <c r="E30" t="str">
        <f t="shared" si="10"/>
        <v>&lt;telephony nid="1"&gt;&lt;number id="0" prio="1" type="home"&gt;+31 102202722&lt;/number&gt;&lt;/telephony&gt;</v>
      </c>
      <c r="F30" t="str">
        <f t="shared" si="11"/>
        <v>&lt;telephony nid="1"&gt;</v>
      </c>
      <c r="G30" t="str">
        <f t="shared" si="12"/>
        <v/>
      </c>
      <c r="H30" t="str">
        <f t="shared" si="13"/>
        <v>&lt;services nid="1"&gt;&lt;email id="0" classifier="private"&gt;&lt;/email&gt;&lt;/services&gt;&lt;setup /&gt;&lt;mod_time&gt;1500000010&lt;/mod_time&gt;&lt;uniqueid&gt;1&lt;/uniqueid&gt;&lt;/contact&gt;</v>
      </c>
      <c r="I30" t="str">
        <f t="shared" si="14"/>
        <v>&lt;services /&gt;&lt;setup /&gt;&lt;mod_time&gt;1500000010&lt;/mod_time&gt;&lt;uniqueid&gt;1&lt;/uniqueid&gt;&lt;/contact&gt;</v>
      </c>
      <c r="J30" t="str">
        <f t="shared" si="15"/>
        <v>&lt;services /&gt;&lt;setup /&gt;&lt;mod_time&gt;1500000010&lt;/mod_time&gt;&lt;uniqueid&gt;1&lt;/uniqueid&gt;&lt;/contact&gt;</v>
      </c>
      <c r="K30" s="5">
        <f t="shared" si="16"/>
        <v>0</v>
      </c>
      <c r="L30" s="5">
        <f t="shared" si="17"/>
        <v>0</v>
      </c>
      <c r="M30" s="5" t="str">
        <f>CONCATENATE(+Contacts!E30)</f>
        <v/>
      </c>
      <c r="N30" t="str">
        <f t="shared" si="18"/>
        <v>&lt;number id="0" prio="1" type="home"&gt;+31 102202722&lt;/number&gt;</v>
      </c>
      <c r="O30" s="5">
        <f t="shared" si="19"/>
        <v>1</v>
      </c>
      <c r="P30" s="5">
        <f t="shared" si="20"/>
        <v>1</v>
      </c>
      <c r="Q30" s="5" t="str">
        <f>CONCATENATE(+Contacts!G30)</f>
        <v>+31 102202722</v>
      </c>
      <c r="R30" t="str">
        <f t="shared" si="21"/>
        <v/>
      </c>
      <c r="S30" s="5">
        <f t="shared" si="22"/>
        <v>1</v>
      </c>
      <c r="T30" s="5">
        <f t="shared" si="23"/>
        <v>1</v>
      </c>
      <c r="U30" s="5" t="str">
        <f>CONCATENATE(+Contacts!H30)</f>
        <v/>
      </c>
      <c r="V30" t="str">
        <f t="shared" si="24"/>
        <v/>
      </c>
      <c r="W30" s="5">
        <f t="shared" si="25"/>
        <v>1</v>
      </c>
      <c r="X30" s="5">
        <f t="shared" si="26"/>
        <v>1</v>
      </c>
      <c r="Y30" s="5" t="str">
        <f>CONCATENATE(+Contacts!F30)</f>
        <v/>
      </c>
      <c r="Z30" s="2" t="str">
        <f t="shared" si="27"/>
        <v xml:space="preserve">Blaauwboer (voorheen), Herma   </v>
      </c>
      <c r="AA30" s="2" t="str">
        <f>CONCATENATE(+Contacts!C30)</f>
        <v>Blaauwboer (voorheen)</v>
      </c>
      <c r="AB30" s="2" t="str">
        <f t="shared" si="28"/>
        <v xml:space="preserve">, </v>
      </c>
      <c r="AC30" s="2" t="str">
        <f>CONCATENATE(+Contacts!A30)</f>
        <v>Herma</v>
      </c>
      <c r="AD30" s="3" t="str">
        <f>CONCATENATE(" ",+Contacts!B30)</f>
        <v xml:space="preserve"> </v>
      </c>
      <c r="AE30" s="2" t="str">
        <f t="shared" si="29"/>
        <v xml:space="preserve"> </v>
      </c>
      <c r="AF30" s="3" t="str">
        <f>CONCATENATE(+Contacts!D30)</f>
        <v/>
      </c>
      <c r="AG30" s="2" t="str">
        <f t="shared" si="30"/>
        <v xml:space="preserve"> </v>
      </c>
      <c r="AH30" t="str">
        <f>CONCATENATE(+Contacts!I30)</f>
        <v/>
      </c>
      <c r="AI30">
        <v>1500000010</v>
      </c>
      <c r="AJ30" s="5">
        <f t="shared" si="31"/>
        <v>1</v>
      </c>
    </row>
    <row r="31" spans="1:36" x14ac:dyDescent="0.35">
      <c r="A31" s="7" t="str">
        <f t="shared" si="6"/>
        <v>&lt;contact&gt;&lt;category&gt;0&lt;/category&gt;&lt;person&gt;&lt;realName&gt;Blomstereng, Inger   &lt;/realName&gt;&lt;/person&gt;</v>
      </c>
      <c r="B31" s="7" t="str">
        <f t="shared" si="7"/>
        <v>&lt;telephony nid="1"&gt;&lt;number id="0" prio="1" type="mobile"&gt;+47 90036770&lt;/number&gt;&lt;/telephony&gt;</v>
      </c>
      <c r="C31" s="7" t="str">
        <f t="shared" si="8"/>
        <v>&lt;services nid="1"&gt;&lt;email id="0" classifier="private"&gt;inger-y@online.no&lt;/email&gt;&lt;/services&gt;&lt;setup /&gt;&lt;mod_time&gt;1500000010&lt;/mod_time&gt;&lt;uniqueid&gt;1&lt;/uniqueid&gt;&lt;/contact&gt;</v>
      </c>
      <c r="D31" t="str">
        <f t="shared" si="9"/>
        <v>&lt;contact&gt;&lt;category&gt;0&lt;/category&gt;&lt;person&gt;&lt;realName&gt;Blomstereng, Inger   &lt;/realName&gt;&lt;/person&gt;</v>
      </c>
      <c r="E31" t="str">
        <f t="shared" si="10"/>
        <v>&lt;telephony nid="1"&gt;&lt;number id="0" prio="1" type="mobile"&gt;+47 90036770&lt;/number&gt;&lt;/telephony&gt;</v>
      </c>
      <c r="F31" t="str">
        <f t="shared" si="11"/>
        <v>&lt;telephony nid="1"&gt;</v>
      </c>
      <c r="G31" t="str">
        <f t="shared" si="12"/>
        <v/>
      </c>
      <c r="H31" t="str">
        <f t="shared" si="13"/>
        <v>&lt;services nid="1"&gt;&lt;email id="0" classifier="private"&gt;inger-y@online.no&lt;/email&gt;&lt;/services&gt;&lt;setup /&gt;&lt;mod_time&gt;1500000010&lt;/mod_time&gt;&lt;uniqueid&gt;1&lt;/uniqueid&gt;&lt;/contact&gt;</v>
      </c>
      <c r="I31" t="str">
        <f t="shared" si="14"/>
        <v>&lt;services /&gt;&lt;setup /&gt;&lt;mod_time&gt;1500000010&lt;/mod_time&gt;&lt;uniqueid&gt;1&lt;/uniqueid&gt;&lt;/contact&gt;</v>
      </c>
      <c r="J31" t="str">
        <f t="shared" si="15"/>
        <v>&lt;services nid="1"&gt;&lt;email id="0" classifier="private"&gt;inger-y@online.no&lt;/email&gt;&lt;/services&gt;&lt;setup /&gt;&lt;mod_time&gt;1500000010&lt;/mod_time&gt;&lt;uniqueid&gt;1&lt;/uniqueid&gt;&lt;/contact&gt;</v>
      </c>
      <c r="K31" s="5">
        <f t="shared" si="16"/>
        <v>0</v>
      </c>
      <c r="L31" s="5">
        <f t="shared" si="17"/>
        <v>0</v>
      </c>
      <c r="M31" s="5" t="str">
        <f>CONCATENATE(+Contacts!E31)</f>
        <v/>
      </c>
      <c r="N31" t="str">
        <f t="shared" si="18"/>
        <v/>
      </c>
      <c r="O31" s="5">
        <f t="shared" si="19"/>
        <v>0</v>
      </c>
      <c r="P31" s="5">
        <f t="shared" si="20"/>
        <v>0</v>
      </c>
      <c r="Q31" s="5" t="str">
        <f>CONCATENATE(+Contacts!G31)</f>
        <v/>
      </c>
      <c r="R31" t="str">
        <f t="shared" si="21"/>
        <v>&lt;number id="0" prio="1" type="mobile"&gt;+47 90036770&lt;/number&gt;</v>
      </c>
      <c r="S31" s="5">
        <f t="shared" si="22"/>
        <v>1</v>
      </c>
      <c r="T31" s="5">
        <f t="shared" si="23"/>
        <v>1</v>
      </c>
      <c r="U31" s="5" t="str">
        <f>CONCATENATE(+Contacts!H31)</f>
        <v>+47 90036770</v>
      </c>
      <c r="V31" t="str">
        <f t="shared" si="24"/>
        <v/>
      </c>
      <c r="W31" s="5">
        <f t="shared" si="25"/>
        <v>1</v>
      </c>
      <c r="X31" s="5">
        <f t="shared" si="26"/>
        <v>1</v>
      </c>
      <c r="Y31" s="5" t="str">
        <f>CONCATENATE(+Contacts!F31)</f>
        <v/>
      </c>
      <c r="Z31" s="2" t="str">
        <f t="shared" si="27"/>
        <v xml:space="preserve">Blomstereng, Inger   </v>
      </c>
      <c r="AA31" s="2" t="str">
        <f>CONCATENATE(+Contacts!C31)</f>
        <v>Blomstereng</v>
      </c>
      <c r="AB31" s="2" t="str">
        <f t="shared" si="28"/>
        <v xml:space="preserve">, </v>
      </c>
      <c r="AC31" s="2" t="str">
        <f>CONCATENATE(+Contacts!A31)</f>
        <v>Inger</v>
      </c>
      <c r="AD31" s="3" t="str">
        <f>CONCATENATE(" ",+Contacts!B31)</f>
        <v xml:space="preserve"> </v>
      </c>
      <c r="AE31" s="2" t="str">
        <f t="shared" si="29"/>
        <v xml:space="preserve"> </v>
      </c>
      <c r="AF31" s="3" t="str">
        <f>CONCATENATE(+Contacts!D31)</f>
        <v/>
      </c>
      <c r="AG31" s="2" t="str">
        <f t="shared" si="30"/>
        <v xml:space="preserve"> </v>
      </c>
      <c r="AH31" t="str">
        <f>CONCATENATE(+Contacts!I31)</f>
        <v>inger-y@online.no</v>
      </c>
      <c r="AI31">
        <v>1500000010</v>
      </c>
      <c r="AJ31" s="5">
        <f t="shared" si="31"/>
        <v>1</v>
      </c>
    </row>
    <row r="32" spans="1:36" x14ac:dyDescent="0.35">
      <c r="A32" s="7" t="str">
        <f t="shared" si="6"/>
        <v>&lt;contact&gt;&lt;category&gt;0&lt;/category&gt;&lt;person&gt;&lt;realName&gt;Blonk, Patrick   &lt;/realName&gt;&lt;/person&gt;</v>
      </c>
      <c r="B32" s="7" t="str">
        <f t="shared" si="7"/>
        <v>&lt;telephony nid="1"&gt;&lt;number id="0" prio="1" type="home"&gt;+31 108451864&lt;/number&gt;&lt;/telephony&gt;</v>
      </c>
      <c r="C32" s="7" t="str">
        <f t="shared" si="8"/>
        <v>&lt;services nid="1"&gt;&lt;email id="0" classifier="private"&gt;pagblonk@hotmail.com&lt;/email&gt;&lt;/services&gt;&lt;setup /&gt;&lt;mod_time&gt;1500000010&lt;/mod_time&gt;&lt;uniqueid&gt;1&lt;/uniqueid&gt;&lt;/contact&gt;</v>
      </c>
      <c r="D32" t="str">
        <f t="shared" si="9"/>
        <v>&lt;contact&gt;&lt;category&gt;0&lt;/category&gt;&lt;person&gt;&lt;realName&gt;Blonk, Patrick   &lt;/realName&gt;&lt;/person&gt;</v>
      </c>
      <c r="E32" t="str">
        <f t="shared" si="10"/>
        <v>&lt;telephony nid="1"&gt;&lt;number id="0" prio="1" type="home"&gt;+31 108451864&lt;/number&gt;&lt;/telephony&gt;</v>
      </c>
      <c r="F32" t="str">
        <f t="shared" si="11"/>
        <v>&lt;telephony nid="1"&gt;</v>
      </c>
      <c r="G32" t="str">
        <f t="shared" si="12"/>
        <v/>
      </c>
      <c r="H32" t="str">
        <f t="shared" si="13"/>
        <v>&lt;services nid="1"&gt;&lt;email id="0" classifier="private"&gt;pagblonk@hotmail.com&lt;/email&gt;&lt;/services&gt;&lt;setup /&gt;&lt;mod_time&gt;1500000010&lt;/mod_time&gt;&lt;uniqueid&gt;1&lt;/uniqueid&gt;&lt;/contact&gt;</v>
      </c>
      <c r="I32" t="str">
        <f t="shared" si="14"/>
        <v>&lt;services /&gt;&lt;setup /&gt;&lt;mod_time&gt;1500000010&lt;/mod_time&gt;&lt;uniqueid&gt;1&lt;/uniqueid&gt;&lt;/contact&gt;</v>
      </c>
      <c r="J32" t="str">
        <f t="shared" si="15"/>
        <v>&lt;services nid="1"&gt;&lt;email id="0" classifier="private"&gt;pagblonk@hotmail.com&lt;/email&gt;&lt;/services&gt;&lt;setup /&gt;&lt;mod_time&gt;1500000010&lt;/mod_time&gt;&lt;uniqueid&gt;1&lt;/uniqueid&gt;&lt;/contact&gt;</v>
      </c>
      <c r="K32" s="5">
        <f t="shared" si="16"/>
        <v>0</v>
      </c>
      <c r="L32" s="5">
        <f t="shared" si="17"/>
        <v>0</v>
      </c>
      <c r="M32" s="5" t="str">
        <f>CONCATENATE(+Contacts!E32)</f>
        <v/>
      </c>
      <c r="N32" t="str">
        <f t="shared" si="18"/>
        <v>&lt;number id="0" prio="1" type="home"&gt;+31 108451864&lt;/number&gt;</v>
      </c>
      <c r="O32" s="5">
        <f t="shared" si="19"/>
        <v>1</v>
      </c>
      <c r="P32" s="5">
        <f t="shared" si="20"/>
        <v>1</v>
      </c>
      <c r="Q32" s="5" t="str">
        <f>CONCATENATE(+Contacts!G32)</f>
        <v>+31 108451864</v>
      </c>
      <c r="R32" t="str">
        <f t="shared" si="21"/>
        <v/>
      </c>
      <c r="S32" s="5">
        <f t="shared" si="22"/>
        <v>1</v>
      </c>
      <c r="T32" s="5">
        <f t="shared" si="23"/>
        <v>1</v>
      </c>
      <c r="U32" s="5" t="str">
        <f>CONCATENATE(+Contacts!H32)</f>
        <v/>
      </c>
      <c r="V32" t="str">
        <f t="shared" si="24"/>
        <v/>
      </c>
      <c r="W32" s="5">
        <f t="shared" si="25"/>
        <v>1</v>
      </c>
      <c r="X32" s="5">
        <f t="shared" si="26"/>
        <v>1</v>
      </c>
      <c r="Y32" s="5" t="str">
        <f>CONCATENATE(+Contacts!F32)</f>
        <v/>
      </c>
      <c r="Z32" s="2" t="str">
        <f t="shared" si="27"/>
        <v xml:space="preserve">Blonk, Patrick   </v>
      </c>
      <c r="AA32" s="2" t="str">
        <f>CONCATENATE(+Contacts!C32)</f>
        <v>Blonk</v>
      </c>
      <c r="AB32" s="2" t="str">
        <f t="shared" si="28"/>
        <v xml:space="preserve">, </v>
      </c>
      <c r="AC32" s="2" t="str">
        <f>CONCATENATE(+Contacts!A32)</f>
        <v>Patrick</v>
      </c>
      <c r="AD32" s="3" t="str">
        <f>CONCATENATE(" ",+Contacts!B32)</f>
        <v xml:space="preserve"> </v>
      </c>
      <c r="AE32" s="2" t="str">
        <f t="shared" si="29"/>
        <v xml:space="preserve"> </v>
      </c>
      <c r="AF32" s="3" t="str">
        <f>CONCATENATE(+Contacts!D32)</f>
        <v/>
      </c>
      <c r="AG32" s="2" t="str">
        <f t="shared" si="30"/>
        <v xml:space="preserve"> </v>
      </c>
      <c r="AH32" t="str">
        <f>CONCATENATE(+Contacts!I32)</f>
        <v>pagblonk@hotmail.com</v>
      </c>
      <c r="AI32">
        <v>1500000010</v>
      </c>
      <c r="AJ32" s="5">
        <f t="shared" si="31"/>
        <v>1</v>
      </c>
    </row>
    <row r="33" spans="1:36" x14ac:dyDescent="0.35">
      <c r="A33" s="7" t="str">
        <f t="shared" si="6"/>
        <v>&lt;contact&gt;&lt;category&gt;0&lt;/category&gt;&lt;person&gt;&lt;realName&gt;Boer, Aukje de  &lt;/realName&gt;&lt;/person&gt;</v>
      </c>
      <c r="B33" s="7" t="str">
        <f t="shared" si="7"/>
        <v>&lt;telephony nid="2"&gt;&lt;number id="0" prio="1" type="home"&gt;+31 517 341 600&lt;/number&gt;&lt;number id="1" prio="0" type="mobile"&gt;+31 683 247 416&lt;/number&gt;&lt;/telephony&gt;</v>
      </c>
      <c r="C33" s="7" t="str">
        <f t="shared" si="8"/>
        <v>&lt;services nid="1"&gt;&lt;email id="0" classifier="private"&gt;bergwerff.baard@planet.nl&lt;/email&gt;&lt;/services&gt;&lt;setup /&gt;&lt;mod_time&gt;1500000010&lt;/mod_time&gt;&lt;uniqueid&gt;1&lt;/uniqueid&gt;&lt;/contact&gt;</v>
      </c>
      <c r="D33" t="str">
        <f t="shared" si="9"/>
        <v>&lt;contact&gt;&lt;category&gt;0&lt;/category&gt;&lt;person&gt;&lt;realName&gt;Boer, Aukje de  &lt;/realName&gt;&lt;/person&gt;</v>
      </c>
      <c r="E33" t="str">
        <f t="shared" si="10"/>
        <v>&lt;telephony nid="2"&gt;&lt;number id="0" prio="1" type="home"&gt;+31 517 341 600&lt;/number&gt;&lt;number id="1" prio="0" type="mobile"&gt;+31 683 247 416&lt;/number&gt;&lt;/telephony&gt;</v>
      </c>
      <c r="F33" t="str">
        <f t="shared" si="11"/>
        <v>&lt;telephony nid="2"&gt;</v>
      </c>
      <c r="G33" t="str">
        <f t="shared" si="12"/>
        <v/>
      </c>
      <c r="H33" t="str">
        <f t="shared" si="13"/>
        <v>&lt;services nid="1"&gt;&lt;email id="0" classifier="private"&gt;bergwerff.baard@planet.nl&lt;/email&gt;&lt;/services&gt;&lt;setup /&gt;&lt;mod_time&gt;1500000010&lt;/mod_time&gt;&lt;uniqueid&gt;1&lt;/uniqueid&gt;&lt;/contact&gt;</v>
      </c>
      <c r="I33" t="str">
        <f t="shared" si="14"/>
        <v>&lt;services /&gt;&lt;setup /&gt;&lt;mod_time&gt;1500000010&lt;/mod_time&gt;&lt;uniqueid&gt;1&lt;/uniqueid&gt;&lt;/contact&gt;</v>
      </c>
      <c r="J33" t="str">
        <f t="shared" si="15"/>
        <v>&lt;services nid="1"&gt;&lt;email id="0" classifier="private"&gt;bergwerff.baard@planet.nl&lt;/email&gt;&lt;/services&gt;&lt;setup /&gt;&lt;mod_time&gt;1500000010&lt;/mod_time&gt;&lt;uniqueid&gt;1&lt;/uniqueid&gt;&lt;/contact&gt;</v>
      </c>
      <c r="K33" s="5">
        <f t="shared" si="16"/>
        <v>0</v>
      </c>
      <c r="L33" s="5">
        <f t="shared" si="17"/>
        <v>0</v>
      </c>
      <c r="M33" s="5" t="str">
        <f>CONCATENATE(+Contacts!E33)</f>
        <v/>
      </c>
      <c r="N33" t="str">
        <f t="shared" si="18"/>
        <v>&lt;number id="0" prio="1" type="home"&gt;+31 517 341 600&lt;/number&gt;</v>
      </c>
      <c r="O33" s="5">
        <f t="shared" si="19"/>
        <v>1</v>
      </c>
      <c r="P33" s="5">
        <f t="shared" si="20"/>
        <v>1</v>
      </c>
      <c r="Q33" s="5" t="str">
        <f>CONCATENATE(+Contacts!G33)</f>
        <v>+31 517 341 600</v>
      </c>
      <c r="R33" t="str">
        <f t="shared" si="21"/>
        <v>&lt;number id="1" prio="0" type="mobile"&gt;+31 683 247 416&lt;/number&gt;</v>
      </c>
      <c r="S33" s="5">
        <f t="shared" si="22"/>
        <v>2</v>
      </c>
      <c r="T33" s="5">
        <f t="shared" si="23"/>
        <v>0</v>
      </c>
      <c r="U33" s="5" t="str">
        <f>CONCATENATE(+Contacts!H33)</f>
        <v>+31 683 247 416</v>
      </c>
      <c r="V33" t="str">
        <f t="shared" si="24"/>
        <v/>
      </c>
      <c r="W33" s="5">
        <f t="shared" si="25"/>
        <v>2</v>
      </c>
      <c r="X33" s="5">
        <f t="shared" si="26"/>
        <v>0</v>
      </c>
      <c r="Y33" s="5" t="str">
        <f>CONCATENATE(+Contacts!F33)</f>
        <v/>
      </c>
      <c r="Z33" s="2" t="str">
        <f t="shared" si="27"/>
        <v xml:space="preserve">Boer, Aukje de  </v>
      </c>
      <c r="AA33" s="2" t="str">
        <f>CONCATENATE(+Contacts!C33)</f>
        <v>Boer</v>
      </c>
      <c r="AB33" s="2" t="str">
        <f t="shared" si="28"/>
        <v xml:space="preserve">, </v>
      </c>
      <c r="AC33" s="2" t="str">
        <f>CONCATENATE(+Contacts!A33)</f>
        <v>Aukje</v>
      </c>
      <c r="AD33" s="3" t="str">
        <f>CONCATENATE(" ",+Contacts!B33)</f>
        <v xml:space="preserve"> de</v>
      </c>
      <c r="AE33" s="2" t="str">
        <f t="shared" si="29"/>
        <v xml:space="preserve"> </v>
      </c>
      <c r="AF33" s="3" t="str">
        <f>CONCATENATE(+Contacts!D33)</f>
        <v/>
      </c>
      <c r="AG33" s="2" t="str">
        <f t="shared" si="30"/>
        <v xml:space="preserve"> </v>
      </c>
      <c r="AH33" t="str">
        <f>CONCATENATE(+Contacts!I33)</f>
        <v>bergwerff.baard@planet.nl</v>
      </c>
      <c r="AI33">
        <v>1500000010</v>
      </c>
      <c r="AJ33" s="5">
        <f t="shared" si="31"/>
        <v>1</v>
      </c>
    </row>
    <row r="34" spans="1:36" x14ac:dyDescent="0.35">
      <c r="A34" s="7" t="str">
        <f t="shared" si="6"/>
        <v/>
      </c>
      <c r="B34" s="7" t="str">
        <f t="shared" si="7"/>
        <v/>
      </c>
      <c r="C34" s="7" t="str">
        <f t="shared" si="8"/>
        <v/>
      </c>
      <c r="D34" t="str">
        <f t="shared" si="9"/>
        <v>&lt;contact&gt;&lt;category&gt;0&lt;/category&gt;&lt;person&gt;&lt;realName&gt;Boissezon, De (Olivier en Véronique)&lt;/realName&gt;&lt;/person&gt;</v>
      </c>
      <c r="E34" t="str">
        <f t="shared" si="10"/>
        <v>&lt;telephony nid="0"&gt;&lt;/telephony&gt;</v>
      </c>
      <c r="F34" t="str">
        <f t="shared" si="11"/>
        <v>&lt;telephony nid="0"&gt;</v>
      </c>
      <c r="G34" t="str">
        <f t="shared" si="12"/>
        <v/>
      </c>
      <c r="H34" t="str">
        <f t="shared" si="13"/>
        <v>&lt;services nid="1"&gt;&lt;email id="0" classifier="private"&gt;vodeboissezon@free.fr&lt;/email&gt;&lt;/services&gt;&lt;setup /&gt;&lt;mod_time&gt;1500000010&lt;/mod_time&gt;&lt;uniqueid&gt;0&lt;/uniqueid&gt;&lt;/contact&gt;</v>
      </c>
      <c r="I34" t="str">
        <f t="shared" si="14"/>
        <v>&lt;services /&gt;&lt;setup /&gt;&lt;mod_time&gt;1500000010&lt;/mod_time&gt;&lt;uniqueid&gt;0&lt;/uniqueid&gt;&lt;/contact&gt;</v>
      </c>
      <c r="J34" t="str">
        <f t="shared" si="15"/>
        <v>&lt;services nid="1"&gt;&lt;email id="0" classifier="private"&gt;vodeboissezon@free.fr&lt;/email&gt;&lt;/services&gt;&lt;setup /&gt;&lt;mod_time&gt;1500000010&lt;/mod_time&gt;&lt;uniqueid&gt;0&lt;/uniqueid&gt;&lt;/contact&gt;</v>
      </c>
      <c r="K34" s="5">
        <f t="shared" si="16"/>
        <v>0</v>
      </c>
      <c r="L34" s="5">
        <f t="shared" si="17"/>
        <v>0</v>
      </c>
      <c r="M34" s="5" t="str">
        <f>CONCATENATE(+Contacts!E34)</f>
        <v/>
      </c>
      <c r="N34" t="str">
        <f t="shared" si="18"/>
        <v/>
      </c>
      <c r="O34" s="5">
        <f t="shared" si="19"/>
        <v>0</v>
      </c>
      <c r="P34" s="5">
        <f t="shared" si="20"/>
        <v>0</v>
      </c>
      <c r="Q34" s="5" t="str">
        <f>CONCATENATE(+Contacts!G34)</f>
        <v/>
      </c>
      <c r="R34" t="str">
        <f t="shared" si="21"/>
        <v/>
      </c>
      <c r="S34" s="5">
        <f t="shared" si="22"/>
        <v>0</v>
      </c>
      <c r="T34" s="5">
        <f t="shared" si="23"/>
        <v>0</v>
      </c>
      <c r="U34" s="5" t="str">
        <f>CONCATENATE(+Contacts!H34)</f>
        <v/>
      </c>
      <c r="V34" t="str">
        <f t="shared" si="24"/>
        <v/>
      </c>
      <c r="W34" s="5">
        <f t="shared" si="25"/>
        <v>0</v>
      </c>
      <c r="X34" s="5">
        <f t="shared" si="26"/>
        <v>0</v>
      </c>
      <c r="Y34" s="5" t="str">
        <f>CONCATENATE(+Contacts!F34)</f>
        <v/>
      </c>
      <c r="Z34" s="2" t="str">
        <f t="shared" si="27"/>
        <v>Boissezon, De (Olivier en Véronique)</v>
      </c>
      <c r="AA34" s="2" t="str">
        <f>CONCATENATE(+Contacts!C34)</f>
        <v>Boissezon</v>
      </c>
      <c r="AB34" s="2" t="str">
        <f t="shared" si="28"/>
        <v xml:space="preserve">, </v>
      </c>
      <c r="AC34" s="2" t="str">
        <f>CONCATENATE(+Contacts!A34)</f>
        <v>De</v>
      </c>
      <c r="AD34" s="3" t="str">
        <f>CONCATENATE(" ",+Contacts!B34)</f>
        <v xml:space="preserve"> </v>
      </c>
      <c r="AE34" s="2" t="str">
        <f t="shared" si="29"/>
        <v>(</v>
      </c>
      <c r="AF34" s="3" t="str">
        <f>CONCATENATE(+Contacts!D34)</f>
        <v>Olivier en Véronique</v>
      </c>
      <c r="AG34" s="2" t="str">
        <f t="shared" si="30"/>
        <v>)</v>
      </c>
      <c r="AH34" t="str">
        <f>CONCATENATE(+Contacts!I34)</f>
        <v>vodeboissezon@free.fr</v>
      </c>
      <c r="AI34">
        <v>1500000010</v>
      </c>
      <c r="AJ34" s="5">
        <f t="shared" si="31"/>
        <v>0</v>
      </c>
    </row>
    <row r="35" spans="1:36" x14ac:dyDescent="0.35">
      <c r="A35" s="7" t="str">
        <f t="shared" si="6"/>
        <v/>
      </c>
      <c r="B35" s="7" t="str">
        <f t="shared" si="7"/>
        <v/>
      </c>
      <c r="C35" s="7" t="str">
        <f t="shared" si="8"/>
        <v/>
      </c>
      <c r="D35" t="str">
        <f t="shared" si="9"/>
        <v>&lt;contact&gt;&lt;category&gt;0&lt;/category&gt;&lt;person&gt;&lt;realName&gt;Bolomey, Johan   &lt;/realName&gt;&lt;/person&gt;</v>
      </c>
      <c r="E35" t="str">
        <f t="shared" si="10"/>
        <v>&lt;telephony nid="0"&gt;&lt;/telephony&gt;</v>
      </c>
      <c r="F35" t="str">
        <f t="shared" si="11"/>
        <v>&lt;telephony nid="0"&gt;</v>
      </c>
      <c r="G35" t="str">
        <f t="shared" si="12"/>
        <v/>
      </c>
      <c r="H35" t="str">
        <f t="shared" si="13"/>
        <v>&lt;services nid="1"&gt;&lt;email id="0" classifier="private"&gt;jbolomey@melanchthon.nl&lt;/email&gt;&lt;/services&gt;&lt;setup /&gt;&lt;mod_time&gt;1500000010&lt;/mod_time&gt;&lt;uniqueid&gt;0&lt;/uniqueid&gt;&lt;/contact&gt;</v>
      </c>
      <c r="I35" t="str">
        <f t="shared" si="14"/>
        <v>&lt;services /&gt;&lt;setup /&gt;&lt;mod_time&gt;1500000010&lt;/mod_time&gt;&lt;uniqueid&gt;0&lt;/uniqueid&gt;&lt;/contact&gt;</v>
      </c>
      <c r="J35" t="str">
        <f t="shared" si="15"/>
        <v>&lt;services nid="1"&gt;&lt;email id="0" classifier="private"&gt;jbolomey@melanchthon.nl&lt;/email&gt;&lt;/services&gt;&lt;setup /&gt;&lt;mod_time&gt;1500000010&lt;/mod_time&gt;&lt;uniqueid&gt;0&lt;/uniqueid&gt;&lt;/contact&gt;</v>
      </c>
      <c r="K35" s="5">
        <f t="shared" si="16"/>
        <v>0</v>
      </c>
      <c r="L35" s="5">
        <f t="shared" si="17"/>
        <v>0</v>
      </c>
      <c r="M35" s="5" t="str">
        <f>CONCATENATE(+Contacts!E35)</f>
        <v/>
      </c>
      <c r="N35" t="str">
        <f t="shared" si="18"/>
        <v/>
      </c>
      <c r="O35" s="5">
        <f t="shared" si="19"/>
        <v>0</v>
      </c>
      <c r="P35" s="5">
        <f t="shared" si="20"/>
        <v>0</v>
      </c>
      <c r="Q35" s="5" t="str">
        <f>CONCATENATE(+Contacts!G35)</f>
        <v/>
      </c>
      <c r="R35" t="str">
        <f t="shared" si="21"/>
        <v/>
      </c>
      <c r="S35" s="5">
        <f t="shared" si="22"/>
        <v>0</v>
      </c>
      <c r="T35" s="5">
        <f t="shared" si="23"/>
        <v>0</v>
      </c>
      <c r="U35" s="5" t="str">
        <f>CONCATENATE(+Contacts!H35)</f>
        <v/>
      </c>
      <c r="V35" t="str">
        <f t="shared" si="24"/>
        <v/>
      </c>
      <c r="W35" s="5">
        <f t="shared" si="25"/>
        <v>0</v>
      </c>
      <c r="X35" s="5">
        <f t="shared" si="26"/>
        <v>0</v>
      </c>
      <c r="Y35" s="5" t="str">
        <f>CONCATENATE(+Contacts!F35)</f>
        <v/>
      </c>
      <c r="Z35" s="2" t="str">
        <f t="shared" si="27"/>
        <v xml:space="preserve">Bolomey, Johan   </v>
      </c>
      <c r="AA35" s="2" t="str">
        <f>CONCATENATE(+Contacts!C35)</f>
        <v>Bolomey</v>
      </c>
      <c r="AB35" s="2" t="str">
        <f t="shared" si="28"/>
        <v xml:space="preserve">, </v>
      </c>
      <c r="AC35" s="2" t="str">
        <f>CONCATENATE(+Contacts!A35)</f>
        <v>Johan</v>
      </c>
      <c r="AD35" s="3" t="str">
        <f>CONCATENATE(" ",+Contacts!B35)</f>
        <v xml:space="preserve"> </v>
      </c>
      <c r="AE35" s="2" t="str">
        <f t="shared" si="29"/>
        <v xml:space="preserve"> </v>
      </c>
      <c r="AF35" s="3" t="str">
        <f>CONCATENATE(+Contacts!D35)</f>
        <v/>
      </c>
      <c r="AG35" s="2" t="str">
        <f t="shared" si="30"/>
        <v xml:space="preserve"> </v>
      </c>
      <c r="AH35" t="str">
        <f>CONCATENATE(+Contacts!I35)</f>
        <v>jbolomey@melanchthon.nl</v>
      </c>
      <c r="AI35">
        <v>1500000010</v>
      </c>
      <c r="AJ35" s="5">
        <f t="shared" si="31"/>
        <v>0</v>
      </c>
    </row>
    <row r="36" spans="1:36" x14ac:dyDescent="0.35">
      <c r="A36" s="7" t="str">
        <f t="shared" si="6"/>
        <v>&lt;contact&gt;&lt;category&gt;0&lt;/category&gt;&lt;person&gt;&lt;realName&gt;Bommel, Jeannette van  &lt;/realName&gt;&lt;/person&gt;</v>
      </c>
      <c r="B36" s="7" t="str">
        <f t="shared" si="7"/>
        <v>&lt;telephony nid="2"&gt;&lt;number id="0" prio="1" type="home"&gt;+49 5922776736&lt;/number&gt;&lt;number id="1" prio="0" type="work"&gt;(06) 49 97 28 97&lt;/number&gt;&lt;/telephony&gt;</v>
      </c>
      <c r="C36" s="7" t="str">
        <f t="shared" si="8"/>
        <v>&lt;services nid="1"&gt;&lt;email id="0" classifier="private"&gt;jmtvanbommel@hotmail.com&lt;/email&gt;&lt;/services&gt;&lt;setup /&gt;&lt;mod_time&gt;1500000010&lt;/mod_time&gt;&lt;uniqueid&gt;1&lt;/uniqueid&gt;&lt;/contact&gt;</v>
      </c>
      <c r="D36" t="str">
        <f t="shared" si="9"/>
        <v>&lt;contact&gt;&lt;category&gt;0&lt;/category&gt;&lt;person&gt;&lt;realName&gt;Bommel, Jeannette van  &lt;/realName&gt;&lt;/person&gt;</v>
      </c>
      <c r="E36" t="str">
        <f t="shared" si="10"/>
        <v>&lt;telephony nid="2"&gt;&lt;number id="0" prio="1" type="home"&gt;+49 5922776736&lt;/number&gt;&lt;number id="1" prio="0" type="work"&gt;(06) 49 97 28 97&lt;/number&gt;&lt;/telephony&gt;</v>
      </c>
      <c r="F36" t="str">
        <f t="shared" si="11"/>
        <v>&lt;telephony nid="2"&gt;</v>
      </c>
      <c r="G36" t="str">
        <f t="shared" si="12"/>
        <v/>
      </c>
      <c r="H36" t="str">
        <f t="shared" si="13"/>
        <v>&lt;services nid="1"&gt;&lt;email id="0" classifier="private"&gt;jmtvanbommel@hotmail.com&lt;/email&gt;&lt;/services&gt;&lt;setup /&gt;&lt;mod_time&gt;1500000010&lt;/mod_time&gt;&lt;uniqueid&gt;1&lt;/uniqueid&gt;&lt;/contact&gt;</v>
      </c>
      <c r="I36" t="str">
        <f t="shared" si="14"/>
        <v>&lt;services /&gt;&lt;setup /&gt;&lt;mod_time&gt;1500000010&lt;/mod_time&gt;&lt;uniqueid&gt;1&lt;/uniqueid&gt;&lt;/contact&gt;</v>
      </c>
      <c r="J36" t="str">
        <f t="shared" si="15"/>
        <v>&lt;services nid="1"&gt;&lt;email id="0" classifier="private"&gt;jmtvanbommel@hotmail.com&lt;/email&gt;&lt;/services&gt;&lt;setup /&gt;&lt;mod_time&gt;1500000010&lt;/mod_time&gt;&lt;uniqueid&gt;1&lt;/uniqueid&gt;&lt;/contact&gt;</v>
      </c>
      <c r="K36" s="5">
        <f t="shared" si="16"/>
        <v>0</v>
      </c>
      <c r="L36" s="5">
        <f t="shared" si="17"/>
        <v>0</v>
      </c>
      <c r="M36" s="5" t="str">
        <f>CONCATENATE(+Contacts!E36)</f>
        <v/>
      </c>
      <c r="N36" t="str">
        <f t="shared" si="18"/>
        <v>&lt;number id="0" prio="1" type="home"&gt;+49 5922776736&lt;/number&gt;</v>
      </c>
      <c r="O36" s="5">
        <f t="shared" si="19"/>
        <v>1</v>
      </c>
      <c r="P36" s="5">
        <f t="shared" si="20"/>
        <v>1</v>
      </c>
      <c r="Q36" s="5" t="str">
        <f>CONCATENATE(+Contacts!G36)</f>
        <v>+49 5922776736</v>
      </c>
      <c r="R36" t="str">
        <f t="shared" si="21"/>
        <v/>
      </c>
      <c r="S36" s="5">
        <f t="shared" si="22"/>
        <v>1</v>
      </c>
      <c r="T36" s="5">
        <f t="shared" si="23"/>
        <v>1</v>
      </c>
      <c r="U36" s="5" t="str">
        <f>CONCATENATE(+Contacts!H36)</f>
        <v/>
      </c>
      <c r="V36" t="str">
        <f t="shared" si="24"/>
        <v>&lt;number id="1" prio="0" type="work"&gt;(06) 49 97 28 97&lt;/number&gt;</v>
      </c>
      <c r="W36" s="5">
        <f t="shared" si="25"/>
        <v>2</v>
      </c>
      <c r="X36" s="5">
        <f t="shared" si="26"/>
        <v>0</v>
      </c>
      <c r="Y36" s="5" t="str">
        <f>CONCATENATE(+Contacts!F36)</f>
        <v>(06) 49 97 28 97</v>
      </c>
      <c r="Z36" s="2" t="str">
        <f t="shared" si="27"/>
        <v xml:space="preserve">Bommel, Jeannette van  </v>
      </c>
      <c r="AA36" s="2" t="str">
        <f>CONCATENATE(+Contacts!C36)</f>
        <v>Bommel</v>
      </c>
      <c r="AB36" s="2" t="str">
        <f t="shared" si="28"/>
        <v xml:space="preserve">, </v>
      </c>
      <c r="AC36" s="2" t="str">
        <f>CONCATENATE(+Contacts!A36)</f>
        <v>Jeannette</v>
      </c>
      <c r="AD36" s="3" t="str">
        <f>CONCATENATE(" ",+Contacts!B36)</f>
        <v xml:space="preserve"> van</v>
      </c>
      <c r="AE36" s="2" t="str">
        <f t="shared" si="29"/>
        <v xml:space="preserve"> </v>
      </c>
      <c r="AF36" s="3" t="str">
        <f>CONCATENATE(+Contacts!D36)</f>
        <v/>
      </c>
      <c r="AG36" s="2" t="str">
        <f t="shared" si="30"/>
        <v xml:space="preserve"> </v>
      </c>
      <c r="AH36" t="str">
        <f>CONCATENATE(+Contacts!I36)</f>
        <v>jmtvanbommel@hotmail.com</v>
      </c>
      <c r="AI36">
        <v>1500000010</v>
      </c>
      <c r="AJ36" s="5">
        <f t="shared" si="31"/>
        <v>1</v>
      </c>
    </row>
    <row r="37" spans="1:36" x14ac:dyDescent="0.35">
      <c r="A37" s="7" t="str">
        <f t="shared" si="6"/>
        <v>&lt;contact&gt;&lt;category&gt;0&lt;/category&gt;&lt;person&gt;&lt;realName&gt;Boon, Jan   &lt;/realName&gt;&lt;/person&gt;</v>
      </c>
      <c r="B37" s="7" t="str">
        <f t="shared" si="7"/>
        <v>&lt;telephony nid="1"&gt;&lt;number id="0" prio="1" type="home"&gt;+31 104610147&lt;/number&gt;&lt;/telephony&gt;</v>
      </c>
      <c r="C37" s="7" t="str">
        <f t="shared" si="8"/>
        <v>&lt;services nid="1"&gt;&lt;email id="0" classifier="private"&gt;bonovsky@hotmail.com&lt;/email&gt;&lt;/services&gt;&lt;setup /&gt;&lt;mod_time&gt;1500000010&lt;/mod_time&gt;&lt;uniqueid&gt;1&lt;/uniqueid&gt;&lt;/contact&gt;</v>
      </c>
      <c r="D37" t="str">
        <f t="shared" si="9"/>
        <v>&lt;contact&gt;&lt;category&gt;0&lt;/category&gt;&lt;person&gt;&lt;realName&gt;Boon, Jan   &lt;/realName&gt;&lt;/person&gt;</v>
      </c>
      <c r="E37" t="str">
        <f t="shared" si="10"/>
        <v>&lt;telephony nid="1"&gt;&lt;number id="0" prio="1" type="home"&gt;+31 104610147&lt;/number&gt;&lt;/telephony&gt;</v>
      </c>
      <c r="F37" t="str">
        <f t="shared" si="11"/>
        <v>&lt;telephony nid="1"&gt;</v>
      </c>
      <c r="G37" t="str">
        <f t="shared" si="12"/>
        <v/>
      </c>
      <c r="H37" t="str">
        <f t="shared" si="13"/>
        <v>&lt;services nid="1"&gt;&lt;email id="0" classifier="private"&gt;bonovsky@hotmail.com&lt;/email&gt;&lt;/services&gt;&lt;setup /&gt;&lt;mod_time&gt;1500000010&lt;/mod_time&gt;&lt;uniqueid&gt;1&lt;/uniqueid&gt;&lt;/contact&gt;</v>
      </c>
      <c r="I37" t="str">
        <f t="shared" si="14"/>
        <v>&lt;services /&gt;&lt;setup /&gt;&lt;mod_time&gt;1500000010&lt;/mod_time&gt;&lt;uniqueid&gt;1&lt;/uniqueid&gt;&lt;/contact&gt;</v>
      </c>
      <c r="J37" t="str">
        <f t="shared" si="15"/>
        <v>&lt;services nid="1"&gt;&lt;email id="0" classifier="private"&gt;bonovsky@hotmail.com&lt;/email&gt;&lt;/services&gt;&lt;setup /&gt;&lt;mod_time&gt;1500000010&lt;/mod_time&gt;&lt;uniqueid&gt;1&lt;/uniqueid&gt;&lt;/contact&gt;</v>
      </c>
      <c r="K37" s="5">
        <f t="shared" si="16"/>
        <v>0</v>
      </c>
      <c r="L37" s="5">
        <f t="shared" si="17"/>
        <v>0</v>
      </c>
      <c r="M37" s="5" t="str">
        <f>CONCATENATE(+Contacts!E37)</f>
        <v/>
      </c>
      <c r="N37" t="str">
        <f t="shared" si="18"/>
        <v>&lt;number id="0" prio="1" type="home"&gt;+31 104610147&lt;/number&gt;</v>
      </c>
      <c r="O37" s="5">
        <f t="shared" si="19"/>
        <v>1</v>
      </c>
      <c r="P37" s="5">
        <f t="shared" si="20"/>
        <v>1</v>
      </c>
      <c r="Q37" s="5" t="str">
        <f>CONCATENATE(+Contacts!G37)</f>
        <v>+31 104610147</v>
      </c>
      <c r="R37" t="str">
        <f t="shared" si="21"/>
        <v/>
      </c>
      <c r="S37" s="5">
        <f t="shared" si="22"/>
        <v>1</v>
      </c>
      <c r="T37" s="5">
        <f t="shared" si="23"/>
        <v>1</v>
      </c>
      <c r="U37" s="5" t="str">
        <f>CONCATENATE(+Contacts!H37)</f>
        <v/>
      </c>
      <c r="V37" t="str">
        <f t="shared" si="24"/>
        <v/>
      </c>
      <c r="W37" s="5">
        <f t="shared" si="25"/>
        <v>1</v>
      </c>
      <c r="X37" s="5">
        <f t="shared" si="26"/>
        <v>1</v>
      </c>
      <c r="Y37" s="5" t="str">
        <f>CONCATENATE(+Contacts!F37)</f>
        <v/>
      </c>
      <c r="Z37" s="2" t="str">
        <f t="shared" si="27"/>
        <v xml:space="preserve">Boon, Jan   </v>
      </c>
      <c r="AA37" s="2" t="str">
        <f>CONCATENATE(+Contacts!C37)</f>
        <v>Boon</v>
      </c>
      <c r="AB37" s="2" t="str">
        <f t="shared" si="28"/>
        <v xml:space="preserve">, </v>
      </c>
      <c r="AC37" s="2" t="str">
        <f>CONCATENATE(+Contacts!A37)</f>
        <v>Jan</v>
      </c>
      <c r="AD37" s="3" t="str">
        <f>CONCATENATE(" ",+Contacts!B37)</f>
        <v xml:space="preserve"> </v>
      </c>
      <c r="AE37" s="2" t="str">
        <f t="shared" si="29"/>
        <v xml:space="preserve"> </v>
      </c>
      <c r="AF37" s="3" t="str">
        <f>CONCATENATE(+Contacts!D37)</f>
        <v/>
      </c>
      <c r="AG37" s="2" t="str">
        <f t="shared" si="30"/>
        <v xml:space="preserve"> </v>
      </c>
      <c r="AH37" t="str">
        <f>CONCATENATE(+Contacts!I37)</f>
        <v>bonovsky@hotmail.com</v>
      </c>
      <c r="AI37">
        <v>1500000010</v>
      </c>
      <c r="AJ37" s="5">
        <f t="shared" si="31"/>
        <v>1</v>
      </c>
    </row>
    <row r="38" spans="1:36" x14ac:dyDescent="0.35">
      <c r="A38" s="7" t="str">
        <f t="shared" si="6"/>
        <v>&lt;contact&gt;&lt;category&gt;0&lt;/category&gt;&lt;person&gt;&lt;realName&gt;Bos, Ies   &lt;/realName&gt;&lt;/person&gt;</v>
      </c>
      <c r="B38" s="7" t="str">
        <f t="shared" si="7"/>
        <v>&lt;telephony nid="2"&gt;&lt;number id="0" prio="1" type="home"&gt;+31 105212879&lt;/number&gt;&lt;number id="1" prio="0" type="mobile"&gt;+31 655335389&lt;/number&gt;&lt;/telephony&gt;</v>
      </c>
      <c r="C38" s="7" t="str">
        <f t="shared" si="8"/>
        <v>&lt;services nid="1"&gt;&lt;email id="0" classifier="private"&gt;ies@specialorchids.com&lt;/email&gt;&lt;/services&gt;&lt;setup /&gt;&lt;mod_time&gt;1500000010&lt;/mod_time&gt;&lt;uniqueid&gt;1&lt;/uniqueid&gt;&lt;/contact&gt;</v>
      </c>
      <c r="D38" t="str">
        <f t="shared" si="9"/>
        <v>&lt;contact&gt;&lt;category&gt;0&lt;/category&gt;&lt;person&gt;&lt;realName&gt;Bos, Ies   &lt;/realName&gt;&lt;/person&gt;</v>
      </c>
      <c r="E38" t="str">
        <f t="shared" si="10"/>
        <v>&lt;telephony nid="2"&gt;&lt;number id="0" prio="1" type="home"&gt;+31 105212879&lt;/number&gt;&lt;number id="1" prio="0" type="mobile"&gt;+31 655335389&lt;/number&gt;&lt;/telephony&gt;</v>
      </c>
      <c r="F38" t="str">
        <f t="shared" si="11"/>
        <v>&lt;telephony nid="2"&gt;</v>
      </c>
      <c r="G38" t="str">
        <f t="shared" si="12"/>
        <v/>
      </c>
      <c r="H38" t="str">
        <f t="shared" si="13"/>
        <v>&lt;services nid="1"&gt;&lt;email id="0" classifier="private"&gt;ies@specialorchids.com&lt;/email&gt;&lt;/services&gt;&lt;setup /&gt;&lt;mod_time&gt;1500000010&lt;/mod_time&gt;&lt;uniqueid&gt;1&lt;/uniqueid&gt;&lt;/contact&gt;</v>
      </c>
      <c r="I38" t="str">
        <f t="shared" si="14"/>
        <v>&lt;services /&gt;&lt;setup /&gt;&lt;mod_time&gt;1500000010&lt;/mod_time&gt;&lt;uniqueid&gt;1&lt;/uniqueid&gt;&lt;/contact&gt;</v>
      </c>
      <c r="J38" t="str">
        <f t="shared" si="15"/>
        <v>&lt;services nid="1"&gt;&lt;email id="0" classifier="private"&gt;ies@specialorchids.com&lt;/email&gt;&lt;/services&gt;&lt;setup /&gt;&lt;mod_time&gt;1500000010&lt;/mod_time&gt;&lt;uniqueid&gt;1&lt;/uniqueid&gt;&lt;/contact&gt;</v>
      </c>
      <c r="K38" s="5">
        <f t="shared" si="16"/>
        <v>0</v>
      </c>
      <c r="L38" s="5">
        <f t="shared" si="17"/>
        <v>0</v>
      </c>
      <c r="M38" s="5" t="str">
        <f>CONCATENATE(+Contacts!E38)</f>
        <v/>
      </c>
      <c r="N38" t="str">
        <f t="shared" si="18"/>
        <v>&lt;number id="0" prio="1" type="home"&gt;+31 105212879&lt;/number&gt;</v>
      </c>
      <c r="O38" s="5">
        <f t="shared" si="19"/>
        <v>1</v>
      </c>
      <c r="P38" s="5">
        <f t="shared" si="20"/>
        <v>1</v>
      </c>
      <c r="Q38" s="5" t="str">
        <f>CONCATENATE(+Contacts!G38)</f>
        <v>+31 105212879</v>
      </c>
      <c r="R38" t="str">
        <f t="shared" si="21"/>
        <v>&lt;number id="1" prio="0" type="mobile"&gt;+31 655335389&lt;/number&gt;</v>
      </c>
      <c r="S38" s="5">
        <f t="shared" si="22"/>
        <v>2</v>
      </c>
      <c r="T38" s="5">
        <f t="shared" si="23"/>
        <v>0</v>
      </c>
      <c r="U38" s="5" t="str">
        <f>CONCATENATE(+Contacts!H38)</f>
        <v>+31 655335389</v>
      </c>
      <c r="V38" t="str">
        <f t="shared" si="24"/>
        <v/>
      </c>
      <c r="W38" s="5">
        <f t="shared" si="25"/>
        <v>2</v>
      </c>
      <c r="X38" s="5">
        <f t="shared" si="26"/>
        <v>0</v>
      </c>
      <c r="Y38" s="5" t="str">
        <f>CONCATENATE(+Contacts!F38)</f>
        <v/>
      </c>
      <c r="Z38" s="2" t="str">
        <f t="shared" si="27"/>
        <v xml:space="preserve">Bos, Ies   </v>
      </c>
      <c r="AA38" s="2" t="str">
        <f>CONCATENATE(+Contacts!C38)</f>
        <v>Bos</v>
      </c>
      <c r="AB38" s="2" t="str">
        <f t="shared" si="28"/>
        <v xml:space="preserve">, </v>
      </c>
      <c r="AC38" s="2" t="str">
        <f>CONCATENATE(+Contacts!A38)</f>
        <v>Ies</v>
      </c>
      <c r="AD38" s="3" t="str">
        <f>CONCATENATE(" ",+Contacts!B38)</f>
        <v xml:space="preserve"> </v>
      </c>
      <c r="AE38" s="2" t="str">
        <f t="shared" si="29"/>
        <v xml:space="preserve"> </v>
      </c>
      <c r="AF38" s="3" t="str">
        <f>CONCATENATE(+Contacts!D38)</f>
        <v/>
      </c>
      <c r="AG38" s="2" t="str">
        <f t="shared" si="30"/>
        <v xml:space="preserve"> </v>
      </c>
      <c r="AH38" t="str">
        <f>CONCATENATE(+Contacts!I38)</f>
        <v>ies@specialorchids.com</v>
      </c>
      <c r="AI38">
        <v>1500000010</v>
      </c>
      <c r="AJ38" s="5">
        <f t="shared" si="31"/>
        <v>1</v>
      </c>
    </row>
    <row r="39" spans="1:36" x14ac:dyDescent="0.35">
      <c r="A39" s="7" t="str">
        <f t="shared" si="6"/>
        <v>&lt;contact&gt;&lt;category&gt;0&lt;/category&gt;&lt;person&gt;&lt;realName&gt;Bos, Tea   &lt;/realName&gt;&lt;/person&gt;</v>
      </c>
      <c r="B39" s="7" t="str">
        <f t="shared" si="7"/>
        <v>&lt;telephony nid="2"&gt;&lt;number id="0" prio="1" type="home"&gt;+31 105212879&lt;/number&gt;&lt;number id="1" prio="0" type="mobile"&gt;+31 627005161&lt;/number&gt;&lt;/telephony&gt;</v>
      </c>
      <c r="C39" s="7" t="str">
        <f t="shared" si="8"/>
        <v>&lt;services nid="1"&gt;&lt;email id="0" classifier="private"&gt;teabos@hotmail.com&lt;/email&gt;&lt;/services&gt;&lt;setup /&gt;&lt;mod_time&gt;1500000010&lt;/mod_time&gt;&lt;uniqueid&gt;1&lt;/uniqueid&gt;&lt;/contact&gt;</v>
      </c>
      <c r="D39" t="str">
        <f t="shared" si="9"/>
        <v>&lt;contact&gt;&lt;category&gt;0&lt;/category&gt;&lt;person&gt;&lt;realName&gt;Bos, Tea   &lt;/realName&gt;&lt;/person&gt;</v>
      </c>
      <c r="E39" t="str">
        <f t="shared" si="10"/>
        <v>&lt;telephony nid="2"&gt;&lt;number id="0" prio="1" type="home"&gt;+31 105212879&lt;/number&gt;&lt;number id="1" prio="0" type="mobile"&gt;+31 627005161&lt;/number&gt;&lt;/telephony&gt;</v>
      </c>
      <c r="F39" t="str">
        <f t="shared" si="11"/>
        <v>&lt;telephony nid="2"&gt;</v>
      </c>
      <c r="G39" t="str">
        <f t="shared" si="12"/>
        <v/>
      </c>
      <c r="H39" t="str">
        <f t="shared" si="13"/>
        <v>&lt;services nid="1"&gt;&lt;email id="0" classifier="private"&gt;teabos@hotmail.com&lt;/email&gt;&lt;/services&gt;&lt;setup /&gt;&lt;mod_time&gt;1500000010&lt;/mod_time&gt;&lt;uniqueid&gt;1&lt;/uniqueid&gt;&lt;/contact&gt;</v>
      </c>
      <c r="I39" t="str">
        <f t="shared" si="14"/>
        <v>&lt;services /&gt;&lt;setup /&gt;&lt;mod_time&gt;1500000010&lt;/mod_time&gt;&lt;uniqueid&gt;1&lt;/uniqueid&gt;&lt;/contact&gt;</v>
      </c>
      <c r="J39" t="str">
        <f t="shared" si="15"/>
        <v>&lt;services nid="1"&gt;&lt;email id="0" classifier="private"&gt;teabos@hotmail.com&lt;/email&gt;&lt;/services&gt;&lt;setup /&gt;&lt;mod_time&gt;1500000010&lt;/mod_time&gt;&lt;uniqueid&gt;1&lt;/uniqueid&gt;&lt;/contact&gt;</v>
      </c>
      <c r="K39" s="5">
        <f t="shared" si="16"/>
        <v>0</v>
      </c>
      <c r="L39" s="5">
        <f t="shared" si="17"/>
        <v>0</v>
      </c>
      <c r="M39" s="5" t="str">
        <f>CONCATENATE(+Contacts!E39)</f>
        <v/>
      </c>
      <c r="N39" t="str">
        <f t="shared" si="18"/>
        <v>&lt;number id="0" prio="1" type="home"&gt;+31 105212879&lt;/number&gt;</v>
      </c>
      <c r="O39" s="5">
        <f t="shared" si="19"/>
        <v>1</v>
      </c>
      <c r="P39" s="5">
        <f t="shared" si="20"/>
        <v>1</v>
      </c>
      <c r="Q39" s="5" t="str">
        <f>CONCATENATE(+Contacts!G39)</f>
        <v>+31 105212879</v>
      </c>
      <c r="R39" t="str">
        <f t="shared" si="21"/>
        <v>&lt;number id="1" prio="0" type="mobile"&gt;+31 627005161&lt;/number&gt;</v>
      </c>
      <c r="S39" s="5">
        <f t="shared" si="22"/>
        <v>2</v>
      </c>
      <c r="T39" s="5">
        <f t="shared" si="23"/>
        <v>0</v>
      </c>
      <c r="U39" s="5" t="str">
        <f>CONCATENATE(+Contacts!H39)</f>
        <v>+31 627005161</v>
      </c>
      <c r="V39" t="str">
        <f t="shared" si="24"/>
        <v/>
      </c>
      <c r="W39" s="5">
        <f t="shared" si="25"/>
        <v>2</v>
      </c>
      <c r="X39" s="5">
        <f t="shared" si="26"/>
        <v>0</v>
      </c>
      <c r="Y39" s="5" t="str">
        <f>CONCATENATE(+Contacts!F39)</f>
        <v/>
      </c>
      <c r="Z39" s="2" t="str">
        <f t="shared" si="27"/>
        <v xml:space="preserve">Bos, Tea   </v>
      </c>
      <c r="AA39" s="2" t="str">
        <f>CONCATENATE(+Contacts!C39)</f>
        <v>Bos</v>
      </c>
      <c r="AB39" s="2" t="str">
        <f t="shared" si="28"/>
        <v xml:space="preserve">, </v>
      </c>
      <c r="AC39" s="2" t="str">
        <f>CONCATENATE(+Contacts!A39)</f>
        <v>Tea</v>
      </c>
      <c r="AD39" s="3" t="str">
        <f>CONCATENATE(" ",+Contacts!B39)</f>
        <v xml:space="preserve"> </v>
      </c>
      <c r="AE39" s="2" t="str">
        <f t="shared" si="29"/>
        <v xml:space="preserve"> </v>
      </c>
      <c r="AF39" s="3" t="str">
        <f>CONCATENATE(+Contacts!D39)</f>
        <v/>
      </c>
      <c r="AG39" s="2" t="str">
        <f t="shared" si="30"/>
        <v xml:space="preserve"> </v>
      </c>
      <c r="AH39" t="str">
        <f>CONCATENATE(+Contacts!I39)</f>
        <v>teabos@hotmail.com</v>
      </c>
      <c r="AI39">
        <v>1500000010</v>
      </c>
      <c r="AJ39" s="5">
        <f t="shared" si="31"/>
        <v>1</v>
      </c>
    </row>
    <row r="40" spans="1:36" x14ac:dyDescent="0.35">
      <c r="A40" s="7" t="str">
        <f t="shared" si="6"/>
        <v/>
      </c>
      <c r="B40" s="7" t="str">
        <f t="shared" si="7"/>
        <v/>
      </c>
      <c r="C40" s="7" t="str">
        <f t="shared" si="8"/>
        <v/>
      </c>
      <c r="D40" t="str">
        <f t="shared" si="9"/>
        <v>&lt;contact&gt;&lt;category&gt;0&lt;/category&gt;&lt;person&gt;&lt;realName&gt;Bosch, Egbert van den  &lt;/realName&gt;&lt;/person&gt;</v>
      </c>
      <c r="E40" t="str">
        <f t="shared" si="10"/>
        <v>&lt;telephony nid="0"&gt;&lt;/telephony&gt;</v>
      </c>
      <c r="F40" t="str">
        <f t="shared" si="11"/>
        <v>&lt;telephony nid="0"&gt;</v>
      </c>
      <c r="G40" t="str">
        <f t="shared" si="12"/>
        <v/>
      </c>
      <c r="H40" t="str">
        <f t="shared" si="13"/>
        <v>&lt;services nid="1"&gt;&lt;email id="0" classifier="private"&gt;&lt;/email&gt;&lt;/services&gt;&lt;setup /&gt;&lt;mod_time&gt;1500000010&lt;/mod_time&gt;&lt;uniqueid&gt;0&lt;/uniqueid&gt;&lt;/contact&gt;</v>
      </c>
      <c r="I40" t="str">
        <f t="shared" si="14"/>
        <v>&lt;services /&gt;&lt;setup /&gt;&lt;mod_time&gt;1500000010&lt;/mod_time&gt;&lt;uniqueid&gt;0&lt;/uniqueid&gt;&lt;/contact&gt;</v>
      </c>
      <c r="J40" t="str">
        <f t="shared" si="15"/>
        <v>&lt;services /&gt;&lt;setup /&gt;&lt;mod_time&gt;1500000010&lt;/mod_time&gt;&lt;uniqueid&gt;0&lt;/uniqueid&gt;&lt;/contact&gt;</v>
      </c>
      <c r="K40" s="5">
        <f t="shared" si="16"/>
        <v>0</v>
      </c>
      <c r="L40" s="5">
        <f t="shared" si="17"/>
        <v>0</v>
      </c>
      <c r="M40" s="5" t="str">
        <f>CONCATENATE(+Contacts!E40)</f>
        <v/>
      </c>
      <c r="N40" t="str">
        <f t="shared" si="18"/>
        <v/>
      </c>
      <c r="O40" s="5">
        <f t="shared" si="19"/>
        <v>0</v>
      </c>
      <c r="P40" s="5">
        <f t="shared" si="20"/>
        <v>0</v>
      </c>
      <c r="Q40" s="5" t="str">
        <f>CONCATENATE(+Contacts!G40)</f>
        <v/>
      </c>
      <c r="R40" t="str">
        <f t="shared" si="21"/>
        <v/>
      </c>
      <c r="S40" s="5">
        <f t="shared" si="22"/>
        <v>0</v>
      </c>
      <c r="T40" s="5">
        <f t="shared" si="23"/>
        <v>0</v>
      </c>
      <c r="U40" s="5" t="str">
        <f>CONCATENATE(+Contacts!H40)</f>
        <v/>
      </c>
      <c r="V40" t="str">
        <f t="shared" si="24"/>
        <v/>
      </c>
      <c r="W40" s="5">
        <f t="shared" si="25"/>
        <v>0</v>
      </c>
      <c r="X40" s="5">
        <f t="shared" si="26"/>
        <v>0</v>
      </c>
      <c r="Y40" s="5" t="str">
        <f>CONCATENATE(+Contacts!F40)</f>
        <v/>
      </c>
      <c r="Z40" s="2" t="str">
        <f t="shared" si="27"/>
        <v xml:space="preserve">Bosch, Egbert van den  </v>
      </c>
      <c r="AA40" s="2" t="str">
        <f>CONCATENATE(+Contacts!C40)</f>
        <v>Bosch</v>
      </c>
      <c r="AB40" s="2" t="str">
        <f t="shared" si="28"/>
        <v xml:space="preserve">, </v>
      </c>
      <c r="AC40" s="2" t="str">
        <f>CONCATENATE(+Contacts!A40)</f>
        <v>Egbert</v>
      </c>
      <c r="AD40" s="3" t="str">
        <f>CONCATENATE(" ",+Contacts!B40)</f>
        <v xml:space="preserve"> van den</v>
      </c>
      <c r="AE40" s="2" t="str">
        <f t="shared" si="29"/>
        <v xml:space="preserve"> </v>
      </c>
      <c r="AF40" s="3" t="str">
        <f>CONCATENATE(+Contacts!D40)</f>
        <v/>
      </c>
      <c r="AG40" s="2" t="str">
        <f t="shared" si="30"/>
        <v xml:space="preserve"> </v>
      </c>
      <c r="AH40" t="str">
        <f>CONCATENATE(+Contacts!I40)</f>
        <v/>
      </c>
      <c r="AI40">
        <v>1500000010</v>
      </c>
      <c r="AJ40" s="5">
        <f t="shared" si="31"/>
        <v>0</v>
      </c>
    </row>
    <row r="41" spans="1:36" x14ac:dyDescent="0.35">
      <c r="A41" s="7" t="str">
        <f t="shared" si="6"/>
        <v/>
      </c>
      <c r="B41" s="7" t="str">
        <f t="shared" si="7"/>
        <v/>
      </c>
      <c r="C41" s="7" t="str">
        <f t="shared" si="8"/>
        <v/>
      </c>
      <c r="D41" t="str">
        <f t="shared" si="9"/>
        <v>&lt;contact&gt;&lt;category&gt;0&lt;/category&gt;&lt;person&gt;&lt;realName&gt;Bosch, Iris van den  &lt;/realName&gt;&lt;/person&gt;</v>
      </c>
      <c r="E41" t="str">
        <f t="shared" si="10"/>
        <v>&lt;telephony nid="0"&gt;&lt;/telephony&gt;</v>
      </c>
      <c r="F41" t="str">
        <f t="shared" si="11"/>
        <v>&lt;telephony nid="0"&gt;</v>
      </c>
      <c r="G41" t="str">
        <f t="shared" si="12"/>
        <v/>
      </c>
      <c r="H41" t="str">
        <f t="shared" si="13"/>
        <v>&lt;services nid="1"&gt;&lt;email id="0" classifier="private"&gt;&lt;/email&gt;&lt;/services&gt;&lt;setup /&gt;&lt;mod_time&gt;1500000010&lt;/mod_time&gt;&lt;uniqueid&gt;0&lt;/uniqueid&gt;&lt;/contact&gt;</v>
      </c>
      <c r="I41" t="str">
        <f t="shared" si="14"/>
        <v>&lt;services /&gt;&lt;setup /&gt;&lt;mod_time&gt;1500000010&lt;/mod_time&gt;&lt;uniqueid&gt;0&lt;/uniqueid&gt;&lt;/contact&gt;</v>
      </c>
      <c r="J41" t="str">
        <f t="shared" si="15"/>
        <v>&lt;services /&gt;&lt;setup /&gt;&lt;mod_time&gt;1500000010&lt;/mod_time&gt;&lt;uniqueid&gt;0&lt;/uniqueid&gt;&lt;/contact&gt;</v>
      </c>
      <c r="K41" s="5">
        <f t="shared" si="16"/>
        <v>0</v>
      </c>
      <c r="L41" s="5">
        <f t="shared" si="17"/>
        <v>0</v>
      </c>
      <c r="M41" s="5" t="str">
        <f>CONCATENATE(+Contacts!E41)</f>
        <v/>
      </c>
      <c r="N41" t="str">
        <f t="shared" si="18"/>
        <v/>
      </c>
      <c r="O41" s="5">
        <f t="shared" si="19"/>
        <v>0</v>
      </c>
      <c r="P41" s="5">
        <f t="shared" si="20"/>
        <v>0</v>
      </c>
      <c r="Q41" s="5" t="str">
        <f>CONCATENATE(+Contacts!G41)</f>
        <v/>
      </c>
      <c r="R41" t="str">
        <f t="shared" si="21"/>
        <v/>
      </c>
      <c r="S41" s="5">
        <f t="shared" si="22"/>
        <v>0</v>
      </c>
      <c r="T41" s="5">
        <f t="shared" si="23"/>
        <v>0</v>
      </c>
      <c r="U41" s="5" t="str">
        <f>CONCATENATE(+Contacts!H41)</f>
        <v/>
      </c>
      <c r="V41" t="str">
        <f t="shared" si="24"/>
        <v/>
      </c>
      <c r="W41" s="5">
        <f t="shared" si="25"/>
        <v>0</v>
      </c>
      <c r="X41" s="5">
        <f t="shared" si="26"/>
        <v>0</v>
      </c>
      <c r="Y41" s="5" t="str">
        <f>CONCATENATE(+Contacts!F41)</f>
        <v/>
      </c>
      <c r="Z41" s="2" t="str">
        <f t="shared" si="27"/>
        <v xml:space="preserve">Bosch, Iris van den  </v>
      </c>
      <c r="AA41" s="2" t="str">
        <f>CONCATENATE(+Contacts!C41)</f>
        <v>Bosch</v>
      </c>
      <c r="AB41" s="2" t="str">
        <f t="shared" si="28"/>
        <v xml:space="preserve">, </v>
      </c>
      <c r="AC41" s="2" t="str">
        <f>CONCATENATE(+Contacts!A41)</f>
        <v>Iris</v>
      </c>
      <c r="AD41" s="3" t="str">
        <f>CONCATENATE(" ",+Contacts!B41)</f>
        <v xml:space="preserve"> van den</v>
      </c>
      <c r="AE41" s="2" t="str">
        <f t="shared" si="29"/>
        <v xml:space="preserve"> </v>
      </c>
      <c r="AF41" s="3" t="str">
        <f>CONCATENATE(+Contacts!D41)</f>
        <v/>
      </c>
      <c r="AG41" s="2" t="str">
        <f t="shared" si="30"/>
        <v xml:space="preserve"> </v>
      </c>
      <c r="AH41" t="str">
        <f>CONCATENATE(+Contacts!I41)</f>
        <v/>
      </c>
      <c r="AI41">
        <v>1500000010</v>
      </c>
      <c r="AJ41" s="5">
        <f t="shared" si="31"/>
        <v>0</v>
      </c>
    </row>
    <row r="42" spans="1:36" x14ac:dyDescent="0.35">
      <c r="A42" s="7" t="str">
        <f t="shared" si="6"/>
        <v>&lt;contact&gt;&lt;category&gt;0&lt;/category&gt;&lt;person&gt;&lt;realName&gt;Bosch, Ron van den  &lt;/realName&gt;&lt;/person&gt;</v>
      </c>
      <c r="B42" s="7" t="str">
        <f t="shared" si="7"/>
        <v>&lt;telephony nid="2"&gt;&lt;number id="0" prio="1" type="home"&gt;+31 505034344&lt;/number&gt;&lt;number id="1" prio="0" type="mobile"&gt;+31 686 677 102&lt;/number&gt;&lt;/telephony&gt;</v>
      </c>
      <c r="C42" s="7" t="str">
        <f t="shared" si="8"/>
        <v>&lt;services nid="1"&gt;&lt;email id="0" classifier="private"&gt;ronvandenbosch@gmail.com&lt;/email&gt;&lt;/services&gt;&lt;setup /&gt;&lt;mod_time&gt;1500000010&lt;/mod_time&gt;&lt;uniqueid&gt;1&lt;/uniqueid&gt;&lt;/contact&gt;</v>
      </c>
      <c r="D42" t="str">
        <f t="shared" si="9"/>
        <v>&lt;contact&gt;&lt;category&gt;0&lt;/category&gt;&lt;person&gt;&lt;realName&gt;Bosch, Ron van den  &lt;/realName&gt;&lt;/person&gt;</v>
      </c>
      <c r="E42" t="str">
        <f t="shared" si="10"/>
        <v>&lt;telephony nid="2"&gt;&lt;number id="0" prio="1" type="home"&gt;+31 505034344&lt;/number&gt;&lt;number id="1" prio="0" type="mobile"&gt;+31 686 677 102&lt;/number&gt;&lt;/telephony&gt;</v>
      </c>
      <c r="F42" t="str">
        <f t="shared" si="11"/>
        <v>&lt;telephony nid="2"&gt;</v>
      </c>
      <c r="G42" t="str">
        <f t="shared" si="12"/>
        <v/>
      </c>
      <c r="H42" t="str">
        <f t="shared" si="13"/>
        <v>&lt;services nid="1"&gt;&lt;email id="0" classifier="private"&gt;ronvandenbosch@gmail.com&lt;/email&gt;&lt;/services&gt;&lt;setup /&gt;&lt;mod_time&gt;1500000010&lt;/mod_time&gt;&lt;uniqueid&gt;1&lt;/uniqueid&gt;&lt;/contact&gt;</v>
      </c>
      <c r="I42" t="str">
        <f t="shared" si="14"/>
        <v>&lt;services /&gt;&lt;setup /&gt;&lt;mod_time&gt;1500000010&lt;/mod_time&gt;&lt;uniqueid&gt;1&lt;/uniqueid&gt;&lt;/contact&gt;</v>
      </c>
      <c r="J42" t="str">
        <f t="shared" si="15"/>
        <v>&lt;services nid="1"&gt;&lt;email id="0" classifier="private"&gt;ronvandenbosch@gmail.com&lt;/email&gt;&lt;/services&gt;&lt;setup /&gt;&lt;mod_time&gt;1500000010&lt;/mod_time&gt;&lt;uniqueid&gt;1&lt;/uniqueid&gt;&lt;/contact&gt;</v>
      </c>
      <c r="K42" s="5">
        <f t="shared" si="16"/>
        <v>0</v>
      </c>
      <c r="L42" s="5">
        <f t="shared" si="17"/>
        <v>0</v>
      </c>
      <c r="M42" s="5" t="str">
        <f>CONCATENATE(+Contacts!E42)</f>
        <v/>
      </c>
      <c r="N42" t="str">
        <f t="shared" si="18"/>
        <v>&lt;number id="0" prio="1" type="home"&gt;+31 505034344&lt;/number&gt;</v>
      </c>
      <c r="O42" s="5">
        <f t="shared" si="19"/>
        <v>1</v>
      </c>
      <c r="P42" s="5">
        <f t="shared" si="20"/>
        <v>1</v>
      </c>
      <c r="Q42" s="5" t="str">
        <f>CONCATENATE(+Contacts!G42)</f>
        <v>+31 505034344</v>
      </c>
      <c r="R42" t="str">
        <f t="shared" si="21"/>
        <v>&lt;number id="1" prio="0" type="mobile"&gt;+31 686 677 102&lt;/number&gt;</v>
      </c>
      <c r="S42" s="5">
        <f t="shared" si="22"/>
        <v>2</v>
      </c>
      <c r="T42" s="5">
        <f t="shared" si="23"/>
        <v>0</v>
      </c>
      <c r="U42" s="5" t="str">
        <f>CONCATENATE(+Contacts!H42)</f>
        <v>+31 686 677 102</v>
      </c>
      <c r="V42" t="str">
        <f t="shared" si="24"/>
        <v/>
      </c>
      <c r="W42" s="5">
        <f t="shared" si="25"/>
        <v>2</v>
      </c>
      <c r="X42" s="5">
        <f t="shared" si="26"/>
        <v>0</v>
      </c>
      <c r="Y42" s="5" t="str">
        <f>CONCATENATE(+Contacts!F42)</f>
        <v/>
      </c>
      <c r="Z42" s="2" t="str">
        <f t="shared" si="27"/>
        <v xml:space="preserve">Bosch, Ron van den  </v>
      </c>
      <c r="AA42" s="2" t="str">
        <f>CONCATENATE(+Contacts!C42)</f>
        <v>Bosch</v>
      </c>
      <c r="AB42" s="2" t="str">
        <f t="shared" si="28"/>
        <v xml:space="preserve">, </v>
      </c>
      <c r="AC42" s="2" t="str">
        <f>CONCATENATE(+Contacts!A42)</f>
        <v>Ron</v>
      </c>
      <c r="AD42" s="3" t="str">
        <f>CONCATENATE(" ",+Contacts!B42)</f>
        <v xml:space="preserve"> van den</v>
      </c>
      <c r="AE42" s="2" t="str">
        <f t="shared" si="29"/>
        <v xml:space="preserve"> </v>
      </c>
      <c r="AF42" s="3" t="str">
        <f>CONCATENATE(+Contacts!D42)</f>
        <v/>
      </c>
      <c r="AG42" s="2" t="str">
        <f t="shared" si="30"/>
        <v xml:space="preserve"> </v>
      </c>
      <c r="AH42" t="str">
        <f>CONCATENATE(+Contacts!I42)</f>
        <v>ronvandenbosch@gmail.com</v>
      </c>
      <c r="AI42">
        <v>1500000010</v>
      </c>
      <c r="AJ42" s="5">
        <f t="shared" si="31"/>
        <v>1</v>
      </c>
    </row>
    <row r="43" spans="1:36" x14ac:dyDescent="0.35">
      <c r="A43" s="7" t="str">
        <f t="shared" si="6"/>
        <v/>
      </c>
      <c r="B43" s="7" t="str">
        <f t="shared" si="7"/>
        <v/>
      </c>
      <c r="C43" s="7" t="str">
        <f t="shared" si="8"/>
        <v/>
      </c>
      <c r="D43" t="str">
        <f t="shared" si="9"/>
        <v>&lt;contact&gt;&lt;category&gt;0&lt;/category&gt;&lt;person&gt;&lt;realName&gt;Boter, Els   &lt;/realName&gt;&lt;/person&gt;</v>
      </c>
      <c r="E43" t="str">
        <f t="shared" si="10"/>
        <v>&lt;telephony nid="0"&gt;&lt;/telephony&gt;</v>
      </c>
      <c r="F43" t="str">
        <f t="shared" si="11"/>
        <v>&lt;telephony nid="0"&gt;</v>
      </c>
      <c r="G43" t="str">
        <f t="shared" si="12"/>
        <v/>
      </c>
      <c r="H43" t="str">
        <f t="shared" si="13"/>
        <v>&lt;services nid="1"&gt;&lt;email id="0" classifier="private"&gt;&lt;/email&gt;&lt;/services&gt;&lt;setup /&gt;&lt;mod_time&gt;1500000010&lt;/mod_time&gt;&lt;uniqueid&gt;0&lt;/uniqueid&gt;&lt;/contact&gt;</v>
      </c>
      <c r="I43" t="str">
        <f t="shared" si="14"/>
        <v>&lt;services /&gt;&lt;setup /&gt;&lt;mod_time&gt;1500000010&lt;/mod_time&gt;&lt;uniqueid&gt;0&lt;/uniqueid&gt;&lt;/contact&gt;</v>
      </c>
      <c r="J43" t="str">
        <f t="shared" si="15"/>
        <v>&lt;services /&gt;&lt;setup /&gt;&lt;mod_time&gt;1500000010&lt;/mod_time&gt;&lt;uniqueid&gt;0&lt;/uniqueid&gt;&lt;/contact&gt;</v>
      </c>
      <c r="K43" s="5">
        <f t="shared" si="16"/>
        <v>0</v>
      </c>
      <c r="L43" s="5">
        <f t="shared" si="17"/>
        <v>0</v>
      </c>
      <c r="M43" s="5" t="str">
        <f>CONCATENATE(+Contacts!E43)</f>
        <v/>
      </c>
      <c r="N43" t="str">
        <f t="shared" si="18"/>
        <v/>
      </c>
      <c r="O43" s="5">
        <f t="shared" si="19"/>
        <v>0</v>
      </c>
      <c r="P43" s="5">
        <f t="shared" si="20"/>
        <v>0</v>
      </c>
      <c r="Q43" s="5" t="str">
        <f>CONCATENATE(+Contacts!G43)</f>
        <v/>
      </c>
      <c r="R43" t="str">
        <f t="shared" si="21"/>
        <v/>
      </c>
      <c r="S43" s="5">
        <f t="shared" si="22"/>
        <v>0</v>
      </c>
      <c r="T43" s="5">
        <f t="shared" si="23"/>
        <v>0</v>
      </c>
      <c r="U43" s="5" t="str">
        <f>CONCATENATE(+Contacts!H43)</f>
        <v/>
      </c>
      <c r="V43" t="str">
        <f t="shared" si="24"/>
        <v/>
      </c>
      <c r="W43" s="5">
        <f t="shared" si="25"/>
        <v>0</v>
      </c>
      <c r="X43" s="5">
        <f t="shared" si="26"/>
        <v>0</v>
      </c>
      <c r="Y43" s="5" t="str">
        <f>CONCATENATE(+Contacts!F43)</f>
        <v/>
      </c>
      <c r="Z43" s="2" t="str">
        <f t="shared" si="27"/>
        <v xml:space="preserve">Boter, Els   </v>
      </c>
      <c r="AA43" s="2" t="str">
        <f>CONCATENATE(+Contacts!C43)</f>
        <v>Boter</v>
      </c>
      <c r="AB43" s="2" t="str">
        <f t="shared" si="28"/>
        <v xml:space="preserve">, </v>
      </c>
      <c r="AC43" s="2" t="str">
        <f>CONCATENATE(+Contacts!A43)</f>
        <v>Els</v>
      </c>
      <c r="AD43" s="3" t="str">
        <f>CONCATENATE(" ",+Contacts!B43)</f>
        <v xml:space="preserve"> </v>
      </c>
      <c r="AE43" s="2" t="str">
        <f t="shared" si="29"/>
        <v xml:space="preserve"> </v>
      </c>
      <c r="AF43" s="3" t="str">
        <f>CONCATENATE(+Contacts!D43)</f>
        <v/>
      </c>
      <c r="AG43" s="2" t="str">
        <f t="shared" si="30"/>
        <v xml:space="preserve"> </v>
      </c>
      <c r="AH43" t="str">
        <f>CONCATENATE(+Contacts!I43)</f>
        <v/>
      </c>
      <c r="AI43">
        <v>1500000010</v>
      </c>
      <c r="AJ43" s="5">
        <f t="shared" si="31"/>
        <v>0</v>
      </c>
    </row>
    <row r="44" spans="1:36" x14ac:dyDescent="0.35">
      <c r="A44" s="7" t="str">
        <f t="shared" si="6"/>
        <v>&lt;contact&gt;&lt;category&gt;0&lt;/category&gt;&lt;person&gt;&lt;realName&gt;Boter, Els   &lt;/realName&gt;&lt;/person&gt;</v>
      </c>
      <c r="B44" s="7" t="str">
        <f t="shared" si="7"/>
        <v>&lt;telephony nid="1"&gt;&lt;number id="0" prio="1" type="mobile"&gt;310643946145&lt;/number&gt;&lt;/telephony&gt;</v>
      </c>
      <c r="C44" s="7" t="str">
        <f t="shared" si="8"/>
        <v>&lt;services /&gt;&lt;setup /&gt;&lt;mod_time&gt;1500000010&lt;/mod_time&gt;&lt;uniqueid&gt;1&lt;/uniqueid&gt;&lt;/contact&gt;</v>
      </c>
      <c r="D44" t="str">
        <f t="shared" si="9"/>
        <v>&lt;contact&gt;&lt;category&gt;0&lt;/category&gt;&lt;person&gt;&lt;realName&gt;Boter, Els   &lt;/realName&gt;&lt;/person&gt;</v>
      </c>
      <c r="E44" t="str">
        <f t="shared" si="10"/>
        <v>&lt;telephony nid="1"&gt;&lt;number id="0" prio="1" type="mobile"&gt;310643946145&lt;/number&gt;&lt;/telephony&gt;</v>
      </c>
      <c r="F44" t="str">
        <f t="shared" si="11"/>
        <v>&lt;telephony nid="1"&gt;</v>
      </c>
      <c r="G44" t="str">
        <f t="shared" si="12"/>
        <v/>
      </c>
      <c r="H44" t="str">
        <f t="shared" si="13"/>
        <v>&lt;services nid="1"&gt;&lt;email id="0" classifier="private"&gt;&lt;/email&gt;&lt;/services&gt;&lt;setup /&gt;&lt;mod_time&gt;1500000010&lt;/mod_time&gt;&lt;uniqueid&gt;1&lt;/uniqueid&gt;&lt;/contact&gt;</v>
      </c>
      <c r="I44" t="str">
        <f t="shared" si="14"/>
        <v>&lt;services /&gt;&lt;setup /&gt;&lt;mod_time&gt;1500000010&lt;/mod_time&gt;&lt;uniqueid&gt;1&lt;/uniqueid&gt;&lt;/contact&gt;</v>
      </c>
      <c r="J44" t="str">
        <f t="shared" si="15"/>
        <v>&lt;services /&gt;&lt;setup /&gt;&lt;mod_time&gt;1500000010&lt;/mod_time&gt;&lt;uniqueid&gt;1&lt;/uniqueid&gt;&lt;/contact&gt;</v>
      </c>
      <c r="K44" s="5">
        <f t="shared" si="16"/>
        <v>0</v>
      </c>
      <c r="L44" s="5">
        <f t="shared" si="17"/>
        <v>0</v>
      </c>
      <c r="M44" s="5" t="str">
        <f>CONCATENATE(+Contacts!E44)</f>
        <v/>
      </c>
      <c r="N44" t="str">
        <f t="shared" si="18"/>
        <v/>
      </c>
      <c r="O44" s="5">
        <f t="shared" si="19"/>
        <v>0</v>
      </c>
      <c r="P44" s="5">
        <f t="shared" si="20"/>
        <v>0</v>
      </c>
      <c r="Q44" s="5" t="str">
        <f>CONCATENATE(+Contacts!G44)</f>
        <v/>
      </c>
      <c r="R44" t="str">
        <f t="shared" si="21"/>
        <v>&lt;number id="0" prio="1" type="mobile"&gt;310643946145&lt;/number&gt;</v>
      </c>
      <c r="S44" s="5">
        <f t="shared" si="22"/>
        <v>1</v>
      </c>
      <c r="T44" s="5">
        <f t="shared" si="23"/>
        <v>1</v>
      </c>
      <c r="U44" s="5" t="str">
        <f>CONCATENATE(+Contacts!H44)</f>
        <v>310643946145</v>
      </c>
      <c r="V44" t="str">
        <f t="shared" si="24"/>
        <v/>
      </c>
      <c r="W44" s="5">
        <f t="shared" si="25"/>
        <v>1</v>
      </c>
      <c r="X44" s="5">
        <f t="shared" si="26"/>
        <v>1</v>
      </c>
      <c r="Y44" s="5" t="str">
        <f>CONCATENATE(+Contacts!F44)</f>
        <v/>
      </c>
      <c r="Z44" s="2" t="str">
        <f t="shared" si="27"/>
        <v xml:space="preserve">Boter, Els   </v>
      </c>
      <c r="AA44" s="2" t="str">
        <f>CONCATENATE(+Contacts!C44)</f>
        <v>Boter</v>
      </c>
      <c r="AB44" s="2" t="str">
        <f t="shared" si="28"/>
        <v xml:space="preserve">, </v>
      </c>
      <c r="AC44" s="2" t="str">
        <f>CONCATENATE(+Contacts!A44)</f>
        <v>Els</v>
      </c>
      <c r="AD44" s="3" t="str">
        <f>CONCATENATE(" ",+Contacts!B44)</f>
        <v xml:space="preserve"> </v>
      </c>
      <c r="AE44" s="2" t="str">
        <f t="shared" si="29"/>
        <v xml:space="preserve"> </v>
      </c>
      <c r="AF44" s="3" t="str">
        <f>CONCATENATE(+Contacts!D44)</f>
        <v/>
      </c>
      <c r="AG44" s="2" t="str">
        <f t="shared" si="30"/>
        <v xml:space="preserve"> </v>
      </c>
      <c r="AH44" t="str">
        <f>CONCATENATE(+Contacts!I44)</f>
        <v/>
      </c>
      <c r="AI44">
        <v>1500000010</v>
      </c>
      <c r="AJ44" s="5">
        <f t="shared" si="31"/>
        <v>1</v>
      </c>
    </row>
    <row r="45" spans="1:36" x14ac:dyDescent="0.35">
      <c r="A45" s="7" t="str">
        <f t="shared" si="6"/>
        <v/>
      </c>
      <c r="B45" s="7" t="str">
        <f t="shared" si="7"/>
        <v/>
      </c>
      <c r="C45" s="7" t="str">
        <f t="shared" si="8"/>
        <v/>
      </c>
      <c r="D45" t="str">
        <f t="shared" si="9"/>
        <v>&lt;contact&gt;&lt;category&gt;0&lt;/category&gt;&lt;person&gt;&lt;realName&gt;Boter, Els   &lt;/realName&gt;&lt;/person&gt;</v>
      </c>
      <c r="E45" t="str">
        <f t="shared" si="10"/>
        <v>&lt;telephony nid="0"&gt;&lt;/telephony&gt;</v>
      </c>
      <c r="F45" t="str">
        <f t="shared" si="11"/>
        <v>&lt;telephony nid="0"&gt;</v>
      </c>
      <c r="G45" t="str">
        <f t="shared" si="12"/>
        <v/>
      </c>
      <c r="H45" t="str">
        <f t="shared" si="13"/>
        <v>&lt;services nid="1"&gt;&lt;email id="0" classifier="private"&gt;&lt;/email&gt;&lt;/services&gt;&lt;setup /&gt;&lt;mod_time&gt;1500000010&lt;/mod_time&gt;&lt;uniqueid&gt;0&lt;/uniqueid&gt;&lt;/contact&gt;</v>
      </c>
      <c r="I45" t="str">
        <f t="shared" si="14"/>
        <v>&lt;services /&gt;&lt;setup /&gt;&lt;mod_time&gt;1500000010&lt;/mod_time&gt;&lt;uniqueid&gt;0&lt;/uniqueid&gt;&lt;/contact&gt;</v>
      </c>
      <c r="J45" t="str">
        <f t="shared" si="15"/>
        <v>&lt;services /&gt;&lt;setup /&gt;&lt;mod_time&gt;1500000010&lt;/mod_time&gt;&lt;uniqueid&gt;0&lt;/uniqueid&gt;&lt;/contact&gt;</v>
      </c>
      <c r="K45" s="5">
        <f t="shared" si="16"/>
        <v>0</v>
      </c>
      <c r="L45" s="5">
        <f t="shared" si="17"/>
        <v>0</v>
      </c>
      <c r="M45" s="5" t="str">
        <f>CONCATENATE(+Contacts!E45)</f>
        <v/>
      </c>
      <c r="N45" t="str">
        <f t="shared" si="18"/>
        <v/>
      </c>
      <c r="O45" s="5">
        <f t="shared" si="19"/>
        <v>0</v>
      </c>
      <c r="P45" s="5">
        <f t="shared" si="20"/>
        <v>0</v>
      </c>
      <c r="Q45" s="5" t="str">
        <f>CONCATENATE(+Contacts!G45)</f>
        <v/>
      </c>
      <c r="R45" t="str">
        <f t="shared" si="21"/>
        <v/>
      </c>
      <c r="S45" s="5">
        <f t="shared" si="22"/>
        <v>0</v>
      </c>
      <c r="T45" s="5">
        <f t="shared" si="23"/>
        <v>0</v>
      </c>
      <c r="U45" s="5" t="str">
        <f>CONCATENATE(+Contacts!H45)</f>
        <v/>
      </c>
      <c r="V45" t="str">
        <f t="shared" si="24"/>
        <v/>
      </c>
      <c r="W45" s="5">
        <f t="shared" si="25"/>
        <v>0</v>
      </c>
      <c r="X45" s="5">
        <f t="shared" si="26"/>
        <v>0</v>
      </c>
      <c r="Y45" s="5" t="str">
        <f>CONCATENATE(+Contacts!F45)</f>
        <v/>
      </c>
      <c r="Z45" s="2" t="str">
        <f t="shared" si="27"/>
        <v xml:space="preserve">Boter, Els   </v>
      </c>
      <c r="AA45" s="2" t="str">
        <f>CONCATENATE(+Contacts!C45)</f>
        <v>Boter</v>
      </c>
      <c r="AB45" s="2" t="str">
        <f t="shared" si="28"/>
        <v xml:space="preserve">, </v>
      </c>
      <c r="AC45" s="2" t="str">
        <f>CONCATENATE(+Contacts!A45)</f>
        <v>Els</v>
      </c>
      <c r="AD45" s="3" t="str">
        <f>CONCATENATE(" ",+Contacts!B45)</f>
        <v xml:space="preserve"> </v>
      </c>
      <c r="AE45" s="2" t="str">
        <f t="shared" si="29"/>
        <v xml:space="preserve"> </v>
      </c>
      <c r="AF45" s="3" t="str">
        <f>CONCATENATE(+Contacts!D45)</f>
        <v/>
      </c>
      <c r="AG45" s="2" t="str">
        <f t="shared" si="30"/>
        <v xml:space="preserve"> </v>
      </c>
      <c r="AH45" t="str">
        <f>CONCATENATE(+Contacts!I45)</f>
        <v/>
      </c>
      <c r="AI45">
        <v>1500000010</v>
      </c>
      <c r="AJ45" s="5">
        <f t="shared" si="31"/>
        <v>0</v>
      </c>
    </row>
    <row r="46" spans="1:36" x14ac:dyDescent="0.35">
      <c r="A46" s="7" t="str">
        <f t="shared" si="6"/>
        <v>&lt;contact&gt;&lt;category&gt;0&lt;/category&gt;&lt;person&gt;&lt;realName&gt;Bout, Anne   &lt;/realName&gt;&lt;/person&gt;</v>
      </c>
      <c r="B46" s="7" t="str">
        <f t="shared" si="7"/>
        <v>&lt;telephony nid="2"&gt;&lt;number id="0" prio="1" type="home"&gt;+31 297522636&lt;/number&gt;&lt;number id="1" prio="0" type="mobile"&gt;+31 6 81 90 50 42&lt;/number&gt;&lt;/telephony&gt;</v>
      </c>
      <c r="C46" s="7" t="str">
        <f t="shared" si="8"/>
        <v>&lt;services nid="1"&gt;&lt;email id="0" classifier="private"&gt;aoburgerbout@hotmail.com&lt;/email&gt;&lt;/services&gt;&lt;setup /&gt;&lt;mod_time&gt;1500000010&lt;/mod_time&gt;&lt;uniqueid&gt;1&lt;/uniqueid&gt;&lt;/contact&gt;</v>
      </c>
      <c r="D46" t="str">
        <f t="shared" si="9"/>
        <v>&lt;contact&gt;&lt;category&gt;0&lt;/category&gt;&lt;person&gt;&lt;realName&gt;Bout, Anne   &lt;/realName&gt;&lt;/person&gt;</v>
      </c>
      <c r="E46" t="str">
        <f t="shared" si="10"/>
        <v>&lt;telephony nid="2"&gt;&lt;number id="0" prio="1" type="home"&gt;+31 297522636&lt;/number&gt;&lt;number id="1" prio="0" type="mobile"&gt;+31 6 81 90 50 42&lt;/number&gt;&lt;/telephony&gt;</v>
      </c>
      <c r="F46" t="str">
        <f t="shared" si="11"/>
        <v>&lt;telephony nid="2"&gt;</v>
      </c>
      <c r="G46" t="str">
        <f t="shared" si="12"/>
        <v/>
      </c>
      <c r="H46" t="str">
        <f t="shared" si="13"/>
        <v>&lt;services nid="1"&gt;&lt;email id="0" classifier="private"&gt;aoburgerbout@hotmail.com&lt;/email&gt;&lt;/services&gt;&lt;setup /&gt;&lt;mod_time&gt;1500000010&lt;/mod_time&gt;&lt;uniqueid&gt;1&lt;/uniqueid&gt;&lt;/contact&gt;</v>
      </c>
      <c r="I46" t="str">
        <f t="shared" si="14"/>
        <v>&lt;services /&gt;&lt;setup /&gt;&lt;mod_time&gt;1500000010&lt;/mod_time&gt;&lt;uniqueid&gt;1&lt;/uniqueid&gt;&lt;/contact&gt;</v>
      </c>
      <c r="J46" t="str">
        <f t="shared" si="15"/>
        <v>&lt;services nid="1"&gt;&lt;email id="0" classifier="private"&gt;aoburgerbout@hotmail.com&lt;/email&gt;&lt;/services&gt;&lt;setup /&gt;&lt;mod_time&gt;1500000010&lt;/mod_time&gt;&lt;uniqueid&gt;1&lt;/uniqueid&gt;&lt;/contact&gt;</v>
      </c>
      <c r="K46" s="5">
        <f t="shared" si="16"/>
        <v>0</v>
      </c>
      <c r="L46" s="5">
        <f t="shared" si="17"/>
        <v>0</v>
      </c>
      <c r="M46" s="5" t="str">
        <f>CONCATENATE(+Contacts!E46)</f>
        <v/>
      </c>
      <c r="N46" t="str">
        <f t="shared" si="18"/>
        <v>&lt;number id="0" prio="1" type="home"&gt;+31 297522636&lt;/number&gt;</v>
      </c>
      <c r="O46" s="5">
        <f t="shared" si="19"/>
        <v>1</v>
      </c>
      <c r="P46" s="5">
        <f t="shared" si="20"/>
        <v>1</v>
      </c>
      <c r="Q46" s="5" t="str">
        <f>CONCATENATE(+Contacts!G46)</f>
        <v>+31 297522636</v>
      </c>
      <c r="R46" t="str">
        <f t="shared" si="21"/>
        <v>&lt;number id="1" prio="0" type="mobile"&gt;+31 6 81 90 50 42&lt;/number&gt;</v>
      </c>
      <c r="S46" s="5">
        <f t="shared" si="22"/>
        <v>2</v>
      </c>
      <c r="T46" s="5">
        <f t="shared" si="23"/>
        <v>0</v>
      </c>
      <c r="U46" s="5" t="str">
        <f>CONCATENATE(+Contacts!H46)</f>
        <v>+31 6 81 90 50 42</v>
      </c>
      <c r="V46" t="str">
        <f t="shared" si="24"/>
        <v/>
      </c>
      <c r="W46" s="5">
        <f t="shared" si="25"/>
        <v>2</v>
      </c>
      <c r="X46" s="5">
        <f t="shared" si="26"/>
        <v>0</v>
      </c>
      <c r="Y46" s="5" t="str">
        <f>CONCATENATE(+Contacts!F46)</f>
        <v/>
      </c>
      <c r="Z46" s="2" t="str">
        <f t="shared" si="27"/>
        <v xml:space="preserve">Bout, Anne   </v>
      </c>
      <c r="AA46" s="2" t="str">
        <f>CONCATENATE(+Contacts!C46)</f>
        <v>Bout</v>
      </c>
      <c r="AB46" s="2" t="str">
        <f t="shared" si="28"/>
        <v xml:space="preserve">, </v>
      </c>
      <c r="AC46" s="2" t="str">
        <f>CONCATENATE(+Contacts!A46)</f>
        <v>Anne</v>
      </c>
      <c r="AD46" s="3" t="str">
        <f>CONCATENATE(" ",+Contacts!B46)</f>
        <v xml:space="preserve"> </v>
      </c>
      <c r="AE46" s="2" t="str">
        <f t="shared" si="29"/>
        <v xml:space="preserve"> </v>
      </c>
      <c r="AF46" s="3" t="str">
        <f>CONCATENATE(+Contacts!D46)</f>
        <v/>
      </c>
      <c r="AG46" s="2" t="str">
        <f t="shared" si="30"/>
        <v xml:space="preserve"> </v>
      </c>
      <c r="AH46" t="str">
        <f>CONCATENATE(+Contacts!I46)</f>
        <v>aoburgerbout@hotmail.com</v>
      </c>
      <c r="AI46">
        <v>1500000010</v>
      </c>
      <c r="AJ46" s="5">
        <f t="shared" si="31"/>
        <v>1</v>
      </c>
    </row>
    <row r="47" spans="1:36" x14ac:dyDescent="0.35">
      <c r="A47" s="7" t="str">
        <f t="shared" si="6"/>
        <v>&lt;contact&gt;&lt;category&gt;0&lt;/category&gt;&lt;person&gt;&lt;realName&gt;Bouwman, Arjan   &lt;/realName&gt;&lt;/person&gt;</v>
      </c>
      <c r="B47" s="7" t="str">
        <f t="shared" si="7"/>
        <v>&lt;telephony nid="1"&gt;&lt;number id="0" prio="1" type="mobile"&gt;+31 643 208121&lt;/number&gt;&lt;/telephony&gt;</v>
      </c>
      <c r="C47" s="7" t="str">
        <f t="shared" si="8"/>
        <v>&lt;services nid="1"&gt;&lt;email id="0" classifier="private"&gt;arjanbouwman@hotmail.com&lt;/email&gt;&lt;/services&gt;&lt;setup /&gt;&lt;mod_time&gt;1500000010&lt;/mod_time&gt;&lt;uniqueid&gt;1&lt;/uniqueid&gt;&lt;/contact&gt;</v>
      </c>
      <c r="D47" t="str">
        <f t="shared" si="9"/>
        <v>&lt;contact&gt;&lt;category&gt;0&lt;/category&gt;&lt;person&gt;&lt;realName&gt;Bouwman, Arjan   &lt;/realName&gt;&lt;/person&gt;</v>
      </c>
      <c r="E47" t="str">
        <f t="shared" si="10"/>
        <v>&lt;telephony nid="1"&gt;&lt;number id="0" prio="1" type="mobile"&gt;+31 643 208121&lt;/number&gt;&lt;/telephony&gt;</v>
      </c>
      <c r="F47" t="str">
        <f t="shared" si="11"/>
        <v>&lt;telephony nid="1"&gt;</v>
      </c>
      <c r="G47" t="str">
        <f t="shared" si="12"/>
        <v/>
      </c>
      <c r="H47" t="str">
        <f t="shared" si="13"/>
        <v>&lt;services nid="1"&gt;&lt;email id="0" classifier="private"&gt;arjanbouwman@hotmail.com&lt;/email&gt;&lt;/services&gt;&lt;setup /&gt;&lt;mod_time&gt;1500000010&lt;/mod_time&gt;&lt;uniqueid&gt;1&lt;/uniqueid&gt;&lt;/contact&gt;</v>
      </c>
      <c r="I47" t="str">
        <f t="shared" si="14"/>
        <v>&lt;services /&gt;&lt;setup /&gt;&lt;mod_time&gt;1500000010&lt;/mod_time&gt;&lt;uniqueid&gt;1&lt;/uniqueid&gt;&lt;/contact&gt;</v>
      </c>
      <c r="J47" t="str">
        <f t="shared" si="15"/>
        <v>&lt;services nid="1"&gt;&lt;email id="0" classifier="private"&gt;arjanbouwman@hotmail.com&lt;/email&gt;&lt;/services&gt;&lt;setup /&gt;&lt;mod_time&gt;1500000010&lt;/mod_time&gt;&lt;uniqueid&gt;1&lt;/uniqueid&gt;&lt;/contact&gt;</v>
      </c>
      <c r="K47" s="5">
        <f t="shared" si="16"/>
        <v>0</v>
      </c>
      <c r="L47" s="5">
        <f t="shared" si="17"/>
        <v>0</v>
      </c>
      <c r="M47" s="5" t="str">
        <f>CONCATENATE(+Contacts!E47)</f>
        <v/>
      </c>
      <c r="N47" t="str">
        <f t="shared" si="18"/>
        <v/>
      </c>
      <c r="O47" s="5">
        <f t="shared" si="19"/>
        <v>0</v>
      </c>
      <c r="P47" s="5">
        <f t="shared" si="20"/>
        <v>0</v>
      </c>
      <c r="Q47" s="5" t="str">
        <f>CONCATENATE(+Contacts!G47)</f>
        <v/>
      </c>
      <c r="R47" t="str">
        <f t="shared" si="21"/>
        <v>&lt;number id="0" prio="1" type="mobile"&gt;+31 643 208121&lt;/number&gt;</v>
      </c>
      <c r="S47" s="5">
        <f t="shared" si="22"/>
        <v>1</v>
      </c>
      <c r="T47" s="5">
        <f t="shared" si="23"/>
        <v>1</v>
      </c>
      <c r="U47" s="5" t="str">
        <f>CONCATENATE(+Contacts!H47)</f>
        <v>+31 643 208121</v>
      </c>
      <c r="V47" t="str">
        <f t="shared" si="24"/>
        <v/>
      </c>
      <c r="W47" s="5">
        <f t="shared" si="25"/>
        <v>1</v>
      </c>
      <c r="X47" s="5">
        <f t="shared" si="26"/>
        <v>1</v>
      </c>
      <c r="Y47" s="5" t="str">
        <f>CONCATENATE(+Contacts!F47)</f>
        <v/>
      </c>
      <c r="Z47" s="2" t="str">
        <f t="shared" si="27"/>
        <v xml:space="preserve">Bouwman, Arjan   </v>
      </c>
      <c r="AA47" s="2" t="str">
        <f>CONCATENATE(+Contacts!C47)</f>
        <v>Bouwman</v>
      </c>
      <c r="AB47" s="2" t="str">
        <f t="shared" si="28"/>
        <v xml:space="preserve">, </v>
      </c>
      <c r="AC47" s="2" t="str">
        <f>CONCATENATE(+Contacts!A47)</f>
        <v>Arjan</v>
      </c>
      <c r="AD47" s="3" t="str">
        <f>CONCATENATE(" ",+Contacts!B47)</f>
        <v xml:space="preserve"> </v>
      </c>
      <c r="AE47" s="2" t="str">
        <f t="shared" si="29"/>
        <v xml:space="preserve"> </v>
      </c>
      <c r="AF47" s="3" t="str">
        <f>CONCATENATE(+Contacts!D47)</f>
        <v/>
      </c>
      <c r="AG47" s="2" t="str">
        <f t="shared" si="30"/>
        <v xml:space="preserve"> </v>
      </c>
      <c r="AH47" t="str">
        <f>CONCATENATE(+Contacts!I47)</f>
        <v>arjanbouwman@hotmail.com</v>
      </c>
      <c r="AI47">
        <v>1500000010</v>
      </c>
      <c r="AJ47" s="5">
        <f t="shared" si="31"/>
        <v>1</v>
      </c>
    </row>
    <row r="48" spans="1:36" x14ac:dyDescent="0.35">
      <c r="A48" s="7" t="str">
        <f t="shared" si="6"/>
        <v>&lt;contact&gt;&lt;category&gt;0&lt;/category&gt;&lt;person&gt;&lt;realName&gt;Braat, Rogier (Star-shl)&lt;/realName&gt;&lt;/person&gt;</v>
      </c>
      <c r="B48" s="7" t="str">
        <f t="shared" si="7"/>
        <v>&lt;telephony nid="2"&gt;&lt;number id="0" prio="1" type="mobile"&gt;+31 6 34 92 22 85&lt;/number&gt;&lt;number id="1" prio="0" type="work"&gt;+31 765029100&lt;/number&gt;&lt;/telephony&gt;</v>
      </c>
      <c r="C48" s="7" t="str">
        <f t="shared" si="8"/>
        <v>&lt;services nid="1"&gt;&lt;email id="0" classifier="private"&gt;r.braat@star-shl.nl&lt;/email&gt;&lt;/services&gt;&lt;setup /&gt;&lt;mod_time&gt;1500000010&lt;/mod_time&gt;&lt;uniqueid&gt;1&lt;/uniqueid&gt;&lt;/contact&gt;</v>
      </c>
      <c r="D48" t="str">
        <f t="shared" si="9"/>
        <v>&lt;contact&gt;&lt;category&gt;0&lt;/category&gt;&lt;person&gt;&lt;realName&gt;Braat, Rogier (Star-shl)&lt;/realName&gt;&lt;/person&gt;</v>
      </c>
      <c r="E48" t="str">
        <f t="shared" si="10"/>
        <v>&lt;telephony nid="2"&gt;&lt;number id="0" prio="1" type="mobile"&gt;+31 6 34 92 22 85&lt;/number&gt;&lt;number id="1" prio="0" type="work"&gt;+31 765029100&lt;/number&gt;&lt;/telephony&gt;</v>
      </c>
      <c r="F48" t="str">
        <f t="shared" si="11"/>
        <v>&lt;telephony nid="2"&gt;</v>
      </c>
      <c r="G48" t="str">
        <f t="shared" si="12"/>
        <v/>
      </c>
      <c r="H48" t="str">
        <f t="shared" si="13"/>
        <v>&lt;services nid="1"&gt;&lt;email id="0" classifier="private"&gt;r.braat@star-shl.nl&lt;/email&gt;&lt;/services&gt;&lt;setup /&gt;&lt;mod_time&gt;1500000010&lt;/mod_time&gt;&lt;uniqueid&gt;1&lt;/uniqueid&gt;&lt;/contact&gt;</v>
      </c>
      <c r="I48" t="str">
        <f t="shared" si="14"/>
        <v>&lt;services /&gt;&lt;setup /&gt;&lt;mod_time&gt;1500000010&lt;/mod_time&gt;&lt;uniqueid&gt;1&lt;/uniqueid&gt;&lt;/contact&gt;</v>
      </c>
      <c r="J48" t="str">
        <f t="shared" si="15"/>
        <v>&lt;services nid="1"&gt;&lt;email id="0" classifier="private"&gt;r.braat@star-shl.nl&lt;/email&gt;&lt;/services&gt;&lt;setup /&gt;&lt;mod_time&gt;1500000010&lt;/mod_time&gt;&lt;uniqueid&gt;1&lt;/uniqueid&gt;&lt;/contact&gt;</v>
      </c>
      <c r="K48" s="5">
        <f t="shared" si="16"/>
        <v>0</v>
      </c>
      <c r="L48" s="5">
        <f t="shared" si="17"/>
        <v>0</v>
      </c>
      <c r="M48" s="5" t="str">
        <f>CONCATENATE(+Contacts!E48)</f>
        <v/>
      </c>
      <c r="N48" t="str">
        <f t="shared" si="18"/>
        <v/>
      </c>
      <c r="O48" s="5">
        <f t="shared" si="19"/>
        <v>0</v>
      </c>
      <c r="P48" s="5">
        <f t="shared" si="20"/>
        <v>0</v>
      </c>
      <c r="Q48" s="5" t="str">
        <f>CONCATENATE(+Contacts!G48)</f>
        <v/>
      </c>
      <c r="R48" t="str">
        <f t="shared" si="21"/>
        <v>&lt;number id="0" prio="1" type="mobile"&gt;+31 6 34 92 22 85&lt;/number&gt;</v>
      </c>
      <c r="S48" s="5">
        <f t="shared" si="22"/>
        <v>1</v>
      </c>
      <c r="T48" s="5">
        <f t="shared" si="23"/>
        <v>1</v>
      </c>
      <c r="U48" s="5" t="str">
        <f>CONCATENATE(+Contacts!H48)</f>
        <v>+31 6 34 92 22 85</v>
      </c>
      <c r="V48" t="str">
        <f t="shared" si="24"/>
        <v>&lt;number id="1" prio="0" type="work"&gt;+31 765029100&lt;/number&gt;</v>
      </c>
      <c r="W48" s="5">
        <f t="shared" si="25"/>
        <v>2</v>
      </c>
      <c r="X48" s="5">
        <f t="shared" si="26"/>
        <v>0</v>
      </c>
      <c r="Y48" s="5" t="str">
        <f>CONCATENATE(+Contacts!F48)</f>
        <v>+31 765029100</v>
      </c>
      <c r="Z48" s="2" t="str">
        <f t="shared" si="27"/>
        <v>Braat, Rogier (Star-shl)</v>
      </c>
      <c r="AA48" s="2" t="str">
        <f>CONCATENATE(+Contacts!C48)</f>
        <v>Braat</v>
      </c>
      <c r="AB48" s="2" t="str">
        <f t="shared" si="28"/>
        <v xml:space="preserve">, </v>
      </c>
      <c r="AC48" s="2" t="str">
        <f>CONCATENATE(+Contacts!A48)</f>
        <v>Rogier</v>
      </c>
      <c r="AD48" s="3" t="str">
        <f>CONCATENATE(" ",+Contacts!B48)</f>
        <v xml:space="preserve"> </v>
      </c>
      <c r="AE48" s="2" t="str">
        <f t="shared" si="29"/>
        <v>(</v>
      </c>
      <c r="AF48" s="3" t="str">
        <f>CONCATENATE(+Contacts!D48)</f>
        <v>Star-shl</v>
      </c>
      <c r="AG48" s="2" t="str">
        <f t="shared" si="30"/>
        <v>)</v>
      </c>
      <c r="AH48" t="str">
        <f>CONCATENATE(+Contacts!I48)</f>
        <v>r.braat@star-shl.nl</v>
      </c>
      <c r="AI48">
        <v>1500000010</v>
      </c>
      <c r="AJ48" s="5">
        <f t="shared" si="31"/>
        <v>1</v>
      </c>
    </row>
    <row r="49" spans="1:36" x14ac:dyDescent="0.35">
      <c r="A49" s="7" t="str">
        <f t="shared" si="6"/>
        <v>&lt;contact&gt;&lt;category&gt;0&lt;/category&gt;&lt;person&gt;&lt;realName&gt;Brandwijk, Marcel van  &lt;/realName&gt;&lt;/person&gt;</v>
      </c>
      <c r="B49" s="7" t="str">
        <f t="shared" si="7"/>
        <v>&lt;telephony nid="1"&gt;&lt;number id="0" prio="1" type="home"&gt;+31 105113231&lt;/number&gt;&lt;/telephony&gt;</v>
      </c>
      <c r="C49" s="7" t="str">
        <f t="shared" si="8"/>
        <v>&lt;services nid="1"&gt;&lt;email id="0" classifier="private"&gt;mvbrandwijk@melanchthon.nl&lt;/email&gt;&lt;/services&gt;&lt;setup /&gt;&lt;mod_time&gt;1500000010&lt;/mod_time&gt;&lt;uniqueid&gt;1&lt;/uniqueid&gt;&lt;/contact&gt;</v>
      </c>
      <c r="D49" t="str">
        <f t="shared" si="9"/>
        <v>&lt;contact&gt;&lt;category&gt;0&lt;/category&gt;&lt;person&gt;&lt;realName&gt;Brandwijk, Marcel van  &lt;/realName&gt;&lt;/person&gt;</v>
      </c>
      <c r="E49" t="str">
        <f t="shared" si="10"/>
        <v>&lt;telephony nid="1"&gt;&lt;number id="0" prio="1" type="home"&gt;+31 105113231&lt;/number&gt;&lt;/telephony&gt;</v>
      </c>
      <c r="F49" t="str">
        <f t="shared" si="11"/>
        <v>&lt;telephony nid="1"&gt;</v>
      </c>
      <c r="G49" t="str">
        <f t="shared" si="12"/>
        <v/>
      </c>
      <c r="H49" t="str">
        <f t="shared" si="13"/>
        <v>&lt;services nid="1"&gt;&lt;email id="0" classifier="private"&gt;mvbrandwijk@melanchthon.nl&lt;/email&gt;&lt;/services&gt;&lt;setup /&gt;&lt;mod_time&gt;1500000010&lt;/mod_time&gt;&lt;uniqueid&gt;1&lt;/uniqueid&gt;&lt;/contact&gt;</v>
      </c>
      <c r="I49" t="str">
        <f t="shared" si="14"/>
        <v>&lt;services /&gt;&lt;setup /&gt;&lt;mod_time&gt;1500000010&lt;/mod_time&gt;&lt;uniqueid&gt;1&lt;/uniqueid&gt;&lt;/contact&gt;</v>
      </c>
      <c r="J49" t="str">
        <f t="shared" si="15"/>
        <v>&lt;services nid="1"&gt;&lt;email id="0" classifier="private"&gt;mvbrandwijk@melanchthon.nl&lt;/email&gt;&lt;/services&gt;&lt;setup /&gt;&lt;mod_time&gt;1500000010&lt;/mod_time&gt;&lt;uniqueid&gt;1&lt;/uniqueid&gt;&lt;/contact&gt;</v>
      </c>
      <c r="K49" s="5">
        <f t="shared" si="16"/>
        <v>0</v>
      </c>
      <c r="L49" s="5">
        <f t="shared" si="17"/>
        <v>0</v>
      </c>
      <c r="M49" s="5" t="str">
        <f>CONCATENATE(+Contacts!E49)</f>
        <v/>
      </c>
      <c r="N49" t="str">
        <f t="shared" si="18"/>
        <v>&lt;number id="0" prio="1" type="home"&gt;+31 105113231&lt;/number&gt;</v>
      </c>
      <c r="O49" s="5">
        <f t="shared" si="19"/>
        <v>1</v>
      </c>
      <c r="P49" s="5">
        <f t="shared" si="20"/>
        <v>1</v>
      </c>
      <c r="Q49" s="5" t="str">
        <f>CONCATENATE(+Contacts!G49)</f>
        <v>+31 105113231</v>
      </c>
      <c r="R49" t="str">
        <f t="shared" si="21"/>
        <v/>
      </c>
      <c r="S49" s="5">
        <f t="shared" si="22"/>
        <v>1</v>
      </c>
      <c r="T49" s="5">
        <f t="shared" si="23"/>
        <v>1</v>
      </c>
      <c r="U49" s="5" t="str">
        <f>CONCATENATE(+Contacts!H49)</f>
        <v/>
      </c>
      <c r="V49" t="str">
        <f t="shared" si="24"/>
        <v/>
      </c>
      <c r="W49" s="5">
        <f t="shared" si="25"/>
        <v>1</v>
      </c>
      <c r="X49" s="5">
        <f t="shared" si="26"/>
        <v>1</v>
      </c>
      <c r="Y49" s="5" t="str">
        <f>CONCATENATE(+Contacts!F49)</f>
        <v/>
      </c>
      <c r="Z49" s="2" t="str">
        <f t="shared" si="27"/>
        <v xml:space="preserve">Brandwijk, Marcel van  </v>
      </c>
      <c r="AA49" s="2" t="str">
        <f>CONCATENATE(+Contacts!C49)</f>
        <v>Brandwijk</v>
      </c>
      <c r="AB49" s="2" t="str">
        <f t="shared" si="28"/>
        <v xml:space="preserve">, </v>
      </c>
      <c r="AC49" s="2" t="str">
        <f>CONCATENATE(+Contacts!A49)</f>
        <v>Marcel</v>
      </c>
      <c r="AD49" s="3" t="str">
        <f>CONCATENATE(" ",+Contacts!B49)</f>
        <v xml:space="preserve"> van</v>
      </c>
      <c r="AE49" s="2" t="str">
        <f t="shared" si="29"/>
        <v xml:space="preserve"> </v>
      </c>
      <c r="AF49" s="3" t="str">
        <f>CONCATENATE(+Contacts!D49)</f>
        <v/>
      </c>
      <c r="AG49" s="2" t="str">
        <f t="shared" si="30"/>
        <v xml:space="preserve"> </v>
      </c>
      <c r="AH49" t="str">
        <f>CONCATENATE(+Contacts!I49)</f>
        <v>mvbrandwijk@melanchthon.nl</v>
      </c>
      <c r="AI49">
        <v>1500000010</v>
      </c>
      <c r="AJ49" s="5">
        <f t="shared" si="31"/>
        <v>1</v>
      </c>
    </row>
    <row r="50" spans="1:36" x14ac:dyDescent="0.35">
      <c r="A50" s="7" t="str">
        <f t="shared" si="6"/>
        <v>&lt;contact&gt;&lt;category&gt;0&lt;/category&gt;&lt;person&gt;&lt;realName&gt;Brasserie Pierre  (Restaurant)&lt;/realName&gt;&lt;/person&gt;</v>
      </c>
      <c r="B50" s="7" t="str">
        <f t="shared" si="7"/>
        <v>&lt;telephony nid="1"&gt;&lt;number id="0" prio="1" type="work"&gt;+31 108423757&lt;/number&gt;&lt;/telephony&gt;</v>
      </c>
      <c r="C50" s="7" t="str">
        <f t="shared" si="8"/>
        <v>&lt;services /&gt;&lt;setup /&gt;&lt;mod_time&gt;1500000010&lt;/mod_time&gt;&lt;uniqueid&gt;1&lt;/uniqueid&gt;&lt;/contact&gt;</v>
      </c>
      <c r="D50" t="str">
        <f t="shared" si="9"/>
        <v>&lt;contact&gt;&lt;category&gt;0&lt;/category&gt;&lt;person&gt;&lt;realName&gt;Brasserie Pierre  (Restaurant)&lt;/realName&gt;&lt;/person&gt;</v>
      </c>
      <c r="E50" t="str">
        <f t="shared" si="10"/>
        <v>&lt;telephony nid="1"&gt;&lt;number id="0" prio="1" type="work"&gt;+31 108423757&lt;/number&gt;&lt;/telephony&gt;</v>
      </c>
      <c r="F50" t="str">
        <f t="shared" si="11"/>
        <v>&lt;telephony nid="1"&gt;</v>
      </c>
      <c r="G50" t="str">
        <f t="shared" si="12"/>
        <v>&lt;number id="0" prio="1" type="work"&gt;+31 108423757&lt;/number&gt;</v>
      </c>
      <c r="H50" t="str">
        <f t="shared" si="13"/>
        <v>&lt;services nid="1"&gt;&lt;email id="0" classifier="private"&gt;&lt;/email&gt;&lt;/services&gt;&lt;setup /&gt;&lt;mod_time&gt;1500000010&lt;/mod_time&gt;&lt;uniqueid&gt;1&lt;/uniqueid&gt;&lt;/contact&gt;</v>
      </c>
      <c r="I50" t="str">
        <f t="shared" si="14"/>
        <v>&lt;services /&gt;&lt;setup /&gt;&lt;mod_time&gt;1500000010&lt;/mod_time&gt;&lt;uniqueid&gt;1&lt;/uniqueid&gt;&lt;/contact&gt;</v>
      </c>
      <c r="J50" t="str">
        <f t="shared" si="15"/>
        <v>&lt;services /&gt;&lt;setup /&gt;&lt;mod_time&gt;1500000010&lt;/mod_time&gt;&lt;uniqueid&gt;1&lt;/uniqueid&gt;&lt;/contact&gt;</v>
      </c>
      <c r="K50" s="5">
        <f t="shared" si="16"/>
        <v>1</v>
      </c>
      <c r="L50" s="5">
        <f t="shared" si="17"/>
        <v>1</v>
      </c>
      <c r="M50" s="5" t="str">
        <f>CONCATENATE(+Contacts!E50)</f>
        <v>+31 108423757</v>
      </c>
      <c r="N50" t="str">
        <f t="shared" si="18"/>
        <v/>
      </c>
      <c r="O50" s="5">
        <f t="shared" si="19"/>
        <v>1</v>
      </c>
      <c r="P50" s="5">
        <f t="shared" si="20"/>
        <v>1</v>
      </c>
      <c r="Q50" s="5" t="str">
        <f>CONCATENATE(+Contacts!G50)</f>
        <v/>
      </c>
      <c r="R50" t="str">
        <f t="shared" si="21"/>
        <v/>
      </c>
      <c r="S50" s="5">
        <f t="shared" si="22"/>
        <v>1</v>
      </c>
      <c r="T50" s="5">
        <f t="shared" si="23"/>
        <v>1</v>
      </c>
      <c r="U50" s="5" t="str">
        <f>CONCATENATE(+Contacts!H50)</f>
        <v/>
      </c>
      <c r="V50" t="str">
        <f t="shared" si="24"/>
        <v/>
      </c>
      <c r="W50" s="5">
        <f t="shared" si="25"/>
        <v>1</v>
      </c>
      <c r="X50" s="5">
        <f t="shared" si="26"/>
        <v>1</v>
      </c>
      <c r="Y50" s="5" t="str">
        <f>CONCATENATE(+Contacts!F50)</f>
        <v/>
      </c>
      <c r="Z50" s="2" t="str">
        <f t="shared" si="27"/>
        <v>Brasserie Pierre  (Restaurant)</v>
      </c>
      <c r="AA50" s="2" t="str">
        <f>CONCATENATE(+Contacts!C50)</f>
        <v>Brasserie Pierre</v>
      </c>
      <c r="AB50" s="2" t="str">
        <f t="shared" si="28"/>
        <v xml:space="preserve"> </v>
      </c>
      <c r="AC50" s="2" t="str">
        <f>CONCATENATE(+Contacts!A50)</f>
        <v/>
      </c>
      <c r="AD50" s="3" t="str">
        <f>CONCATENATE(" ",+Contacts!B50)</f>
        <v xml:space="preserve"> </v>
      </c>
      <c r="AE50" s="2" t="str">
        <f t="shared" si="29"/>
        <v>(</v>
      </c>
      <c r="AF50" s="3" t="str">
        <f>CONCATENATE(+Contacts!D50)</f>
        <v>Restaurant</v>
      </c>
      <c r="AG50" s="2" t="str">
        <f t="shared" si="30"/>
        <v>)</v>
      </c>
      <c r="AH50" t="str">
        <f>CONCATENATE(+Contacts!I50)</f>
        <v/>
      </c>
      <c r="AI50">
        <v>1500000010</v>
      </c>
      <c r="AJ50" s="5">
        <f t="shared" si="31"/>
        <v>1</v>
      </c>
    </row>
    <row r="51" spans="1:36" x14ac:dyDescent="0.35">
      <c r="A51" s="7" t="str">
        <f t="shared" si="6"/>
        <v/>
      </c>
      <c r="B51" s="7" t="str">
        <f t="shared" si="7"/>
        <v/>
      </c>
      <c r="C51" s="7" t="str">
        <f t="shared" si="8"/>
        <v/>
      </c>
      <c r="D51" t="str">
        <f t="shared" si="9"/>
        <v>&lt;contact&gt;&lt;category&gt;0&lt;/category&gt;&lt;person&gt;&lt;realName&gt;Breugem, Caroline   &lt;/realName&gt;&lt;/person&gt;</v>
      </c>
      <c r="E51" t="str">
        <f t="shared" si="10"/>
        <v>&lt;telephony nid="0"&gt;&lt;/telephony&gt;</v>
      </c>
      <c r="F51" t="str">
        <f t="shared" si="11"/>
        <v>&lt;telephony nid="0"&gt;</v>
      </c>
      <c r="G51" t="str">
        <f t="shared" si="12"/>
        <v/>
      </c>
      <c r="H51" t="str">
        <f t="shared" si="13"/>
        <v>&lt;services nid="1"&gt;&lt;email id="0" classifier="private"&gt;Carolinebreugem@hotmail.com&lt;/email&gt;&lt;/services&gt;&lt;setup /&gt;&lt;mod_time&gt;1500000010&lt;/mod_time&gt;&lt;uniqueid&gt;0&lt;/uniqueid&gt;&lt;/contact&gt;</v>
      </c>
      <c r="I51" t="str">
        <f t="shared" si="14"/>
        <v>&lt;services /&gt;&lt;setup /&gt;&lt;mod_time&gt;1500000010&lt;/mod_time&gt;&lt;uniqueid&gt;0&lt;/uniqueid&gt;&lt;/contact&gt;</v>
      </c>
      <c r="J51" t="str">
        <f t="shared" si="15"/>
        <v>&lt;services nid="1"&gt;&lt;email id="0" classifier="private"&gt;Carolinebreugem@hotmail.com&lt;/email&gt;&lt;/services&gt;&lt;setup /&gt;&lt;mod_time&gt;1500000010&lt;/mod_time&gt;&lt;uniqueid&gt;0&lt;/uniqueid&gt;&lt;/contact&gt;</v>
      </c>
      <c r="K51" s="5">
        <f t="shared" si="16"/>
        <v>0</v>
      </c>
      <c r="L51" s="5">
        <f t="shared" si="17"/>
        <v>0</v>
      </c>
      <c r="M51" s="5" t="str">
        <f>CONCATENATE(+Contacts!E51)</f>
        <v/>
      </c>
      <c r="N51" t="str">
        <f t="shared" si="18"/>
        <v/>
      </c>
      <c r="O51" s="5">
        <f t="shared" si="19"/>
        <v>0</v>
      </c>
      <c r="P51" s="5">
        <f t="shared" si="20"/>
        <v>0</v>
      </c>
      <c r="Q51" s="5" t="str">
        <f>CONCATENATE(+Contacts!G51)</f>
        <v/>
      </c>
      <c r="R51" t="str">
        <f t="shared" si="21"/>
        <v/>
      </c>
      <c r="S51" s="5">
        <f t="shared" si="22"/>
        <v>0</v>
      </c>
      <c r="T51" s="5">
        <f t="shared" si="23"/>
        <v>0</v>
      </c>
      <c r="U51" s="5" t="str">
        <f>CONCATENATE(+Contacts!H51)</f>
        <v/>
      </c>
      <c r="V51" t="str">
        <f t="shared" si="24"/>
        <v/>
      </c>
      <c r="W51" s="5">
        <f t="shared" si="25"/>
        <v>0</v>
      </c>
      <c r="X51" s="5">
        <f t="shared" si="26"/>
        <v>0</v>
      </c>
      <c r="Y51" s="5" t="str">
        <f>CONCATENATE(+Contacts!F51)</f>
        <v/>
      </c>
      <c r="Z51" s="2" t="str">
        <f t="shared" si="27"/>
        <v xml:space="preserve">Breugem, Caroline   </v>
      </c>
      <c r="AA51" s="2" t="str">
        <f>CONCATENATE(+Contacts!C51)</f>
        <v>Breugem</v>
      </c>
      <c r="AB51" s="2" t="str">
        <f t="shared" si="28"/>
        <v xml:space="preserve">, </v>
      </c>
      <c r="AC51" s="2" t="str">
        <f>CONCATENATE(+Contacts!A51)</f>
        <v>Caroline</v>
      </c>
      <c r="AD51" s="3" t="str">
        <f>CONCATENATE(" ",+Contacts!B51)</f>
        <v xml:space="preserve"> </v>
      </c>
      <c r="AE51" s="2" t="str">
        <f t="shared" si="29"/>
        <v xml:space="preserve"> </v>
      </c>
      <c r="AF51" s="3" t="str">
        <f>CONCATENATE(+Contacts!D51)</f>
        <v/>
      </c>
      <c r="AG51" s="2" t="str">
        <f t="shared" si="30"/>
        <v xml:space="preserve"> </v>
      </c>
      <c r="AH51" t="str">
        <f>CONCATENATE(+Contacts!I51)</f>
        <v>Carolinebreugem@hotmail.com</v>
      </c>
      <c r="AI51">
        <v>1500000010</v>
      </c>
      <c r="AJ51" s="5">
        <f t="shared" si="31"/>
        <v>0</v>
      </c>
    </row>
    <row r="52" spans="1:36" x14ac:dyDescent="0.35">
      <c r="A52" s="7" t="str">
        <f t="shared" si="6"/>
        <v>&lt;contact&gt;&lt;category&gt;0&lt;/category&gt;&lt;person&gt;&lt;realName&gt;Briels, Twan   &lt;/realName&gt;&lt;/person&gt;</v>
      </c>
      <c r="B52" s="7" t="str">
        <f t="shared" si="7"/>
        <v>&lt;telephony nid="1"&gt;&lt;number id="0" prio="1" type="mobile"&gt;31627322520&lt;/number&gt;&lt;/telephony&gt;</v>
      </c>
      <c r="C52" s="7" t="str">
        <f t="shared" si="8"/>
        <v>&lt;services /&gt;&lt;setup /&gt;&lt;mod_time&gt;1500000010&lt;/mod_time&gt;&lt;uniqueid&gt;1&lt;/uniqueid&gt;&lt;/contact&gt;</v>
      </c>
      <c r="D52" t="str">
        <f t="shared" si="9"/>
        <v>&lt;contact&gt;&lt;category&gt;0&lt;/category&gt;&lt;person&gt;&lt;realName&gt;Briels, Twan   &lt;/realName&gt;&lt;/person&gt;</v>
      </c>
      <c r="E52" t="str">
        <f t="shared" si="10"/>
        <v>&lt;telephony nid="1"&gt;&lt;number id="0" prio="1" type="mobile"&gt;31627322520&lt;/number&gt;&lt;/telephony&gt;</v>
      </c>
      <c r="F52" t="str">
        <f t="shared" si="11"/>
        <v>&lt;telephony nid="1"&gt;</v>
      </c>
      <c r="G52" t="str">
        <f t="shared" si="12"/>
        <v/>
      </c>
      <c r="H52" t="str">
        <f t="shared" si="13"/>
        <v>&lt;services nid="1"&gt;&lt;email id="0" classifier="private"&gt;&lt;/email&gt;&lt;/services&gt;&lt;setup /&gt;&lt;mod_time&gt;1500000010&lt;/mod_time&gt;&lt;uniqueid&gt;1&lt;/uniqueid&gt;&lt;/contact&gt;</v>
      </c>
      <c r="I52" t="str">
        <f t="shared" si="14"/>
        <v>&lt;services /&gt;&lt;setup /&gt;&lt;mod_time&gt;1500000010&lt;/mod_time&gt;&lt;uniqueid&gt;1&lt;/uniqueid&gt;&lt;/contact&gt;</v>
      </c>
      <c r="J52" t="str">
        <f t="shared" si="15"/>
        <v>&lt;services /&gt;&lt;setup /&gt;&lt;mod_time&gt;1500000010&lt;/mod_time&gt;&lt;uniqueid&gt;1&lt;/uniqueid&gt;&lt;/contact&gt;</v>
      </c>
      <c r="K52" s="5">
        <f t="shared" si="16"/>
        <v>0</v>
      </c>
      <c r="L52" s="5">
        <f t="shared" si="17"/>
        <v>0</v>
      </c>
      <c r="M52" s="5" t="str">
        <f>CONCATENATE(+Contacts!E52)</f>
        <v/>
      </c>
      <c r="N52" t="str">
        <f t="shared" si="18"/>
        <v/>
      </c>
      <c r="O52" s="5">
        <f t="shared" si="19"/>
        <v>0</v>
      </c>
      <c r="P52" s="5">
        <f t="shared" si="20"/>
        <v>0</v>
      </c>
      <c r="Q52" s="5" t="str">
        <f>CONCATENATE(+Contacts!G52)</f>
        <v/>
      </c>
      <c r="R52" t="str">
        <f t="shared" si="21"/>
        <v>&lt;number id="0" prio="1" type="mobile"&gt;31627322520&lt;/number&gt;</v>
      </c>
      <c r="S52" s="5">
        <f t="shared" si="22"/>
        <v>1</v>
      </c>
      <c r="T52" s="5">
        <f t="shared" si="23"/>
        <v>1</v>
      </c>
      <c r="U52" s="5" t="str">
        <f>CONCATENATE(+Contacts!H52)</f>
        <v>31627322520</v>
      </c>
      <c r="V52" t="str">
        <f t="shared" si="24"/>
        <v/>
      </c>
      <c r="W52" s="5">
        <f t="shared" si="25"/>
        <v>1</v>
      </c>
      <c r="X52" s="5">
        <f t="shared" si="26"/>
        <v>1</v>
      </c>
      <c r="Y52" s="5" t="str">
        <f>CONCATENATE(+Contacts!F52)</f>
        <v/>
      </c>
      <c r="Z52" s="2" t="str">
        <f t="shared" si="27"/>
        <v xml:space="preserve">Briels, Twan   </v>
      </c>
      <c r="AA52" s="2" t="str">
        <f>CONCATENATE(+Contacts!C52)</f>
        <v>Briels</v>
      </c>
      <c r="AB52" s="2" t="str">
        <f t="shared" si="28"/>
        <v xml:space="preserve">, </v>
      </c>
      <c r="AC52" s="2" t="str">
        <f>CONCATENATE(+Contacts!A52)</f>
        <v>Twan</v>
      </c>
      <c r="AD52" s="3" t="str">
        <f>CONCATENATE(" ",+Contacts!B52)</f>
        <v xml:space="preserve"> </v>
      </c>
      <c r="AE52" s="2" t="str">
        <f t="shared" si="29"/>
        <v xml:space="preserve"> </v>
      </c>
      <c r="AF52" s="3" t="str">
        <f>CONCATENATE(+Contacts!D52)</f>
        <v/>
      </c>
      <c r="AG52" s="2" t="str">
        <f t="shared" si="30"/>
        <v xml:space="preserve"> </v>
      </c>
      <c r="AH52" t="str">
        <f>CONCATENATE(+Contacts!I52)</f>
        <v/>
      </c>
      <c r="AI52">
        <v>1500000010</v>
      </c>
      <c r="AJ52" s="5">
        <f t="shared" si="31"/>
        <v>1</v>
      </c>
    </row>
    <row r="53" spans="1:36" x14ac:dyDescent="0.35">
      <c r="A53" s="7" t="str">
        <f t="shared" si="6"/>
        <v>&lt;contact&gt;&lt;category&gt;0&lt;/category&gt;&lt;person&gt;&lt;realName&gt;Bril, Marijke   &lt;/realName&gt;&lt;/person&gt;</v>
      </c>
      <c r="B53" s="7" t="str">
        <f t="shared" si="7"/>
        <v>&lt;telephony nid="1"&gt;&lt;number id="0" prio="1" type="home"&gt;+31 102518256&lt;/number&gt;&lt;/telephony&gt;</v>
      </c>
      <c r="C53" s="7" t="str">
        <f t="shared" si="8"/>
        <v>&lt;services nid="1"&gt;&lt;email id="0" classifier="private"&gt;marijke.bril@gmail.com&lt;/email&gt;&lt;/services&gt;&lt;setup /&gt;&lt;mod_time&gt;1500000010&lt;/mod_time&gt;&lt;uniqueid&gt;1&lt;/uniqueid&gt;&lt;/contact&gt;</v>
      </c>
      <c r="D53" t="str">
        <f t="shared" si="9"/>
        <v>&lt;contact&gt;&lt;category&gt;0&lt;/category&gt;&lt;person&gt;&lt;realName&gt;Bril, Marijke   &lt;/realName&gt;&lt;/person&gt;</v>
      </c>
      <c r="E53" t="str">
        <f t="shared" si="10"/>
        <v>&lt;telephony nid="1"&gt;&lt;number id="0" prio="1" type="home"&gt;+31 102518256&lt;/number&gt;&lt;/telephony&gt;</v>
      </c>
      <c r="F53" t="str">
        <f t="shared" si="11"/>
        <v>&lt;telephony nid="1"&gt;</v>
      </c>
      <c r="G53" t="str">
        <f t="shared" si="12"/>
        <v/>
      </c>
      <c r="H53" t="str">
        <f t="shared" si="13"/>
        <v>&lt;services nid="1"&gt;&lt;email id="0" classifier="private"&gt;marijke.bril@gmail.com&lt;/email&gt;&lt;/services&gt;&lt;setup /&gt;&lt;mod_time&gt;1500000010&lt;/mod_time&gt;&lt;uniqueid&gt;1&lt;/uniqueid&gt;&lt;/contact&gt;</v>
      </c>
      <c r="I53" t="str">
        <f t="shared" si="14"/>
        <v>&lt;services /&gt;&lt;setup /&gt;&lt;mod_time&gt;1500000010&lt;/mod_time&gt;&lt;uniqueid&gt;1&lt;/uniqueid&gt;&lt;/contact&gt;</v>
      </c>
      <c r="J53" t="str">
        <f t="shared" si="15"/>
        <v>&lt;services nid="1"&gt;&lt;email id="0" classifier="private"&gt;marijke.bril@gmail.com&lt;/email&gt;&lt;/services&gt;&lt;setup /&gt;&lt;mod_time&gt;1500000010&lt;/mod_time&gt;&lt;uniqueid&gt;1&lt;/uniqueid&gt;&lt;/contact&gt;</v>
      </c>
      <c r="K53" s="5">
        <f t="shared" si="16"/>
        <v>0</v>
      </c>
      <c r="L53" s="5">
        <f t="shared" si="17"/>
        <v>0</v>
      </c>
      <c r="M53" s="5" t="str">
        <f>CONCATENATE(+Contacts!E53)</f>
        <v/>
      </c>
      <c r="N53" t="str">
        <f t="shared" si="18"/>
        <v>&lt;number id="0" prio="1" type="home"&gt;+31 102518256&lt;/number&gt;</v>
      </c>
      <c r="O53" s="5">
        <f t="shared" si="19"/>
        <v>1</v>
      </c>
      <c r="P53" s="5">
        <f t="shared" si="20"/>
        <v>1</v>
      </c>
      <c r="Q53" s="5" t="str">
        <f>CONCATENATE(+Contacts!G53)</f>
        <v>+31 102518256</v>
      </c>
      <c r="R53" t="str">
        <f t="shared" si="21"/>
        <v/>
      </c>
      <c r="S53" s="5">
        <f t="shared" si="22"/>
        <v>1</v>
      </c>
      <c r="T53" s="5">
        <f t="shared" si="23"/>
        <v>1</v>
      </c>
      <c r="U53" s="5" t="str">
        <f>CONCATENATE(+Contacts!H53)</f>
        <v/>
      </c>
      <c r="V53" t="str">
        <f t="shared" si="24"/>
        <v/>
      </c>
      <c r="W53" s="5">
        <f t="shared" si="25"/>
        <v>1</v>
      </c>
      <c r="X53" s="5">
        <f t="shared" si="26"/>
        <v>1</v>
      </c>
      <c r="Y53" s="5" t="str">
        <f>CONCATENATE(+Contacts!F53)</f>
        <v/>
      </c>
      <c r="Z53" s="2" t="str">
        <f t="shared" si="27"/>
        <v xml:space="preserve">Bril, Marijke   </v>
      </c>
      <c r="AA53" s="2" t="str">
        <f>CONCATENATE(+Contacts!C53)</f>
        <v>Bril</v>
      </c>
      <c r="AB53" s="2" t="str">
        <f t="shared" si="28"/>
        <v xml:space="preserve">, </v>
      </c>
      <c r="AC53" s="2" t="str">
        <f>CONCATENATE(+Contacts!A53)</f>
        <v>Marijke</v>
      </c>
      <c r="AD53" s="3" t="str">
        <f>CONCATENATE(" ",+Contacts!B53)</f>
        <v xml:space="preserve"> </v>
      </c>
      <c r="AE53" s="2" t="str">
        <f t="shared" si="29"/>
        <v xml:space="preserve"> </v>
      </c>
      <c r="AF53" s="3" t="str">
        <f>CONCATENATE(+Contacts!D53)</f>
        <v/>
      </c>
      <c r="AG53" s="2" t="str">
        <f t="shared" si="30"/>
        <v xml:space="preserve"> </v>
      </c>
      <c r="AH53" t="str">
        <f>CONCATENATE(+Contacts!I53)</f>
        <v>marijke.bril@gmail.com</v>
      </c>
      <c r="AI53">
        <v>1500000010</v>
      </c>
      <c r="AJ53" s="5">
        <f t="shared" si="31"/>
        <v>1</v>
      </c>
    </row>
    <row r="54" spans="1:36" x14ac:dyDescent="0.35">
      <c r="A54" s="7" t="str">
        <f t="shared" si="6"/>
        <v>&lt;contact&gt;&lt;category&gt;0&lt;/category&gt;&lt;person&gt;&lt;realName&gt;Broek, Peter van den(Schilder)&lt;/realName&gt;&lt;/person&gt;</v>
      </c>
      <c r="B54" s="7" t="str">
        <f t="shared" si="7"/>
        <v>&lt;telephony nid="2"&gt;&lt;number id="0" prio="1" type="work"&gt;+31 104552758&lt;/number&gt;&lt;number id="1" prio="0" type="mobile"&gt;+31 648149911&lt;/number&gt;&lt;/telephony&gt;</v>
      </c>
      <c r="C54" s="7" t="str">
        <f t="shared" si="8"/>
        <v>&lt;services nid="1"&gt;&lt;email id="0" classifier="private"&gt;tpa.vandenbroek@hotmail.nl&lt;/email&gt;&lt;/services&gt;&lt;setup /&gt;&lt;mod_time&gt;1500000010&lt;/mod_time&gt;&lt;uniqueid&gt;1&lt;/uniqueid&gt;&lt;/contact&gt;</v>
      </c>
      <c r="D54" t="str">
        <f t="shared" si="9"/>
        <v>&lt;contact&gt;&lt;category&gt;0&lt;/category&gt;&lt;person&gt;&lt;realName&gt;Broek, Peter van den(Schilder)&lt;/realName&gt;&lt;/person&gt;</v>
      </c>
      <c r="E54" t="str">
        <f t="shared" si="10"/>
        <v>&lt;telephony nid="2"&gt;&lt;number id="0" prio="1" type="work"&gt;+31 104552758&lt;/number&gt;&lt;number id="1" prio="0" type="mobile"&gt;+31 648149911&lt;/number&gt;&lt;/telephony&gt;</v>
      </c>
      <c r="F54" t="str">
        <f t="shared" si="11"/>
        <v>&lt;telephony nid="2"&gt;</v>
      </c>
      <c r="G54" t="str">
        <f t="shared" si="12"/>
        <v>&lt;number id="0" prio="1" type="work"&gt;+31 104552758&lt;/number&gt;</v>
      </c>
      <c r="H54" t="str">
        <f t="shared" si="13"/>
        <v>&lt;services nid="1"&gt;&lt;email id="0" classifier="private"&gt;tpa.vandenbroek@hotmail.nl&lt;/email&gt;&lt;/services&gt;&lt;setup /&gt;&lt;mod_time&gt;1500000010&lt;/mod_time&gt;&lt;uniqueid&gt;1&lt;/uniqueid&gt;&lt;/contact&gt;</v>
      </c>
      <c r="I54" t="str">
        <f t="shared" si="14"/>
        <v>&lt;services /&gt;&lt;setup /&gt;&lt;mod_time&gt;1500000010&lt;/mod_time&gt;&lt;uniqueid&gt;1&lt;/uniqueid&gt;&lt;/contact&gt;</v>
      </c>
      <c r="J54" t="str">
        <f t="shared" si="15"/>
        <v>&lt;services nid="1"&gt;&lt;email id="0" classifier="private"&gt;tpa.vandenbroek@hotmail.nl&lt;/email&gt;&lt;/services&gt;&lt;setup /&gt;&lt;mod_time&gt;1500000010&lt;/mod_time&gt;&lt;uniqueid&gt;1&lt;/uniqueid&gt;&lt;/contact&gt;</v>
      </c>
      <c r="K54" s="5">
        <f t="shared" si="16"/>
        <v>1</v>
      </c>
      <c r="L54" s="5">
        <f t="shared" si="17"/>
        <v>1</v>
      </c>
      <c r="M54" s="5" t="str">
        <f>CONCATENATE(+Contacts!E54)</f>
        <v>+31 104552758</v>
      </c>
      <c r="N54" t="str">
        <f t="shared" si="18"/>
        <v/>
      </c>
      <c r="O54" s="5">
        <f t="shared" si="19"/>
        <v>1</v>
      </c>
      <c r="P54" s="5">
        <f t="shared" si="20"/>
        <v>1</v>
      </c>
      <c r="Q54" s="5" t="str">
        <f>CONCATENATE(+Contacts!G54)</f>
        <v/>
      </c>
      <c r="R54" t="str">
        <f t="shared" si="21"/>
        <v>&lt;number id="1" prio="0" type="mobile"&gt;+31 648149911&lt;/number&gt;</v>
      </c>
      <c r="S54" s="5">
        <f t="shared" si="22"/>
        <v>2</v>
      </c>
      <c r="T54" s="5">
        <f t="shared" si="23"/>
        <v>0</v>
      </c>
      <c r="U54" s="5" t="str">
        <f>CONCATENATE(+Contacts!H54)</f>
        <v>+31 648149911</v>
      </c>
      <c r="V54" t="str">
        <f t="shared" si="24"/>
        <v/>
      </c>
      <c r="W54" s="5">
        <f t="shared" si="25"/>
        <v>2</v>
      </c>
      <c r="X54" s="5">
        <f t="shared" si="26"/>
        <v>0</v>
      </c>
      <c r="Y54" s="5" t="str">
        <f>CONCATENATE(+Contacts!F54)</f>
        <v/>
      </c>
      <c r="Z54" s="2" t="str">
        <f t="shared" si="27"/>
        <v>Broek, Peter van den(Schilder)</v>
      </c>
      <c r="AA54" s="2" t="str">
        <f>CONCATENATE(+Contacts!C54)</f>
        <v>Broek</v>
      </c>
      <c r="AB54" s="2" t="str">
        <f t="shared" si="28"/>
        <v xml:space="preserve">, </v>
      </c>
      <c r="AC54" s="2" t="str">
        <f>CONCATENATE(+Contacts!A54)</f>
        <v>Peter</v>
      </c>
      <c r="AD54" s="3" t="str">
        <f>CONCATENATE(" ",+Contacts!B54)</f>
        <v xml:space="preserve"> van den</v>
      </c>
      <c r="AE54" s="2" t="str">
        <f t="shared" si="29"/>
        <v>(</v>
      </c>
      <c r="AF54" s="3" t="str">
        <f>CONCATENATE(+Contacts!D54)</f>
        <v>Schilder</v>
      </c>
      <c r="AG54" s="2" t="str">
        <f t="shared" si="30"/>
        <v>)</v>
      </c>
      <c r="AH54" t="str">
        <f>CONCATENATE(+Contacts!I54)</f>
        <v>tpa.vandenbroek@hotmail.nl</v>
      </c>
      <c r="AI54">
        <v>1500000010</v>
      </c>
      <c r="AJ54" s="5">
        <f t="shared" si="31"/>
        <v>1</v>
      </c>
    </row>
    <row r="55" spans="1:36" x14ac:dyDescent="0.35">
      <c r="A55" s="7" t="str">
        <f t="shared" si="6"/>
        <v>&lt;contact&gt;&lt;category&gt;0&lt;/category&gt;&lt;person&gt;&lt;realName&gt;Broekhuis, Martijn (Fidenz Hypotheek adviseur )&lt;/realName&gt;&lt;/person&gt;</v>
      </c>
      <c r="B55" s="7" t="str">
        <f t="shared" si="7"/>
        <v>&lt;telephony nid="1"&gt;&lt;number id="0" prio="1" type="work"&gt;+31 10 211 11 44&lt;/number&gt;&lt;/telephony&gt;</v>
      </c>
      <c r="C55" s="7" t="str">
        <f t="shared" si="8"/>
        <v>&lt;services nid="1"&gt;&lt;email id="0" classifier="private"&gt;info@fidenz.nl&lt;/email&gt;&lt;/services&gt;&lt;setup /&gt;&lt;mod_time&gt;1500000010&lt;/mod_time&gt;&lt;uniqueid&gt;1&lt;/uniqueid&gt;&lt;/contact&gt;</v>
      </c>
      <c r="D55" t="str">
        <f t="shared" si="9"/>
        <v>&lt;contact&gt;&lt;category&gt;0&lt;/category&gt;&lt;person&gt;&lt;realName&gt;Broekhuis, Martijn (Fidenz Hypotheek adviseur )&lt;/realName&gt;&lt;/person&gt;</v>
      </c>
      <c r="E55" t="str">
        <f t="shared" si="10"/>
        <v>&lt;telephony nid="1"&gt;&lt;number id="0" prio="1" type="work"&gt;+31 10 211 11 44&lt;/number&gt;&lt;/telephony&gt;</v>
      </c>
      <c r="F55" t="str">
        <f t="shared" si="11"/>
        <v>&lt;telephony nid="1"&gt;</v>
      </c>
      <c r="G55" t="str">
        <f t="shared" si="12"/>
        <v/>
      </c>
      <c r="H55" t="str">
        <f t="shared" si="13"/>
        <v>&lt;services nid="1"&gt;&lt;email id="0" classifier="private"&gt;info@fidenz.nl&lt;/email&gt;&lt;/services&gt;&lt;setup /&gt;&lt;mod_time&gt;1500000010&lt;/mod_time&gt;&lt;uniqueid&gt;1&lt;/uniqueid&gt;&lt;/contact&gt;</v>
      </c>
      <c r="I55" t="str">
        <f t="shared" si="14"/>
        <v>&lt;services /&gt;&lt;setup /&gt;&lt;mod_time&gt;1500000010&lt;/mod_time&gt;&lt;uniqueid&gt;1&lt;/uniqueid&gt;&lt;/contact&gt;</v>
      </c>
      <c r="J55" t="str">
        <f t="shared" si="15"/>
        <v>&lt;services nid="1"&gt;&lt;email id="0" classifier="private"&gt;info@fidenz.nl&lt;/email&gt;&lt;/services&gt;&lt;setup /&gt;&lt;mod_time&gt;1500000010&lt;/mod_time&gt;&lt;uniqueid&gt;1&lt;/uniqueid&gt;&lt;/contact&gt;</v>
      </c>
      <c r="K55" s="5">
        <f t="shared" si="16"/>
        <v>0</v>
      </c>
      <c r="L55" s="5">
        <f t="shared" si="17"/>
        <v>0</v>
      </c>
      <c r="M55" s="5" t="str">
        <f>CONCATENATE(+Contacts!E55)</f>
        <v/>
      </c>
      <c r="N55" t="str">
        <f t="shared" si="18"/>
        <v/>
      </c>
      <c r="O55" s="5">
        <f t="shared" si="19"/>
        <v>0</v>
      </c>
      <c r="P55" s="5">
        <f t="shared" si="20"/>
        <v>0</v>
      </c>
      <c r="Q55" s="5" t="str">
        <f>CONCATENATE(+Contacts!G55)</f>
        <v/>
      </c>
      <c r="R55" t="str">
        <f t="shared" si="21"/>
        <v/>
      </c>
      <c r="S55" s="5">
        <f t="shared" si="22"/>
        <v>0</v>
      </c>
      <c r="T55" s="5">
        <f t="shared" si="23"/>
        <v>0</v>
      </c>
      <c r="U55" s="5" t="str">
        <f>CONCATENATE(+Contacts!H55)</f>
        <v/>
      </c>
      <c r="V55" t="str">
        <f t="shared" si="24"/>
        <v>&lt;number id="0" prio="1" type="work"&gt;+31 10 211 11 44&lt;/number&gt;</v>
      </c>
      <c r="W55" s="5">
        <f t="shared" si="25"/>
        <v>1</v>
      </c>
      <c r="X55" s="5">
        <f t="shared" si="26"/>
        <v>1</v>
      </c>
      <c r="Y55" s="5" t="str">
        <f>CONCATENATE(+Contacts!F55)</f>
        <v>+31 10 211 11 44</v>
      </c>
      <c r="Z55" s="2" t="str">
        <f t="shared" si="27"/>
        <v>Broekhuis, Martijn (Fidenz Hypotheek adviseur )</v>
      </c>
      <c r="AA55" s="2" t="str">
        <f>CONCATENATE(+Contacts!C55)</f>
        <v>Broekhuis</v>
      </c>
      <c r="AB55" s="2" t="str">
        <f t="shared" si="28"/>
        <v xml:space="preserve">, </v>
      </c>
      <c r="AC55" s="2" t="str">
        <f>CONCATENATE(+Contacts!A55)</f>
        <v>Martijn</v>
      </c>
      <c r="AD55" s="3" t="str">
        <f>CONCATENATE(" ",+Contacts!B55)</f>
        <v xml:space="preserve"> </v>
      </c>
      <c r="AE55" s="2" t="str">
        <f t="shared" si="29"/>
        <v>(</v>
      </c>
      <c r="AF55" s="3" t="str">
        <f>CONCATENATE(+Contacts!D55)</f>
        <v xml:space="preserve">Fidenz Hypotheek adviseur </v>
      </c>
      <c r="AG55" s="2" t="str">
        <f t="shared" si="30"/>
        <v>)</v>
      </c>
      <c r="AH55" t="str">
        <f>CONCATENATE(+Contacts!I55)</f>
        <v>info@fidenz.nl</v>
      </c>
      <c r="AI55">
        <v>1500000010</v>
      </c>
      <c r="AJ55" s="5">
        <f t="shared" si="31"/>
        <v>1</v>
      </c>
    </row>
    <row r="56" spans="1:36" x14ac:dyDescent="0.35">
      <c r="A56" s="7" t="str">
        <f t="shared" si="6"/>
        <v>&lt;contact&gt;&lt;category&gt;0&lt;/category&gt;&lt;person&gt;&lt;realName&gt;Broers-Van Parreeren, Loes   &lt;/realName&gt;&lt;/person&gt;</v>
      </c>
      <c r="B56" s="7" t="str">
        <f t="shared" si="7"/>
        <v>&lt;telephony nid="2"&gt;&lt;number id="0" prio="1" type="home"&gt;+31 793515121&lt;/number&gt;&lt;number id="1" prio="0" type="mobile"&gt;+31 6 15 45 41 88&lt;/number&gt;&lt;/telephony&gt;</v>
      </c>
      <c r="C56" s="7" t="str">
        <f t="shared" si="8"/>
        <v>&lt;services nid="1"&gt;&lt;email id="0" classifier="private"&gt;louisebroers@hotmail.nl&lt;/email&gt;&lt;/services&gt;&lt;setup /&gt;&lt;mod_time&gt;1500000010&lt;/mod_time&gt;&lt;uniqueid&gt;1&lt;/uniqueid&gt;&lt;/contact&gt;</v>
      </c>
      <c r="D56" t="str">
        <f t="shared" si="9"/>
        <v>&lt;contact&gt;&lt;category&gt;0&lt;/category&gt;&lt;person&gt;&lt;realName&gt;Broers-Van Parreeren, Loes   &lt;/realName&gt;&lt;/person&gt;</v>
      </c>
      <c r="E56" t="str">
        <f t="shared" si="10"/>
        <v>&lt;telephony nid="2"&gt;&lt;number id="0" prio="1" type="home"&gt;+31 793515121&lt;/number&gt;&lt;number id="1" prio="0" type="mobile"&gt;+31 6 15 45 41 88&lt;/number&gt;&lt;/telephony&gt;</v>
      </c>
      <c r="F56" t="str">
        <f t="shared" si="11"/>
        <v>&lt;telephony nid="2"&gt;</v>
      </c>
      <c r="G56" t="str">
        <f t="shared" si="12"/>
        <v/>
      </c>
      <c r="H56" t="str">
        <f t="shared" si="13"/>
        <v>&lt;services nid="1"&gt;&lt;email id="0" classifier="private"&gt;louisebroers@hotmail.nl&lt;/email&gt;&lt;/services&gt;&lt;setup /&gt;&lt;mod_time&gt;1500000010&lt;/mod_time&gt;&lt;uniqueid&gt;1&lt;/uniqueid&gt;&lt;/contact&gt;</v>
      </c>
      <c r="I56" t="str">
        <f t="shared" si="14"/>
        <v>&lt;services /&gt;&lt;setup /&gt;&lt;mod_time&gt;1500000010&lt;/mod_time&gt;&lt;uniqueid&gt;1&lt;/uniqueid&gt;&lt;/contact&gt;</v>
      </c>
      <c r="J56" t="str">
        <f t="shared" si="15"/>
        <v>&lt;services nid="1"&gt;&lt;email id="0" classifier="private"&gt;louisebroers@hotmail.nl&lt;/email&gt;&lt;/services&gt;&lt;setup /&gt;&lt;mod_time&gt;1500000010&lt;/mod_time&gt;&lt;uniqueid&gt;1&lt;/uniqueid&gt;&lt;/contact&gt;</v>
      </c>
      <c r="K56" s="5">
        <f t="shared" si="16"/>
        <v>0</v>
      </c>
      <c r="L56" s="5">
        <f t="shared" si="17"/>
        <v>0</v>
      </c>
      <c r="M56" s="5" t="str">
        <f>CONCATENATE(+Contacts!E56)</f>
        <v/>
      </c>
      <c r="N56" t="str">
        <f t="shared" si="18"/>
        <v>&lt;number id="0" prio="1" type="home"&gt;+31 793515121&lt;/number&gt;</v>
      </c>
      <c r="O56" s="5">
        <f t="shared" si="19"/>
        <v>1</v>
      </c>
      <c r="P56" s="5">
        <f t="shared" si="20"/>
        <v>1</v>
      </c>
      <c r="Q56" s="5" t="str">
        <f>CONCATENATE(+Contacts!G56)</f>
        <v>+31 793515121</v>
      </c>
      <c r="R56" t="str">
        <f t="shared" si="21"/>
        <v>&lt;number id="1" prio="0" type="mobile"&gt;+31 6 15 45 41 88&lt;/number&gt;</v>
      </c>
      <c r="S56" s="5">
        <f t="shared" si="22"/>
        <v>2</v>
      </c>
      <c r="T56" s="5">
        <f t="shared" si="23"/>
        <v>0</v>
      </c>
      <c r="U56" s="5" t="str">
        <f>CONCATENATE(+Contacts!H56)</f>
        <v>+31 6 15 45 41 88</v>
      </c>
      <c r="V56" t="str">
        <f t="shared" si="24"/>
        <v/>
      </c>
      <c r="W56" s="5">
        <f t="shared" si="25"/>
        <v>2</v>
      </c>
      <c r="X56" s="5">
        <f t="shared" si="26"/>
        <v>0</v>
      </c>
      <c r="Y56" s="5" t="str">
        <f>CONCATENATE(+Contacts!F56)</f>
        <v/>
      </c>
      <c r="Z56" s="2" t="str">
        <f t="shared" si="27"/>
        <v xml:space="preserve">Broers-Van Parreeren, Loes   </v>
      </c>
      <c r="AA56" s="2" t="str">
        <f>CONCATENATE(+Contacts!C56)</f>
        <v>Broers-Van Parreeren</v>
      </c>
      <c r="AB56" s="2" t="str">
        <f t="shared" si="28"/>
        <v xml:space="preserve">, </v>
      </c>
      <c r="AC56" s="2" t="str">
        <f>CONCATENATE(+Contacts!A56)</f>
        <v>Loes</v>
      </c>
      <c r="AD56" s="3" t="str">
        <f>CONCATENATE(" ",+Contacts!B56)</f>
        <v xml:space="preserve"> </v>
      </c>
      <c r="AE56" s="2" t="str">
        <f t="shared" si="29"/>
        <v xml:space="preserve"> </v>
      </c>
      <c r="AF56" s="3" t="str">
        <f>CONCATENATE(+Contacts!D56)</f>
        <v/>
      </c>
      <c r="AG56" s="2" t="str">
        <f t="shared" si="30"/>
        <v xml:space="preserve"> </v>
      </c>
      <c r="AH56" t="str">
        <f>CONCATENATE(+Contacts!I56)</f>
        <v>louisebroers@hotmail.nl</v>
      </c>
      <c r="AI56">
        <v>1500000010</v>
      </c>
      <c r="AJ56" s="5">
        <f t="shared" si="31"/>
        <v>1</v>
      </c>
    </row>
    <row r="57" spans="1:36" x14ac:dyDescent="0.35">
      <c r="A57" s="7" t="str">
        <f t="shared" si="6"/>
        <v>&lt;contact&gt;&lt;category&gt;0&lt;/category&gt;&lt;person&gt;&lt;realName&gt;Broers, Rémi   &lt;/realName&gt;&lt;/person&gt;</v>
      </c>
      <c r="B57" s="7" t="str">
        <f t="shared" si="7"/>
        <v>&lt;telephony nid="2"&gt;&lt;number id="0" prio="1" type="home"&gt;+31 793515121&lt;/number&gt;&lt;number id="1" prio="0" type="mobile"&gt;+31 631952693&lt;/number&gt;&lt;/telephony&gt;</v>
      </c>
      <c r="C57" s="7" t="str">
        <f t="shared" si="8"/>
        <v>&lt;services /&gt;&lt;setup /&gt;&lt;mod_time&gt;1500000010&lt;/mod_time&gt;&lt;uniqueid&gt;1&lt;/uniqueid&gt;&lt;/contact&gt;</v>
      </c>
      <c r="D57" t="str">
        <f t="shared" si="9"/>
        <v>&lt;contact&gt;&lt;category&gt;0&lt;/category&gt;&lt;person&gt;&lt;realName&gt;Broers, Rémi   &lt;/realName&gt;&lt;/person&gt;</v>
      </c>
      <c r="E57" t="str">
        <f t="shared" si="10"/>
        <v>&lt;telephony nid="2"&gt;&lt;number id="0" prio="1" type="home"&gt;+31 793515121&lt;/number&gt;&lt;number id="1" prio="0" type="mobile"&gt;+31 631952693&lt;/number&gt;&lt;/telephony&gt;</v>
      </c>
      <c r="F57" t="str">
        <f t="shared" si="11"/>
        <v>&lt;telephony nid="2"&gt;</v>
      </c>
      <c r="G57" t="str">
        <f t="shared" si="12"/>
        <v/>
      </c>
      <c r="H57" t="str">
        <f t="shared" si="13"/>
        <v>&lt;services nid="1"&gt;&lt;email id="0" classifier="private"&gt;&lt;/email&gt;&lt;/services&gt;&lt;setup /&gt;&lt;mod_time&gt;1500000010&lt;/mod_time&gt;&lt;uniqueid&gt;1&lt;/uniqueid&gt;&lt;/contact&gt;</v>
      </c>
      <c r="I57" t="str">
        <f t="shared" si="14"/>
        <v>&lt;services /&gt;&lt;setup /&gt;&lt;mod_time&gt;1500000010&lt;/mod_time&gt;&lt;uniqueid&gt;1&lt;/uniqueid&gt;&lt;/contact&gt;</v>
      </c>
      <c r="J57" t="str">
        <f t="shared" si="15"/>
        <v>&lt;services /&gt;&lt;setup /&gt;&lt;mod_time&gt;1500000010&lt;/mod_time&gt;&lt;uniqueid&gt;1&lt;/uniqueid&gt;&lt;/contact&gt;</v>
      </c>
      <c r="K57" s="5">
        <f t="shared" si="16"/>
        <v>0</v>
      </c>
      <c r="L57" s="5">
        <f t="shared" si="17"/>
        <v>0</v>
      </c>
      <c r="M57" s="5" t="str">
        <f>CONCATENATE(+Contacts!E57)</f>
        <v/>
      </c>
      <c r="N57" t="str">
        <f t="shared" si="18"/>
        <v>&lt;number id="0" prio="1" type="home"&gt;+31 793515121&lt;/number&gt;</v>
      </c>
      <c r="O57" s="5">
        <f t="shared" si="19"/>
        <v>1</v>
      </c>
      <c r="P57" s="5">
        <f t="shared" si="20"/>
        <v>1</v>
      </c>
      <c r="Q57" s="5" t="str">
        <f>CONCATENATE(+Contacts!G57)</f>
        <v>+31 793515121</v>
      </c>
      <c r="R57" t="str">
        <f t="shared" si="21"/>
        <v>&lt;number id="1" prio="0" type="mobile"&gt;+31 631952693&lt;/number&gt;</v>
      </c>
      <c r="S57" s="5">
        <f t="shared" si="22"/>
        <v>2</v>
      </c>
      <c r="T57" s="5">
        <f t="shared" si="23"/>
        <v>0</v>
      </c>
      <c r="U57" s="5" t="str">
        <f>CONCATENATE(+Contacts!H57)</f>
        <v>+31 631952693</v>
      </c>
      <c r="V57" t="str">
        <f t="shared" si="24"/>
        <v/>
      </c>
      <c r="W57" s="5">
        <f t="shared" si="25"/>
        <v>2</v>
      </c>
      <c r="X57" s="5">
        <f t="shared" si="26"/>
        <v>0</v>
      </c>
      <c r="Y57" s="5" t="str">
        <f>CONCATENATE(+Contacts!F57)</f>
        <v/>
      </c>
      <c r="Z57" s="2" t="str">
        <f t="shared" si="27"/>
        <v xml:space="preserve">Broers, Rémi   </v>
      </c>
      <c r="AA57" s="2" t="str">
        <f>CONCATENATE(+Contacts!C57)</f>
        <v>Broers</v>
      </c>
      <c r="AB57" s="2" t="str">
        <f t="shared" si="28"/>
        <v xml:space="preserve">, </v>
      </c>
      <c r="AC57" s="2" t="str">
        <f>CONCATENATE(+Contacts!A57)</f>
        <v>Rémi</v>
      </c>
      <c r="AD57" s="3" t="str">
        <f>CONCATENATE(" ",+Contacts!B57)</f>
        <v xml:space="preserve"> </v>
      </c>
      <c r="AE57" s="2" t="str">
        <f t="shared" si="29"/>
        <v xml:space="preserve"> </v>
      </c>
      <c r="AF57" s="3" t="str">
        <f>CONCATENATE(+Contacts!D57)</f>
        <v/>
      </c>
      <c r="AG57" s="2" t="str">
        <f t="shared" si="30"/>
        <v xml:space="preserve"> </v>
      </c>
      <c r="AH57" t="str">
        <f>CONCATENATE(+Contacts!I57)</f>
        <v/>
      </c>
      <c r="AI57">
        <v>1500000010</v>
      </c>
      <c r="AJ57" s="5">
        <f t="shared" si="31"/>
        <v>1</v>
      </c>
    </row>
    <row r="58" spans="1:36" x14ac:dyDescent="0.35">
      <c r="A58" s="7" t="str">
        <f t="shared" si="6"/>
        <v>&lt;contact&gt;&lt;category&gt;0&lt;/category&gt;&lt;person&gt;&lt;realName&gt;Bronwasser, Willem (WMB)&lt;/realName&gt;&lt;/person&gt;</v>
      </c>
      <c r="B58" s="7" t="str">
        <f t="shared" si="7"/>
        <v>&lt;telephony nid="2"&gt;&lt;number id="0" prio="1" type="home"&gt;+31 10 4747 828&lt;/number&gt;&lt;number id="1" prio="0" type="work"&gt;+31 6 27 02 72 21&lt;/number&gt;&lt;/telephony&gt;</v>
      </c>
      <c r="C58" s="7" t="str">
        <f t="shared" si="8"/>
        <v>&lt;services nid="1"&gt;&lt;email id="0" classifier="private"&gt;sparood@tiscali.nl&lt;/email&gt;&lt;/services&gt;&lt;setup /&gt;&lt;mod_time&gt;1500000010&lt;/mod_time&gt;&lt;uniqueid&gt;1&lt;/uniqueid&gt;&lt;/contact&gt;</v>
      </c>
      <c r="D58" t="str">
        <f t="shared" si="9"/>
        <v>&lt;contact&gt;&lt;category&gt;0&lt;/category&gt;&lt;person&gt;&lt;realName&gt;Bronwasser, Willem (WMB)&lt;/realName&gt;&lt;/person&gt;</v>
      </c>
      <c r="E58" t="str">
        <f t="shared" si="10"/>
        <v>&lt;telephony nid="2"&gt;&lt;number id="0" prio="1" type="home"&gt;+31 10 4747 828&lt;/number&gt;&lt;number id="1" prio="0" type="work"&gt;+31 6 27 02 72 21&lt;/number&gt;&lt;/telephony&gt;</v>
      </c>
      <c r="F58" t="str">
        <f t="shared" si="11"/>
        <v>&lt;telephony nid="2"&gt;</v>
      </c>
      <c r="G58" t="str">
        <f t="shared" si="12"/>
        <v/>
      </c>
      <c r="H58" t="str">
        <f t="shared" si="13"/>
        <v>&lt;services nid="1"&gt;&lt;email id="0" classifier="private"&gt;sparood@tiscali.nl&lt;/email&gt;&lt;/services&gt;&lt;setup /&gt;&lt;mod_time&gt;1500000010&lt;/mod_time&gt;&lt;uniqueid&gt;1&lt;/uniqueid&gt;&lt;/contact&gt;</v>
      </c>
      <c r="I58" t="str">
        <f t="shared" si="14"/>
        <v>&lt;services /&gt;&lt;setup /&gt;&lt;mod_time&gt;1500000010&lt;/mod_time&gt;&lt;uniqueid&gt;1&lt;/uniqueid&gt;&lt;/contact&gt;</v>
      </c>
      <c r="J58" t="str">
        <f t="shared" si="15"/>
        <v>&lt;services nid="1"&gt;&lt;email id="0" classifier="private"&gt;sparood@tiscali.nl&lt;/email&gt;&lt;/services&gt;&lt;setup /&gt;&lt;mod_time&gt;1500000010&lt;/mod_time&gt;&lt;uniqueid&gt;1&lt;/uniqueid&gt;&lt;/contact&gt;</v>
      </c>
      <c r="K58" s="5">
        <f t="shared" si="16"/>
        <v>0</v>
      </c>
      <c r="L58" s="5">
        <f t="shared" si="17"/>
        <v>0</v>
      </c>
      <c r="M58" s="5" t="str">
        <f>CONCATENATE(+Contacts!E58)</f>
        <v/>
      </c>
      <c r="N58" t="str">
        <f t="shared" si="18"/>
        <v>&lt;number id="0" prio="1" type="home"&gt;+31 10 4747 828&lt;/number&gt;</v>
      </c>
      <c r="O58" s="5">
        <f t="shared" si="19"/>
        <v>1</v>
      </c>
      <c r="P58" s="5">
        <f t="shared" si="20"/>
        <v>1</v>
      </c>
      <c r="Q58" s="5" t="str">
        <f>CONCATENATE(+Contacts!G58)</f>
        <v>+31 10 4747 828</v>
      </c>
      <c r="R58" t="str">
        <f t="shared" si="21"/>
        <v/>
      </c>
      <c r="S58" s="5">
        <f t="shared" si="22"/>
        <v>1</v>
      </c>
      <c r="T58" s="5">
        <f t="shared" si="23"/>
        <v>1</v>
      </c>
      <c r="U58" s="5" t="str">
        <f>CONCATENATE(+Contacts!H58)</f>
        <v/>
      </c>
      <c r="V58" t="str">
        <f t="shared" si="24"/>
        <v>&lt;number id="1" prio="0" type="work"&gt;+31 6 27 02 72 21&lt;/number&gt;</v>
      </c>
      <c r="W58" s="5">
        <f t="shared" si="25"/>
        <v>2</v>
      </c>
      <c r="X58" s="5">
        <f t="shared" si="26"/>
        <v>0</v>
      </c>
      <c r="Y58" s="5" t="str">
        <f>CONCATENATE(+Contacts!F58)</f>
        <v>+31 6 27 02 72 21</v>
      </c>
      <c r="Z58" s="2" t="str">
        <f t="shared" si="27"/>
        <v>Bronwasser, Willem (WMB)</v>
      </c>
      <c r="AA58" s="2" t="str">
        <f>CONCATENATE(+Contacts!C58)</f>
        <v>Bronwasser</v>
      </c>
      <c r="AB58" s="2" t="str">
        <f t="shared" si="28"/>
        <v xml:space="preserve">, </v>
      </c>
      <c r="AC58" s="2" t="str">
        <f>CONCATENATE(+Contacts!A58)</f>
        <v>Willem</v>
      </c>
      <c r="AD58" s="3" t="str">
        <f>CONCATENATE(" ",+Contacts!B58)</f>
        <v xml:space="preserve"> </v>
      </c>
      <c r="AE58" s="2" t="str">
        <f t="shared" si="29"/>
        <v>(</v>
      </c>
      <c r="AF58" s="3" t="str">
        <f>CONCATENATE(+Contacts!D58)</f>
        <v>WMB</v>
      </c>
      <c r="AG58" s="2" t="str">
        <f t="shared" si="30"/>
        <v>)</v>
      </c>
      <c r="AH58" t="str">
        <f>CONCATENATE(+Contacts!I58)</f>
        <v>sparood@tiscali.nl</v>
      </c>
      <c r="AI58">
        <v>1500000010</v>
      </c>
      <c r="AJ58" s="5">
        <f t="shared" si="31"/>
        <v>1</v>
      </c>
    </row>
    <row r="59" spans="1:36" x14ac:dyDescent="0.35">
      <c r="A59" s="7" t="str">
        <f t="shared" si="6"/>
        <v>&lt;contact&gt;&lt;category&gt;0&lt;/category&gt;&lt;person&gt;&lt;realName&gt;Bruhn, Christiane (Jane)   &lt;/realName&gt;&lt;/person&gt;</v>
      </c>
      <c r="B59" s="7" t="str">
        <f t="shared" si="7"/>
        <v>&lt;telephony nid="1"&gt;&lt;number id="0" prio="1" type="home"&gt;+49 (0) 176 49562249&lt;/number&gt;&lt;/telephony&gt;</v>
      </c>
      <c r="C59" s="7" t="str">
        <f t="shared" si="8"/>
        <v>&lt;services /&gt;&lt;setup /&gt;&lt;mod_time&gt;1500000010&lt;/mod_time&gt;&lt;uniqueid&gt;1&lt;/uniqueid&gt;&lt;/contact&gt;</v>
      </c>
      <c r="D59" t="str">
        <f t="shared" si="9"/>
        <v>&lt;contact&gt;&lt;category&gt;0&lt;/category&gt;&lt;person&gt;&lt;realName&gt;Bruhn, Christiane (Jane)   &lt;/realName&gt;&lt;/person&gt;</v>
      </c>
      <c r="E59" t="str">
        <f t="shared" si="10"/>
        <v>&lt;telephony nid="1"&gt;&lt;number id="0" prio="1" type="home"&gt;+49 (0) 176 49562249&lt;/number&gt;&lt;/telephony&gt;</v>
      </c>
      <c r="F59" t="str">
        <f t="shared" si="11"/>
        <v>&lt;telephony nid="1"&gt;</v>
      </c>
      <c r="G59" t="str">
        <f t="shared" si="12"/>
        <v/>
      </c>
      <c r="H59" t="str">
        <f t="shared" si="13"/>
        <v>&lt;services nid="1"&gt;&lt;email id="0" classifier="private"&gt;&lt;/email&gt;&lt;/services&gt;&lt;setup /&gt;&lt;mod_time&gt;1500000010&lt;/mod_time&gt;&lt;uniqueid&gt;1&lt;/uniqueid&gt;&lt;/contact&gt;</v>
      </c>
      <c r="I59" t="str">
        <f t="shared" si="14"/>
        <v>&lt;services /&gt;&lt;setup /&gt;&lt;mod_time&gt;1500000010&lt;/mod_time&gt;&lt;uniqueid&gt;1&lt;/uniqueid&gt;&lt;/contact&gt;</v>
      </c>
      <c r="J59" t="str">
        <f t="shared" si="15"/>
        <v>&lt;services /&gt;&lt;setup /&gt;&lt;mod_time&gt;1500000010&lt;/mod_time&gt;&lt;uniqueid&gt;1&lt;/uniqueid&gt;&lt;/contact&gt;</v>
      </c>
      <c r="K59" s="5">
        <f t="shared" si="16"/>
        <v>0</v>
      </c>
      <c r="L59" s="5">
        <f t="shared" si="17"/>
        <v>0</v>
      </c>
      <c r="M59" s="5" t="str">
        <f>CONCATENATE(+Contacts!E59)</f>
        <v/>
      </c>
      <c r="N59" t="str">
        <f t="shared" si="18"/>
        <v>&lt;number id="0" prio="1" type="home"&gt;+49 (0) 176 49562249&lt;/number&gt;</v>
      </c>
      <c r="O59" s="5">
        <f t="shared" si="19"/>
        <v>1</v>
      </c>
      <c r="P59" s="5">
        <f t="shared" si="20"/>
        <v>1</v>
      </c>
      <c r="Q59" s="5" t="str">
        <f>CONCATENATE(+Contacts!G59)</f>
        <v>+49 (0) 176 49562249</v>
      </c>
      <c r="R59" t="str">
        <f t="shared" si="21"/>
        <v/>
      </c>
      <c r="S59" s="5">
        <f t="shared" si="22"/>
        <v>1</v>
      </c>
      <c r="T59" s="5">
        <f t="shared" si="23"/>
        <v>1</v>
      </c>
      <c r="U59" s="5" t="str">
        <f>CONCATENATE(+Contacts!H59)</f>
        <v/>
      </c>
      <c r="V59" t="str">
        <f t="shared" si="24"/>
        <v/>
      </c>
      <c r="W59" s="5">
        <f t="shared" si="25"/>
        <v>1</v>
      </c>
      <c r="X59" s="5">
        <f t="shared" si="26"/>
        <v>1</v>
      </c>
      <c r="Y59" s="5" t="str">
        <f>CONCATENATE(+Contacts!F59)</f>
        <v/>
      </c>
      <c r="Z59" s="2" t="str">
        <f t="shared" si="27"/>
        <v xml:space="preserve">Bruhn, Christiane (Jane)   </v>
      </c>
      <c r="AA59" s="2" t="str">
        <f>CONCATENATE(+Contacts!C59)</f>
        <v>Bruhn</v>
      </c>
      <c r="AB59" s="2" t="str">
        <f t="shared" si="28"/>
        <v xml:space="preserve">, </v>
      </c>
      <c r="AC59" s="2" t="str">
        <f>CONCATENATE(+Contacts!A59)</f>
        <v>Christiane (Jane)</v>
      </c>
      <c r="AD59" s="3" t="str">
        <f>CONCATENATE(" ",+Contacts!B59)</f>
        <v xml:space="preserve"> </v>
      </c>
      <c r="AE59" s="2" t="str">
        <f t="shared" si="29"/>
        <v xml:space="preserve"> </v>
      </c>
      <c r="AF59" s="3" t="str">
        <f>CONCATENATE(+Contacts!D59)</f>
        <v/>
      </c>
      <c r="AG59" s="2" t="str">
        <f t="shared" si="30"/>
        <v xml:space="preserve"> </v>
      </c>
      <c r="AH59" t="str">
        <f>CONCATENATE(+Contacts!I59)</f>
        <v/>
      </c>
      <c r="AI59">
        <v>1500000010</v>
      </c>
      <c r="AJ59" s="5">
        <f t="shared" si="31"/>
        <v>1</v>
      </c>
    </row>
    <row r="60" spans="1:36" x14ac:dyDescent="0.35">
      <c r="A60" s="7" t="str">
        <f t="shared" si="6"/>
        <v>&lt;contact&gt;&lt;category&gt;0&lt;/category&gt;&lt;person&gt;&lt;realName&gt;Bruna  (Bookshop)&lt;/realName&gt;&lt;/person&gt;</v>
      </c>
      <c r="B60" s="7" t="str">
        <f t="shared" si="7"/>
        <v>&lt;telephony nid="1"&gt;&lt;number id="0" prio="1" type="work"&gt;+31 104212902&lt;/number&gt;&lt;/telephony&gt;</v>
      </c>
      <c r="C60" s="7" t="str">
        <f t="shared" si="8"/>
        <v>&lt;services /&gt;&lt;setup /&gt;&lt;mod_time&gt;1500000010&lt;/mod_time&gt;&lt;uniqueid&gt;1&lt;/uniqueid&gt;&lt;/contact&gt;</v>
      </c>
      <c r="D60" t="str">
        <f t="shared" si="9"/>
        <v>&lt;contact&gt;&lt;category&gt;0&lt;/category&gt;&lt;person&gt;&lt;realName&gt;Bruna  (Bookshop)&lt;/realName&gt;&lt;/person&gt;</v>
      </c>
      <c r="E60" t="str">
        <f t="shared" si="10"/>
        <v>&lt;telephony nid="1"&gt;&lt;number id="0" prio="1" type="work"&gt;+31 104212902&lt;/number&gt;&lt;/telephony&gt;</v>
      </c>
      <c r="F60" t="str">
        <f t="shared" si="11"/>
        <v>&lt;telephony nid="1"&gt;</v>
      </c>
      <c r="G60" t="str">
        <f t="shared" si="12"/>
        <v>&lt;number id="0" prio="1" type="work"&gt;+31 104212902&lt;/number&gt;</v>
      </c>
      <c r="H60" t="str">
        <f t="shared" si="13"/>
        <v>&lt;services nid="1"&gt;&lt;email id="0" classifier="private"&gt;&lt;/email&gt;&lt;/services&gt;&lt;setup /&gt;&lt;mod_time&gt;1500000010&lt;/mod_time&gt;&lt;uniqueid&gt;1&lt;/uniqueid&gt;&lt;/contact&gt;</v>
      </c>
      <c r="I60" t="str">
        <f t="shared" si="14"/>
        <v>&lt;services /&gt;&lt;setup /&gt;&lt;mod_time&gt;1500000010&lt;/mod_time&gt;&lt;uniqueid&gt;1&lt;/uniqueid&gt;&lt;/contact&gt;</v>
      </c>
      <c r="J60" t="str">
        <f t="shared" si="15"/>
        <v>&lt;services /&gt;&lt;setup /&gt;&lt;mod_time&gt;1500000010&lt;/mod_time&gt;&lt;uniqueid&gt;1&lt;/uniqueid&gt;&lt;/contact&gt;</v>
      </c>
      <c r="K60" s="5">
        <f t="shared" si="16"/>
        <v>1</v>
      </c>
      <c r="L60" s="5">
        <f t="shared" si="17"/>
        <v>1</v>
      </c>
      <c r="M60" s="5" t="str">
        <f>CONCATENATE(+Contacts!E60)</f>
        <v>+31 104212902</v>
      </c>
      <c r="N60" t="str">
        <f t="shared" si="18"/>
        <v/>
      </c>
      <c r="O60" s="5">
        <f t="shared" si="19"/>
        <v>1</v>
      </c>
      <c r="P60" s="5">
        <f t="shared" si="20"/>
        <v>1</v>
      </c>
      <c r="Q60" s="5" t="str">
        <f>CONCATENATE(+Contacts!G60)</f>
        <v/>
      </c>
      <c r="R60" t="str">
        <f t="shared" si="21"/>
        <v/>
      </c>
      <c r="S60" s="5">
        <f t="shared" si="22"/>
        <v>1</v>
      </c>
      <c r="T60" s="5">
        <f t="shared" si="23"/>
        <v>1</v>
      </c>
      <c r="U60" s="5" t="str">
        <f>CONCATENATE(+Contacts!H60)</f>
        <v/>
      </c>
      <c r="V60" t="str">
        <f t="shared" si="24"/>
        <v/>
      </c>
      <c r="W60" s="5">
        <f t="shared" si="25"/>
        <v>1</v>
      </c>
      <c r="X60" s="5">
        <f t="shared" si="26"/>
        <v>1</v>
      </c>
      <c r="Y60" s="5" t="str">
        <f>CONCATENATE(+Contacts!F60)</f>
        <v/>
      </c>
      <c r="Z60" s="2" t="str">
        <f t="shared" si="27"/>
        <v>Bruna  (Bookshop)</v>
      </c>
      <c r="AA60" s="2" t="str">
        <f>CONCATENATE(+Contacts!C60)</f>
        <v>Bruna</v>
      </c>
      <c r="AB60" s="2" t="str">
        <f t="shared" si="28"/>
        <v xml:space="preserve"> </v>
      </c>
      <c r="AC60" s="2" t="str">
        <f>CONCATENATE(+Contacts!A60)</f>
        <v/>
      </c>
      <c r="AD60" s="3" t="str">
        <f>CONCATENATE(" ",+Contacts!B60)</f>
        <v xml:space="preserve"> </v>
      </c>
      <c r="AE60" s="2" t="str">
        <f t="shared" si="29"/>
        <v>(</v>
      </c>
      <c r="AF60" s="3" t="str">
        <f>CONCATENATE(+Contacts!D60)</f>
        <v>Bookshop</v>
      </c>
      <c r="AG60" s="2" t="str">
        <f t="shared" si="30"/>
        <v>)</v>
      </c>
      <c r="AH60" t="str">
        <f>CONCATENATE(+Contacts!I60)</f>
        <v/>
      </c>
      <c r="AI60">
        <v>1500000010</v>
      </c>
      <c r="AJ60" s="5">
        <f t="shared" si="31"/>
        <v>1</v>
      </c>
    </row>
    <row r="61" spans="1:36" x14ac:dyDescent="0.35">
      <c r="A61" s="7" t="str">
        <f t="shared" si="6"/>
        <v>&lt;contact&gt;&lt;category&gt;0&lt;/category&gt;&lt;person&gt;&lt;realName&gt;Buitendijk, Willeke (Gastvrouw/invalster)&lt;/realName&gt;&lt;/person&gt;</v>
      </c>
      <c r="B61" s="7" t="str">
        <f t="shared" si="7"/>
        <v>&lt;telephony nid="1"&gt;&lt;number id="0" prio="1" type="home"&gt;(010) 451 95 88&lt;/number&gt;&lt;/telephony&gt;</v>
      </c>
      <c r="C61" s="7" t="str">
        <f t="shared" si="8"/>
        <v>&lt;services nid="1"&gt;&lt;email id="0" classifier="private"&gt;willeke.buitendijk@live.nl&lt;/email&gt;&lt;/services&gt;&lt;setup /&gt;&lt;mod_time&gt;1500000010&lt;/mod_time&gt;&lt;uniqueid&gt;1&lt;/uniqueid&gt;&lt;/contact&gt;</v>
      </c>
      <c r="D61" t="str">
        <f t="shared" si="9"/>
        <v>&lt;contact&gt;&lt;category&gt;0&lt;/category&gt;&lt;person&gt;&lt;realName&gt;Buitendijk, Willeke (Gastvrouw/invalster)&lt;/realName&gt;&lt;/person&gt;</v>
      </c>
      <c r="E61" t="str">
        <f t="shared" si="10"/>
        <v>&lt;telephony nid="1"&gt;&lt;number id="0" prio="1" type="home"&gt;(010) 451 95 88&lt;/number&gt;&lt;/telephony&gt;</v>
      </c>
      <c r="F61" t="str">
        <f t="shared" si="11"/>
        <v>&lt;telephony nid="1"&gt;</v>
      </c>
      <c r="G61" t="str">
        <f t="shared" si="12"/>
        <v/>
      </c>
      <c r="H61" t="str">
        <f t="shared" si="13"/>
        <v>&lt;services nid="1"&gt;&lt;email id="0" classifier="private"&gt;willeke.buitendijk@live.nl&lt;/email&gt;&lt;/services&gt;&lt;setup /&gt;&lt;mod_time&gt;1500000010&lt;/mod_time&gt;&lt;uniqueid&gt;1&lt;/uniqueid&gt;&lt;/contact&gt;</v>
      </c>
      <c r="I61" t="str">
        <f t="shared" si="14"/>
        <v>&lt;services /&gt;&lt;setup /&gt;&lt;mod_time&gt;1500000010&lt;/mod_time&gt;&lt;uniqueid&gt;1&lt;/uniqueid&gt;&lt;/contact&gt;</v>
      </c>
      <c r="J61" t="str">
        <f t="shared" si="15"/>
        <v>&lt;services nid="1"&gt;&lt;email id="0" classifier="private"&gt;willeke.buitendijk@live.nl&lt;/email&gt;&lt;/services&gt;&lt;setup /&gt;&lt;mod_time&gt;1500000010&lt;/mod_time&gt;&lt;uniqueid&gt;1&lt;/uniqueid&gt;&lt;/contact&gt;</v>
      </c>
      <c r="K61" s="5">
        <f t="shared" si="16"/>
        <v>0</v>
      </c>
      <c r="L61" s="5">
        <f t="shared" si="17"/>
        <v>0</v>
      </c>
      <c r="M61" s="5" t="str">
        <f>CONCATENATE(+Contacts!E61)</f>
        <v/>
      </c>
      <c r="N61" t="str">
        <f t="shared" si="18"/>
        <v>&lt;number id="0" prio="1" type="home"&gt;(010) 451 95 88&lt;/number&gt;</v>
      </c>
      <c r="O61" s="5">
        <f t="shared" si="19"/>
        <v>1</v>
      </c>
      <c r="P61" s="5">
        <f t="shared" si="20"/>
        <v>1</v>
      </c>
      <c r="Q61" s="5" t="str">
        <f>CONCATENATE(+Contacts!G61)</f>
        <v>(010) 451 95 88</v>
      </c>
      <c r="R61" t="str">
        <f t="shared" si="21"/>
        <v/>
      </c>
      <c r="S61" s="5">
        <f t="shared" si="22"/>
        <v>1</v>
      </c>
      <c r="T61" s="5">
        <f t="shared" si="23"/>
        <v>1</v>
      </c>
      <c r="U61" s="5" t="str">
        <f>CONCATENATE(+Contacts!H61)</f>
        <v/>
      </c>
      <c r="V61" t="str">
        <f t="shared" si="24"/>
        <v/>
      </c>
      <c r="W61" s="5">
        <f t="shared" si="25"/>
        <v>1</v>
      </c>
      <c r="X61" s="5">
        <f t="shared" si="26"/>
        <v>1</v>
      </c>
      <c r="Y61" s="5" t="str">
        <f>CONCATENATE(+Contacts!F61)</f>
        <v/>
      </c>
      <c r="Z61" s="2" t="str">
        <f t="shared" si="27"/>
        <v>Buitendijk, Willeke (Gastvrouw/invalster)</v>
      </c>
      <c r="AA61" s="2" t="str">
        <f>CONCATENATE(+Contacts!C61)</f>
        <v>Buitendijk</v>
      </c>
      <c r="AB61" s="2" t="str">
        <f t="shared" si="28"/>
        <v xml:space="preserve">, </v>
      </c>
      <c r="AC61" s="2" t="str">
        <f>CONCATENATE(+Contacts!A61)</f>
        <v>Willeke</v>
      </c>
      <c r="AD61" s="3" t="str">
        <f>CONCATENATE(" ",+Contacts!B61)</f>
        <v xml:space="preserve"> </v>
      </c>
      <c r="AE61" s="2" t="str">
        <f t="shared" si="29"/>
        <v>(</v>
      </c>
      <c r="AF61" s="3" t="str">
        <f>CONCATENATE(+Contacts!D61)</f>
        <v>Gastvrouw/invalster</v>
      </c>
      <c r="AG61" s="2" t="str">
        <f t="shared" si="30"/>
        <v>)</v>
      </c>
      <c r="AH61" t="str">
        <f>CONCATENATE(+Contacts!I61)</f>
        <v>willeke.buitendijk@live.nl</v>
      </c>
      <c r="AI61">
        <v>1500000010</v>
      </c>
      <c r="AJ61" s="5">
        <f t="shared" si="31"/>
        <v>1</v>
      </c>
    </row>
    <row r="62" spans="1:36" x14ac:dyDescent="0.35">
      <c r="A62" s="7" t="str">
        <f t="shared" si="6"/>
        <v>&lt;contact&gt;&lt;category&gt;0&lt;/category&gt;&lt;person&gt;&lt;realName&gt;Bullens, Marijke   &lt;/realName&gt;&lt;/person&gt;</v>
      </c>
      <c r="B62" s="7" t="str">
        <f t="shared" si="7"/>
        <v>&lt;telephony nid="1"&gt;&lt;number id="0" prio="1" type="mobile"&gt;+31 629459707&lt;/number&gt;&lt;/telephony&gt;</v>
      </c>
      <c r="C62" s="7" t="str">
        <f t="shared" si="8"/>
        <v>&lt;services /&gt;&lt;setup /&gt;&lt;mod_time&gt;1500000010&lt;/mod_time&gt;&lt;uniqueid&gt;1&lt;/uniqueid&gt;&lt;/contact&gt;</v>
      </c>
      <c r="D62" t="str">
        <f t="shared" si="9"/>
        <v>&lt;contact&gt;&lt;category&gt;0&lt;/category&gt;&lt;person&gt;&lt;realName&gt;Bullens, Marijke   &lt;/realName&gt;&lt;/person&gt;</v>
      </c>
      <c r="E62" t="str">
        <f t="shared" si="10"/>
        <v>&lt;telephony nid="1"&gt;&lt;number id="0" prio="1" type="mobile"&gt;+31 629459707&lt;/number&gt;&lt;/telephony&gt;</v>
      </c>
      <c r="F62" t="str">
        <f t="shared" si="11"/>
        <v>&lt;telephony nid="1"&gt;</v>
      </c>
      <c r="G62" t="str">
        <f t="shared" si="12"/>
        <v/>
      </c>
      <c r="H62" t="str">
        <f t="shared" si="13"/>
        <v>&lt;services nid="1"&gt;&lt;email id="0" classifier="private"&gt;&lt;/email&gt;&lt;/services&gt;&lt;setup /&gt;&lt;mod_time&gt;1500000010&lt;/mod_time&gt;&lt;uniqueid&gt;1&lt;/uniqueid&gt;&lt;/contact&gt;</v>
      </c>
      <c r="I62" t="str">
        <f t="shared" si="14"/>
        <v>&lt;services /&gt;&lt;setup /&gt;&lt;mod_time&gt;1500000010&lt;/mod_time&gt;&lt;uniqueid&gt;1&lt;/uniqueid&gt;&lt;/contact&gt;</v>
      </c>
      <c r="J62" t="str">
        <f t="shared" si="15"/>
        <v>&lt;services /&gt;&lt;setup /&gt;&lt;mod_time&gt;1500000010&lt;/mod_time&gt;&lt;uniqueid&gt;1&lt;/uniqueid&gt;&lt;/contact&gt;</v>
      </c>
      <c r="K62" s="5">
        <f t="shared" si="16"/>
        <v>0</v>
      </c>
      <c r="L62" s="5">
        <f t="shared" si="17"/>
        <v>0</v>
      </c>
      <c r="M62" s="5" t="str">
        <f>CONCATENATE(+Contacts!E62)</f>
        <v/>
      </c>
      <c r="N62" t="str">
        <f t="shared" si="18"/>
        <v/>
      </c>
      <c r="O62" s="5">
        <f t="shared" si="19"/>
        <v>0</v>
      </c>
      <c r="P62" s="5">
        <f t="shared" si="20"/>
        <v>0</v>
      </c>
      <c r="Q62" s="5" t="str">
        <f>CONCATENATE(+Contacts!G62)</f>
        <v/>
      </c>
      <c r="R62" t="str">
        <f t="shared" si="21"/>
        <v>&lt;number id="0" prio="1" type="mobile"&gt;+31 629459707&lt;/number&gt;</v>
      </c>
      <c r="S62" s="5">
        <f t="shared" si="22"/>
        <v>1</v>
      </c>
      <c r="T62" s="5">
        <f t="shared" si="23"/>
        <v>1</v>
      </c>
      <c r="U62" s="5" t="str">
        <f>CONCATENATE(+Contacts!H62)</f>
        <v>+31 629459707</v>
      </c>
      <c r="V62" t="str">
        <f t="shared" si="24"/>
        <v/>
      </c>
      <c r="W62" s="5">
        <f t="shared" si="25"/>
        <v>1</v>
      </c>
      <c r="X62" s="5">
        <f t="shared" si="26"/>
        <v>1</v>
      </c>
      <c r="Y62" s="5" t="str">
        <f>CONCATENATE(+Contacts!F62)</f>
        <v/>
      </c>
      <c r="Z62" s="2" t="str">
        <f t="shared" si="27"/>
        <v xml:space="preserve">Bullens, Marijke   </v>
      </c>
      <c r="AA62" s="2" t="str">
        <f>CONCATENATE(+Contacts!C62)</f>
        <v>Bullens</v>
      </c>
      <c r="AB62" s="2" t="str">
        <f t="shared" si="28"/>
        <v xml:space="preserve">, </v>
      </c>
      <c r="AC62" s="2" t="str">
        <f>CONCATENATE(+Contacts!A62)</f>
        <v>Marijke</v>
      </c>
      <c r="AD62" s="3" t="str">
        <f>CONCATENATE(" ",+Contacts!B62)</f>
        <v xml:space="preserve"> </v>
      </c>
      <c r="AE62" s="2" t="str">
        <f t="shared" si="29"/>
        <v xml:space="preserve"> </v>
      </c>
      <c r="AF62" s="3" t="str">
        <f>CONCATENATE(+Contacts!D62)</f>
        <v/>
      </c>
      <c r="AG62" s="2" t="str">
        <f t="shared" si="30"/>
        <v xml:space="preserve"> </v>
      </c>
      <c r="AH62" t="str">
        <f>CONCATENATE(+Contacts!I62)</f>
        <v/>
      </c>
      <c r="AI62">
        <v>1500000010</v>
      </c>
      <c r="AJ62" s="5">
        <f t="shared" si="31"/>
        <v>1</v>
      </c>
    </row>
    <row r="63" spans="1:36" x14ac:dyDescent="0.35">
      <c r="A63" s="7" t="str">
        <f t="shared" si="6"/>
        <v>&lt;contact&gt;&lt;category&gt;0&lt;/category&gt;&lt;person&gt;&lt;realName&gt;Burck, Carin du  &lt;/realName&gt;&lt;/person&gt;</v>
      </c>
      <c r="B63" s="7" t="str">
        <f t="shared" si="7"/>
        <v>&lt;telephony nid="1"&gt;&lt;number id="0" prio="1" type="mobile"&gt;+31 654646501&lt;/number&gt;&lt;/telephony&gt;</v>
      </c>
      <c r="C63" s="7" t="str">
        <f t="shared" si="8"/>
        <v>&lt;services nid="1"&gt;&lt;email id="0" classifier="private"&gt;carinduburck@gmail.com&lt;/email&gt;&lt;/services&gt;&lt;setup /&gt;&lt;mod_time&gt;1500000010&lt;/mod_time&gt;&lt;uniqueid&gt;1&lt;/uniqueid&gt;&lt;/contact&gt;</v>
      </c>
      <c r="D63" t="str">
        <f t="shared" si="9"/>
        <v>&lt;contact&gt;&lt;category&gt;0&lt;/category&gt;&lt;person&gt;&lt;realName&gt;Burck, Carin du  &lt;/realName&gt;&lt;/person&gt;</v>
      </c>
      <c r="E63" t="str">
        <f t="shared" si="10"/>
        <v>&lt;telephony nid="1"&gt;&lt;number id="0" prio="1" type="mobile"&gt;+31 654646501&lt;/number&gt;&lt;/telephony&gt;</v>
      </c>
      <c r="F63" t="str">
        <f t="shared" si="11"/>
        <v>&lt;telephony nid="1"&gt;</v>
      </c>
      <c r="G63" t="str">
        <f t="shared" si="12"/>
        <v/>
      </c>
      <c r="H63" t="str">
        <f t="shared" si="13"/>
        <v>&lt;services nid="1"&gt;&lt;email id="0" classifier="private"&gt;carinduburck@gmail.com&lt;/email&gt;&lt;/services&gt;&lt;setup /&gt;&lt;mod_time&gt;1500000010&lt;/mod_time&gt;&lt;uniqueid&gt;1&lt;/uniqueid&gt;&lt;/contact&gt;</v>
      </c>
      <c r="I63" t="str">
        <f t="shared" si="14"/>
        <v>&lt;services /&gt;&lt;setup /&gt;&lt;mod_time&gt;1500000010&lt;/mod_time&gt;&lt;uniqueid&gt;1&lt;/uniqueid&gt;&lt;/contact&gt;</v>
      </c>
      <c r="J63" t="str">
        <f t="shared" si="15"/>
        <v>&lt;services nid="1"&gt;&lt;email id="0" classifier="private"&gt;carinduburck@gmail.com&lt;/email&gt;&lt;/services&gt;&lt;setup /&gt;&lt;mod_time&gt;1500000010&lt;/mod_time&gt;&lt;uniqueid&gt;1&lt;/uniqueid&gt;&lt;/contact&gt;</v>
      </c>
      <c r="K63" s="5">
        <f t="shared" si="16"/>
        <v>0</v>
      </c>
      <c r="L63" s="5">
        <f t="shared" si="17"/>
        <v>0</v>
      </c>
      <c r="M63" s="5" t="str">
        <f>CONCATENATE(+Contacts!E63)</f>
        <v/>
      </c>
      <c r="N63" t="str">
        <f t="shared" si="18"/>
        <v/>
      </c>
      <c r="O63" s="5">
        <f t="shared" si="19"/>
        <v>0</v>
      </c>
      <c r="P63" s="5">
        <f t="shared" si="20"/>
        <v>0</v>
      </c>
      <c r="Q63" s="5" t="str">
        <f>CONCATENATE(+Contacts!G63)</f>
        <v/>
      </c>
      <c r="R63" t="str">
        <f t="shared" si="21"/>
        <v>&lt;number id="0" prio="1" type="mobile"&gt;+31 654646501&lt;/number&gt;</v>
      </c>
      <c r="S63" s="5">
        <f t="shared" si="22"/>
        <v>1</v>
      </c>
      <c r="T63" s="5">
        <f t="shared" si="23"/>
        <v>1</v>
      </c>
      <c r="U63" s="5" t="str">
        <f>CONCATENATE(+Contacts!H63)</f>
        <v>+31 654646501</v>
      </c>
      <c r="V63" t="str">
        <f t="shared" si="24"/>
        <v/>
      </c>
      <c r="W63" s="5">
        <f t="shared" si="25"/>
        <v>1</v>
      </c>
      <c r="X63" s="5">
        <f t="shared" si="26"/>
        <v>1</v>
      </c>
      <c r="Y63" s="5" t="str">
        <f>CONCATENATE(+Contacts!F63)</f>
        <v/>
      </c>
      <c r="Z63" s="2" t="str">
        <f t="shared" si="27"/>
        <v xml:space="preserve">Burck, Carin du  </v>
      </c>
      <c r="AA63" s="2" t="str">
        <f>CONCATENATE(+Contacts!C63)</f>
        <v>Burck</v>
      </c>
      <c r="AB63" s="2" t="str">
        <f t="shared" si="28"/>
        <v xml:space="preserve">, </v>
      </c>
      <c r="AC63" s="2" t="str">
        <f>CONCATENATE(+Contacts!A63)</f>
        <v>Carin</v>
      </c>
      <c r="AD63" s="3" t="str">
        <f>CONCATENATE(" ",+Contacts!B63)</f>
        <v xml:space="preserve"> du</v>
      </c>
      <c r="AE63" s="2" t="str">
        <f t="shared" si="29"/>
        <v xml:space="preserve"> </v>
      </c>
      <c r="AF63" s="3" t="str">
        <f>CONCATENATE(+Contacts!D63)</f>
        <v/>
      </c>
      <c r="AG63" s="2" t="str">
        <f t="shared" si="30"/>
        <v xml:space="preserve"> </v>
      </c>
      <c r="AH63" t="str">
        <f>CONCATENATE(+Contacts!I63)</f>
        <v>carinduburck@gmail.com</v>
      </c>
      <c r="AI63">
        <v>1500000010</v>
      </c>
      <c r="AJ63" s="5">
        <f t="shared" si="31"/>
        <v>1</v>
      </c>
    </row>
    <row r="64" spans="1:36" x14ac:dyDescent="0.35">
      <c r="A64" s="7" t="str">
        <f t="shared" si="6"/>
        <v>&lt;contact&gt;&lt;category&gt;0&lt;/category&gt;&lt;person&gt;&lt;realName&gt;Buré, Rob   &lt;/realName&gt;&lt;/person&gt;</v>
      </c>
      <c r="B64" s="7" t="str">
        <f t="shared" si="7"/>
        <v>&lt;telephony nid="2"&gt;&lt;number id="0" prio="1" type="home"&gt;+31 317414866&lt;/number&gt;&lt;number id="1" prio="0" type="mobile"&gt;+31 646775288&lt;/number&gt;&lt;/telephony&gt;</v>
      </c>
      <c r="C64" s="7" t="str">
        <f t="shared" si="8"/>
        <v>&lt;services nid="1"&gt;&lt;email id="0" classifier="private"&gt;r.bure@upcmail.nl&lt;/email&gt;&lt;/services&gt;&lt;setup /&gt;&lt;mod_time&gt;1500000010&lt;/mod_time&gt;&lt;uniqueid&gt;1&lt;/uniqueid&gt;&lt;/contact&gt;</v>
      </c>
      <c r="D64" t="str">
        <f t="shared" si="9"/>
        <v>&lt;contact&gt;&lt;category&gt;0&lt;/category&gt;&lt;person&gt;&lt;realName&gt;Buré, Rob   &lt;/realName&gt;&lt;/person&gt;</v>
      </c>
      <c r="E64" t="str">
        <f t="shared" si="10"/>
        <v>&lt;telephony nid="2"&gt;&lt;number id="0" prio="1" type="home"&gt;+31 317414866&lt;/number&gt;&lt;number id="1" prio="0" type="mobile"&gt;+31 646775288&lt;/number&gt;&lt;/telephony&gt;</v>
      </c>
      <c r="F64" t="str">
        <f t="shared" si="11"/>
        <v>&lt;telephony nid="2"&gt;</v>
      </c>
      <c r="G64" t="str">
        <f t="shared" si="12"/>
        <v/>
      </c>
      <c r="H64" t="str">
        <f t="shared" si="13"/>
        <v>&lt;services nid="1"&gt;&lt;email id="0" classifier="private"&gt;r.bure@upcmail.nl&lt;/email&gt;&lt;/services&gt;&lt;setup /&gt;&lt;mod_time&gt;1500000010&lt;/mod_time&gt;&lt;uniqueid&gt;1&lt;/uniqueid&gt;&lt;/contact&gt;</v>
      </c>
      <c r="I64" t="str">
        <f t="shared" si="14"/>
        <v>&lt;services /&gt;&lt;setup /&gt;&lt;mod_time&gt;1500000010&lt;/mod_time&gt;&lt;uniqueid&gt;1&lt;/uniqueid&gt;&lt;/contact&gt;</v>
      </c>
      <c r="J64" t="str">
        <f t="shared" si="15"/>
        <v>&lt;services nid="1"&gt;&lt;email id="0" classifier="private"&gt;r.bure@upcmail.nl&lt;/email&gt;&lt;/services&gt;&lt;setup /&gt;&lt;mod_time&gt;1500000010&lt;/mod_time&gt;&lt;uniqueid&gt;1&lt;/uniqueid&gt;&lt;/contact&gt;</v>
      </c>
      <c r="K64" s="5">
        <f t="shared" si="16"/>
        <v>0</v>
      </c>
      <c r="L64" s="5">
        <f t="shared" si="17"/>
        <v>0</v>
      </c>
      <c r="M64" s="5" t="str">
        <f>CONCATENATE(+Contacts!E64)</f>
        <v/>
      </c>
      <c r="N64" t="str">
        <f t="shared" si="18"/>
        <v>&lt;number id="0" prio="1" type="home"&gt;+31 317414866&lt;/number&gt;</v>
      </c>
      <c r="O64" s="5">
        <f t="shared" si="19"/>
        <v>1</v>
      </c>
      <c r="P64" s="5">
        <f t="shared" si="20"/>
        <v>1</v>
      </c>
      <c r="Q64" s="5" t="str">
        <f>CONCATENATE(+Contacts!G64)</f>
        <v>+31 317414866</v>
      </c>
      <c r="R64" t="str">
        <f t="shared" si="21"/>
        <v>&lt;number id="1" prio="0" type="mobile"&gt;+31 646775288&lt;/number&gt;</v>
      </c>
      <c r="S64" s="5">
        <f t="shared" si="22"/>
        <v>2</v>
      </c>
      <c r="T64" s="5">
        <f t="shared" si="23"/>
        <v>0</v>
      </c>
      <c r="U64" s="5" t="str">
        <f>CONCATENATE(+Contacts!H64)</f>
        <v>+31 646775288</v>
      </c>
      <c r="V64" t="str">
        <f t="shared" si="24"/>
        <v/>
      </c>
      <c r="W64" s="5">
        <f t="shared" si="25"/>
        <v>2</v>
      </c>
      <c r="X64" s="5">
        <f t="shared" si="26"/>
        <v>0</v>
      </c>
      <c r="Y64" s="5" t="str">
        <f>CONCATENATE(+Contacts!F64)</f>
        <v/>
      </c>
      <c r="Z64" s="2" t="str">
        <f t="shared" si="27"/>
        <v xml:space="preserve">Buré, Rob   </v>
      </c>
      <c r="AA64" s="2" t="str">
        <f>CONCATENATE(+Contacts!C64)</f>
        <v>Buré</v>
      </c>
      <c r="AB64" s="2" t="str">
        <f t="shared" si="28"/>
        <v xml:space="preserve">, </v>
      </c>
      <c r="AC64" s="2" t="str">
        <f>CONCATENATE(+Contacts!A64)</f>
        <v>Rob</v>
      </c>
      <c r="AD64" s="3" t="str">
        <f>CONCATENATE(" ",+Contacts!B64)</f>
        <v xml:space="preserve"> </v>
      </c>
      <c r="AE64" s="2" t="str">
        <f t="shared" si="29"/>
        <v xml:space="preserve"> </v>
      </c>
      <c r="AF64" s="3" t="str">
        <f>CONCATENATE(+Contacts!D64)</f>
        <v/>
      </c>
      <c r="AG64" s="2" t="str">
        <f t="shared" si="30"/>
        <v xml:space="preserve"> </v>
      </c>
      <c r="AH64" t="str">
        <f>CONCATENATE(+Contacts!I64)</f>
        <v>r.bure@upcmail.nl</v>
      </c>
      <c r="AI64">
        <v>1500000010</v>
      </c>
      <c r="AJ64" s="5">
        <f t="shared" si="31"/>
        <v>1</v>
      </c>
    </row>
    <row r="65" spans="1:36" x14ac:dyDescent="0.35">
      <c r="A65" s="7" t="str">
        <f t="shared" si="6"/>
        <v>&lt;contact&gt;&lt;category&gt;0&lt;/category&gt;&lt;person&gt;&lt;realName&gt;Burger, Johan   &lt;/realName&gt;&lt;/person&gt;</v>
      </c>
      <c r="B65" s="7" t="str">
        <f t="shared" si="7"/>
        <v>&lt;telephony nid="1"&gt;&lt;number id="0" prio="1" type="home"&gt;+31 297 522636&lt;/number&gt;&lt;/telephony&gt;</v>
      </c>
      <c r="C65" s="7" t="str">
        <f t="shared" si="8"/>
        <v>&lt;services nid="1"&gt;&lt;email id="0" classifier="private"&gt;jobstijdingen@hotmail.com&lt;/email&gt;&lt;/services&gt;&lt;setup /&gt;&lt;mod_time&gt;1500000010&lt;/mod_time&gt;&lt;uniqueid&gt;1&lt;/uniqueid&gt;&lt;/contact&gt;</v>
      </c>
      <c r="D65" t="str">
        <f t="shared" si="9"/>
        <v>&lt;contact&gt;&lt;category&gt;0&lt;/category&gt;&lt;person&gt;&lt;realName&gt;Burger, Johan   &lt;/realName&gt;&lt;/person&gt;</v>
      </c>
      <c r="E65" t="str">
        <f t="shared" si="10"/>
        <v>&lt;telephony nid="1"&gt;&lt;number id="0" prio="1" type="home"&gt;+31 297 522636&lt;/number&gt;&lt;/telephony&gt;</v>
      </c>
      <c r="F65" t="str">
        <f t="shared" si="11"/>
        <v>&lt;telephony nid="1"&gt;</v>
      </c>
      <c r="G65" t="str">
        <f t="shared" si="12"/>
        <v/>
      </c>
      <c r="H65" t="str">
        <f t="shared" si="13"/>
        <v>&lt;services nid="1"&gt;&lt;email id="0" classifier="private"&gt;jobstijdingen@hotmail.com&lt;/email&gt;&lt;/services&gt;&lt;setup /&gt;&lt;mod_time&gt;1500000010&lt;/mod_time&gt;&lt;uniqueid&gt;1&lt;/uniqueid&gt;&lt;/contact&gt;</v>
      </c>
      <c r="I65" t="str">
        <f t="shared" si="14"/>
        <v>&lt;services /&gt;&lt;setup /&gt;&lt;mod_time&gt;1500000010&lt;/mod_time&gt;&lt;uniqueid&gt;1&lt;/uniqueid&gt;&lt;/contact&gt;</v>
      </c>
      <c r="J65" t="str">
        <f t="shared" si="15"/>
        <v>&lt;services nid="1"&gt;&lt;email id="0" classifier="private"&gt;jobstijdingen@hotmail.com&lt;/email&gt;&lt;/services&gt;&lt;setup /&gt;&lt;mod_time&gt;1500000010&lt;/mod_time&gt;&lt;uniqueid&gt;1&lt;/uniqueid&gt;&lt;/contact&gt;</v>
      </c>
      <c r="K65" s="5">
        <f t="shared" si="16"/>
        <v>0</v>
      </c>
      <c r="L65" s="5">
        <f t="shared" si="17"/>
        <v>0</v>
      </c>
      <c r="M65" s="5" t="str">
        <f>CONCATENATE(+Contacts!E65)</f>
        <v/>
      </c>
      <c r="N65" t="str">
        <f t="shared" si="18"/>
        <v>&lt;number id="0" prio="1" type="home"&gt;+31 297 522636&lt;/number&gt;</v>
      </c>
      <c r="O65" s="5">
        <f t="shared" si="19"/>
        <v>1</v>
      </c>
      <c r="P65" s="5">
        <f t="shared" si="20"/>
        <v>1</v>
      </c>
      <c r="Q65" s="5" t="str">
        <f>CONCATENATE(+Contacts!G65)</f>
        <v>+31 297 522636</v>
      </c>
      <c r="R65" t="str">
        <f t="shared" si="21"/>
        <v/>
      </c>
      <c r="S65" s="5">
        <f t="shared" si="22"/>
        <v>1</v>
      </c>
      <c r="T65" s="5">
        <f t="shared" si="23"/>
        <v>1</v>
      </c>
      <c r="U65" s="5" t="str">
        <f>CONCATENATE(+Contacts!H65)</f>
        <v/>
      </c>
      <c r="V65" t="str">
        <f t="shared" si="24"/>
        <v/>
      </c>
      <c r="W65" s="5">
        <f t="shared" si="25"/>
        <v>1</v>
      </c>
      <c r="X65" s="5">
        <f t="shared" si="26"/>
        <v>1</v>
      </c>
      <c r="Y65" s="5" t="str">
        <f>CONCATENATE(+Contacts!F65)</f>
        <v/>
      </c>
      <c r="Z65" s="2" t="str">
        <f t="shared" si="27"/>
        <v xml:space="preserve">Burger, Johan   </v>
      </c>
      <c r="AA65" s="2" t="str">
        <f>CONCATENATE(+Contacts!C65)</f>
        <v>Burger</v>
      </c>
      <c r="AB65" s="2" t="str">
        <f t="shared" si="28"/>
        <v xml:space="preserve">, </v>
      </c>
      <c r="AC65" s="2" t="str">
        <f>CONCATENATE(+Contacts!A65)</f>
        <v>Johan</v>
      </c>
      <c r="AD65" s="3" t="str">
        <f>CONCATENATE(" ",+Contacts!B65)</f>
        <v xml:space="preserve"> </v>
      </c>
      <c r="AE65" s="2" t="str">
        <f t="shared" si="29"/>
        <v xml:space="preserve"> </v>
      </c>
      <c r="AF65" s="3" t="str">
        <f>CONCATENATE(+Contacts!D65)</f>
        <v/>
      </c>
      <c r="AG65" s="2" t="str">
        <f t="shared" si="30"/>
        <v xml:space="preserve"> </v>
      </c>
      <c r="AH65" t="str">
        <f>CONCATENATE(+Contacts!I65)</f>
        <v>jobstijdingen@hotmail.com</v>
      </c>
      <c r="AI65">
        <v>1500000010</v>
      </c>
      <c r="AJ65" s="5">
        <f t="shared" si="31"/>
        <v>1</v>
      </c>
    </row>
    <row r="66" spans="1:36" x14ac:dyDescent="0.35">
      <c r="A66" s="7" t="str">
        <f t="shared" si="6"/>
        <v>&lt;contact&gt;&lt;category&gt;0&lt;/category&gt;&lt;person&gt;&lt;realName&gt;Buurman, Joop   &lt;/realName&gt;&lt;/person&gt;</v>
      </c>
      <c r="B66" s="7" t="str">
        <f t="shared" si="7"/>
        <v>&lt;telephony nid="1"&gt;&lt;number id="0" prio="1" type="mobile"&gt;(010) 841 51 28&lt;/number&gt;&lt;/telephony&gt;</v>
      </c>
      <c r="C66" s="7" t="str">
        <f t="shared" si="8"/>
        <v>&lt;services /&gt;&lt;setup /&gt;&lt;mod_time&gt;1500000010&lt;/mod_time&gt;&lt;uniqueid&gt;1&lt;/uniqueid&gt;&lt;/contact&gt;</v>
      </c>
      <c r="D66" t="str">
        <f t="shared" si="9"/>
        <v>&lt;contact&gt;&lt;category&gt;0&lt;/category&gt;&lt;person&gt;&lt;realName&gt;Buurman, Joop   &lt;/realName&gt;&lt;/person&gt;</v>
      </c>
      <c r="E66" t="str">
        <f t="shared" si="10"/>
        <v>&lt;telephony nid="1"&gt;&lt;number id="0" prio="1" type="mobile"&gt;(010) 841 51 28&lt;/number&gt;&lt;/telephony&gt;</v>
      </c>
      <c r="F66" t="str">
        <f t="shared" si="11"/>
        <v>&lt;telephony nid="1"&gt;</v>
      </c>
      <c r="G66" t="str">
        <f t="shared" si="12"/>
        <v/>
      </c>
      <c r="H66" t="str">
        <f t="shared" si="13"/>
        <v>&lt;services nid="1"&gt;&lt;email id="0" classifier="private"&gt;&lt;/email&gt;&lt;/services&gt;&lt;setup /&gt;&lt;mod_time&gt;1500000010&lt;/mod_time&gt;&lt;uniqueid&gt;1&lt;/uniqueid&gt;&lt;/contact&gt;</v>
      </c>
      <c r="I66" t="str">
        <f t="shared" si="14"/>
        <v>&lt;services /&gt;&lt;setup /&gt;&lt;mod_time&gt;1500000010&lt;/mod_time&gt;&lt;uniqueid&gt;1&lt;/uniqueid&gt;&lt;/contact&gt;</v>
      </c>
      <c r="J66" t="str">
        <f t="shared" si="15"/>
        <v>&lt;services /&gt;&lt;setup /&gt;&lt;mod_time&gt;1500000010&lt;/mod_time&gt;&lt;uniqueid&gt;1&lt;/uniqueid&gt;&lt;/contact&gt;</v>
      </c>
      <c r="K66" s="5">
        <f t="shared" si="16"/>
        <v>0</v>
      </c>
      <c r="L66" s="5">
        <f t="shared" si="17"/>
        <v>0</v>
      </c>
      <c r="M66" s="5" t="str">
        <f>CONCATENATE(+Contacts!E66)</f>
        <v/>
      </c>
      <c r="N66" t="str">
        <f t="shared" si="18"/>
        <v/>
      </c>
      <c r="O66" s="5">
        <f t="shared" si="19"/>
        <v>0</v>
      </c>
      <c r="P66" s="5">
        <f t="shared" si="20"/>
        <v>0</v>
      </c>
      <c r="Q66" s="5" t="str">
        <f>CONCATENATE(+Contacts!G66)</f>
        <v/>
      </c>
      <c r="R66" t="str">
        <f t="shared" si="21"/>
        <v>&lt;number id="0" prio="1" type="mobile"&gt;(010) 841 51 28&lt;/number&gt;</v>
      </c>
      <c r="S66" s="5">
        <f t="shared" si="22"/>
        <v>1</v>
      </c>
      <c r="T66" s="5">
        <f t="shared" si="23"/>
        <v>1</v>
      </c>
      <c r="U66" s="5" t="str">
        <f>CONCATENATE(+Contacts!H66)</f>
        <v>(010) 841 51 28</v>
      </c>
      <c r="V66" t="str">
        <f t="shared" si="24"/>
        <v/>
      </c>
      <c r="W66" s="5">
        <f t="shared" si="25"/>
        <v>1</v>
      </c>
      <c r="X66" s="5">
        <f t="shared" si="26"/>
        <v>1</v>
      </c>
      <c r="Y66" s="5" t="str">
        <f>CONCATENATE(+Contacts!F66)</f>
        <v/>
      </c>
      <c r="Z66" s="2" t="str">
        <f t="shared" si="27"/>
        <v xml:space="preserve">Buurman, Joop   </v>
      </c>
      <c r="AA66" s="2" t="str">
        <f>CONCATENATE(+Contacts!C66)</f>
        <v>Buurman</v>
      </c>
      <c r="AB66" s="2" t="str">
        <f t="shared" si="28"/>
        <v xml:space="preserve">, </v>
      </c>
      <c r="AC66" s="2" t="str">
        <f>CONCATENATE(+Contacts!A66)</f>
        <v>Joop</v>
      </c>
      <c r="AD66" s="3" t="str">
        <f>CONCATENATE(" ",+Contacts!B66)</f>
        <v xml:space="preserve"> </v>
      </c>
      <c r="AE66" s="2" t="str">
        <f t="shared" si="29"/>
        <v xml:space="preserve"> </v>
      </c>
      <c r="AF66" s="3" t="str">
        <f>CONCATENATE(+Contacts!D66)</f>
        <v/>
      </c>
      <c r="AG66" s="2" t="str">
        <f t="shared" si="30"/>
        <v xml:space="preserve"> </v>
      </c>
      <c r="AH66" t="str">
        <f>CONCATENATE(+Contacts!I66)</f>
        <v/>
      </c>
      <c r="AI66">
        <v>1500000010</v>
      </c>
      <c r="AJ66" s="5">
        <f t="shared" si="31"/>
        <v>1</v>
      </c>
    </row>
    <row r="67" spans="1:36" x14ac:dyDescent="0.35">
      <c r="A67" s="7" t="str">
        <f t="shared" ref="A67:A130" si="32">IF(+W67 = 0,"",+D67)</f>
        <v>&lt;contact&gt;&lt;category&gt;0&lt;/category&gt;&lt;person&gt;&lt;realName&gt;Carnegie Cottage  (Hotel)&lt;/realName&gt;&lt;/person&gt;</v>
      </c>
      <c r="B67" s="7" t="str">
        <f t="shared" ref="B67:B130" si="33">IF(+W67 = 0,"",+E67)</f>
        <v>&lt;telephony nid="1"&gt;&lt;number id="0" prio="1" type="work"&gt;+31 318591220&lt;/number&gt;&lt;/telephony&gt;</v>
      </c>
      <c r="C67" s="7" t="str">
        <f t="shared" ref="C67:C130" si="34">IF(+W67 = 0,"",+J67)</f>
        <v>&lt;services /&gt;&lt;setup /&gt;&lt;mod_time&gt;1500000010&lt;/mod_time&gt;&lt;uniqueid&gt;1&lt;/uniqueid&gt;&lt;/contact&gt;</v>
      </c>
      <c r="D67" t="str">
        <f t="shared" ref="D67:D130" si="35">CONCATENATE("&lt;contact&gt;&lt;category&gt;0&lt;/category&gt;&lt;person&gt;&lt;realName&gt;",+Z67,"&lt;/realName&gt;&lt;/person&gt;")</f>
        <v>&lt;contact&gt;&lt;category&gt;0&lt;/category&gt;&lt;person&gt;&lt;realName&gt;Carnegie Cottage  (Hotel)&lt;/realName&gt;&lt;/person&gt;</v>
      </c>
      <c r="E67" t="str">
        <f t="shared" ref="E67:E130" si="36">CONCATENATE(+F67,+G67,+N67,+R67,+V67,"&lt;/telephony&gt;")</f>
        <v>&lt;telephony nid="1"&gt;&lt;number id="0" prio="1" type="work"&gt;+31 318591220&lt;/number&gt;&lt;/telephony&gt;</v>
      </c>
      <c r="F67" t="str">
        <f t="shared" ref="F67:F130" si="37">CONCATENATE("&lt;telephony nid=""",+W67,"""&gt;")</f>
        <v>&lt;telephony nid="1"&gt;</v>
      </c>
      <c r="G67" t="str">
        <f t="shared" ref="G67:G130" si="38">IF(+K67 &gt; 0,+CONCATENATE("&lt;number id=""",+K67-1,""" prio=""",+L67,""" type=""work""&gt;",+M67,"&lt;/number&gt;"),"")</f>
        <v>&lt;number id="0" prio="1" type="work"&gt;+31 318591220&lt;/number&gt;</v>
      </c>
      <c r="H67" t="str">
        <f t="shared" ref="H67:H130" si="39">CONCATENATE("&lt;services nid=""1""&gt;&lt;email id=""0"" classifier=""private""&gt;",+AH67,"&lt;/email&gt;&lt;/services&gt;&lt;setup /&gt;&lt;mod_time&gt;",+AI67,"&lt;/mod_time&gt;&lt;uniqueid&gt;",+AJ67,"&lt;/uniqueid&gt;&lt;/contact&gt;")</f>
        <v>&lt;services nid="1"&gt;&lt;email id="0" classifier="private"&gt;&lt;/email&gt;&lt;/services&gt;&lt;setup /&gt;&lt;mod_time&gt;1500000010&lt;/mod_time&gt;&lt;uniqueid&gt;1&lt;/uniqueid&gt;&lt;/contact&gt;</v>
      </c>
      <c r="I67" t="str">
        <f t="shared" ref="I67:I130" si="40">CONCATENATE("&lt;services /&gt;&lt;setup /&gt;&lt;mod_time&gt;",+AI67,"&lt;/mod_time&gt;&lt;uniqueid&gt;",+AJ67,"&lt;/uniqueid&gt;&lt;/contact&gt;")</f>
        <v>&lt;services /&gt;&lt;setup /&gt;&lt;mod_time&gt;1500000010&lt;/mod_time&gt;&lt;uniqueid&gt;1&lt;/uniqueid&gt;&lt;/contact&gt;</v>
      </c>
      <c r="J67" t="str">
        <f t="shared" ref="J67:J130" si="41">+IF(+AH67 = "",+I67,+H67)</f>
        <v>&lt;services /&gt;&lt;setup /&gt;&lt;mod_time&gt;1500000010&lt;/mod_time&gt;&lt;uniqueid&gt;1&lt;/uniqueid&gt;&lt;/contact&gt;</v>
      </c>
      <c r="K67" s="5">
        <f t="shared" ref="K67:K130" si="42">IF(+M67 = "",0,1)</f>
        <v>1</v>
      </c>
      <c r="L67" s="5">
        <f t="shared" ref="L67:L130" si="43">IF(+K67 = 1,1,0)</f>
        <v>1</v>
      </c>
      <c r="M67" s="5" t="str">
        <f>CONCATENATE(+Contacts!E67)</f>
        <v>+31 318591220</v>
      </c>
      <c r="N67" t="str">
        <f t="shared" ref="N67:N130" si="44">IF(+O67 &gt; +K67,+CONCATENATE("&lt;number id=""",+O67-1,""" prio=""",+P67,""" type=""home""&gt;",+Q67,"&lt;/number&gt;"),"")</f>
        <v/>
      </c>
      <c r="O67" s="5">
        <f t="shared" ref="O67:O130" si="45">IF(+Q67 = "",+K67,+K67+1)</f>
        <v>1</v>
      </c>
      <c r="P67" s="5">
        <f t="shared" ref="P67:P130" si="46">IF(+O67 = 1,1,0)</f>
        <v>1</v>
      </c>
      <c r="Q67" s="5" t="str">
        <f>CONCATENATE(+Contacts!G67)</f>
        <v/>
      </c>
      <c r="R67" t="str">
        <f t="shared" ref="R67:R130" si="47">IF(+S67 &gt; +O67,+CONCATENATE("&lt;number id=""",+S67-1,""" prio=""",+T67,""" type=""mobile""&gt;",+U67,"&lt;/number&gt;"),"")</f>
        <v/>
      </c>
      <c r="S67" s="5">
        <f t="shared" ref="S67:S130" si="48">IF(+U67 = "",+O67,+O67+1)</f>
        <v>1</v>
      </c>
      <c r="T67" s="5">
        <f t="shared" ref="T67:T130" si="49">IF(+S67 = 1,1,0)</f>
        <v>1</v>
      </c>
      <c r="U67" s="5" t="str">
        <f>CONCATENATE(+Contacts!H67)</f>
        <v/>
      </c>
      <c r="V67" t="str">
        <f t="shared" ref="V67:V130" si="50">IF(+W67 &gt; +S67,+CONCATENATE("&lt;number id=""",+W67-1,""" prio=""",+X67,""" type=""work""&gt;",+Y67,"&lt;/number&gt;"),"")</f>
        <v/>
      </c>
      <c r="W67" s="5">
        <f t="shared" ref="W67:W130" si="51">IF(+Y67 = "",+S67,+S67+1)</f>
        <v>1</v>
      </c>
      <c r="X67" s="5">
        <f t="shared" ref="X67:X130" si="52">IF(+W67 = 1,1,0)</f>
        <v>1</v>
      </c>
      <c r="Y67" s="5" t="str">
        <f>CONCATENATE(+Contacts!F67)</f>
        <v/>
      </c>
      <c r="Z67" s="2" t="str">
        <f t="shared" ref="Z67:Z130" si="53">CONCATENATE(+AA67,+AB67,+AC67,+AD67,+AE67,+AF67,+AG67)</f>
        <v>Carnegie Cottage  (Hotel)</v>
      </c>
      <c r="AA67" s="2" t="str">
        <f>CONCATENATE(+Contacts!C67)</f>
        <v>Carnegie Cottage</v>
      </c>
      <c r="AB67" s="2" t="str">
        <f t="shared" ref="AB67:AB130" si="54">IF(+AC67 = ""," ",", ")</f>
        <v xml:space="preserve"> </v>
      </c>
      <c r="AC67" s="2" t="str">
        <f>CONCATENATE(+Contacts!A67)</f>
        <v/>
      </c>
      <c r="AD67" s="3" t="str">
        <f>CONCATENATE(" ",+Contacts!B67)</f>
        <v xml:space="preserve"> </v>
      </c>
      <c r="AE67" s="2" t="str">
        <f t="shared" ref="AE67:AE130" si="55">IF(+AF67 = ""," ","(")</f>
        <v>(</v>
      </c>
      <c r="AF67" s="3" t="str">
        <f>CONCATENATE(+Contacts!D67)</f>
        <v>Hotel</v>
      </c>
      <c r="AG67" s="2" t="str">
        <f t="shared" ref="AG67:AG130" si="56">IF(+AF67 = ""," ",")")</f>
        <v>)</v>
      </c>
      <c r="AH67" t="str">
        <f>CONCATENATE(+Contacts!I67)</f>
        <v/>
      </c>
      <c r="AI67">
        <v>1500000010</v>
      </c>
      <c r="AJ67" s="5">
        <f t="shared" ref="AJ67:AJ130" si="57">IF(+W67 = 0,0,1)</f>
        <v>1</v>
      </c>
    </row>
    <row r="68" spans="1:36" x14ac:dyDescent="0.35">
      <c r="A68" s="7" t="str">
        <f t="shared" si="32"/>
        <v/>
      </c>
      <c r="B68" s="7" t="str">
        <f t="shared" si="33"/>
        <v/>
      </c>
      <c r="C68" s="7" t="str">
        <f t="shared" si="34"/>
        <v/>
      </c>
      <c r="D68" t="str">
        <f t="shared" si="35"/>
        <v>&lt;contact&gt;&lt;category&gt;0&lt;/category&gt;&lt;person&gt;&lt;realName&gt;Castet, Arnaud   &lt;/realName&gt;&lt;/person&gt;</v>
      </c>
      <c r="E68" t="str">
        <f t="shared" si="36"/>
        <v>&lt;telephony nid="0"&gt;&lt;/telephony&gt;</v>
      </c>
      <c r="F68" t="str">
        <f t="shared" si="37"/>
        <v>&lt;telephony nid="0"&gt;</v>
      </c>
      <c r="G68" t="str">
        <f t="shared" si="38"/>
        <v/>
      </c>
      <c r="H68" t="str">
        <f t="shared" si="39"/>
        <v>&lt;services nid="1"&gt;&lt;email id="0" classifier="private"&gt;&lt;/email&gt;&lt;/services&gt;&lt;setup /&gt;&lt;mod_time&gt;1500000010&lt;/mod_time&gt;&lt;uniqueid&gt;0&lt;/uniqueid&gt;&lt;/contact&gt;</v>
      </c>
      <c r="I68" t="str">
        <f t="shared" si="40"/>
        <v>&lt;services /&gt;&lt;setup /&gt;&lt;mod_time&gt;1500000010&lt;/mod_time&gt;&lt;uniqueid&gt;0&lt;/uniqueid&gt;&lt;/contact&gt;</v>
      </c>
      <c r="J68" t="str">
        <f t="shared" si="41"/>
        <v>&lt;services /&gt;&lt;setup /&gt;&lt;mod_time&gt;1500000010&lt;/mod_time&gt;&lt;uniqueid&gt;0&lt;/uniqueid&gt;&lt;/contact&gt;</v>
      </c>
      <c r="K68" s="5">
        <f t="shared" si="42"/>
        <v>0</v>
      </c>
      <c r="L68" s="5">
        <f t="shared" si="43"/>
        <v>0</v>
      </c>
      <c r="M68" s="5" t="str">
        <f>CONCATENATE(+Contacts!E68)</f>
        <v/>
      </c>
      <c r="N68" t="str">
        <f t="shared" si="44"/>
        <v/>
      </c>
      <c r="O68" s="5">
        <f t="shared" si="45"/>
        <v>0</v>
      </c>
      <c r="P68" s="5">
        <f t="shared" si="46"/>
        <v>0</v>
      </c>
      <c r="Q68" s="5" t="str">
        <f>CONCATENATE(+Contacts!G68)</f>
        <v/>
      </c>
      <c r="R68" t="str">
        <f t="shared" si="47"/>
        <v/>
      </c>
      <c r="S68" s="5">
        <f t="shared" si="48"/>
        <v>0</v>
      </c>
      <c r="T68" s="5">
        <f t="shared" si="49"/>
        <v>0</v>
      </c>
      <c r="U68" s="5" t="str">
        <f>CONCATENATE(+Contacts!H68)</f>
        <v/>
      </c>
      <c r="V68" t="str">
        <f t="shared" si="50"/>
        <v/>
      </c>
      <c r="W68" s="5">
        <f t="shared" si="51"/>
        <v>0</v>
      </c>
      <c r="X68" s="5">
        <f t="shared" si="52"/>
        <v>0</v>
      </c>
      <c r="Y68" s="5" t="str">
        <f>CONCATENATE(+Contacts!F68)</f>
        <v/>
      </c>
      <c r="Z68" s="2" t="str">
        <f t="shared" si="53"/>
        <v xml:space="preserve">Castet, Arnaud   </v>
      </c>
      <c r="AA68" s="2" t="str">
        <f>CONCATENATE(+Contacts!C68)</f>
        <v>Castet</v>
      </c>
      <c r="AB68" s="2" t="str">
        <f t="shared" si="54"/>
        <v xml:space="preserve">, </v>
      </c>
      <c r="AC68" s="2" t="str">
        <f>CONCATENATE(+Contacts!A68)</f>
        <v>Arnaud</v>
      </c>
      <c r="AD68" s="3" t="str">
        <f>CONCATENATE(" ",+Contacts!B68)</f>
        <v xml:space="preserve"> </v>
      </c>
      <c r="AE68" s="2" t="str">
        <f t="shared" si="55"/>
        <v xml:space="preserve"> </v>
      </c>
      <c r="AF68" s="3" t="str">
        <f>CONCATENATE(+Contacts!D68)</f>
        <v/>
      </c>
      <c r="AG68" s="2" t="str">
        <f t="shared" si="56"/>
        <v xml:space="preserve"> </v>
      </c>
      <c r="AH68" t="str">
        <f>CONCATENATE(+Contacts!I68)</f>
        <v/>
      </c>
      <c r="AI68">
        <v>1500000010</v>
      </c>
      <c r="AJ68" s="5">
        <f t="shared" si="57"/>
        <v>0</v>
      </c>
    </row>
    <row r="69" spans="1:36" x14ac:dyDescent="0.35">
      <c r="A69" s="7" t="str">
        <f t="shared" si="32"/>
        <v>&lt;contact&gt;&lt;category&gt;0&lt;/category&gt;&lt;person&gt;&lt;realName&gt;Centrum Orthopedie Rotterdam BV    &lt;/realName&gt;&lt;/person&gt;</v>
      </c>
      <c r="B69" s="7" t="str">
        <f t="shared" si="33"/>
        <v>&lt;telephony nid="1"&gt;&lt;number id="0" prio="1" type="work"&gt;+31 102141949&lt;/number&gt;&lt;/telephony&gt;</v>
      </c>
      <c r="C69" s="7" t="str">
        <f t="shared" si="34"/>
        <v>&lt;services /&gt;&lt;setup /&gt;&lt;mod_time&gt;1500000010&lt;/mod_time&gt;&lt;uniqueid&gt;1&lt;/uniqueid&gt;&lt;/contact&gt;</v>
      </c>
      <c r="D69" t="str">
        <f t="shared" si="35"/>
        <v>&lt;contact&gt;&lt;category&gt;0&lt;/category&gt;&lt;person&gt;&lt;realName&gt;Centrum Orthopedie Rotterdam BV    &lt;/realName&gt;&lt;/person&gt;</v>
      </c>
      <c r="E69" t="str">
        <f t="shared" si="36"/>
        <v>&lt;telephony nid="1"&gt;&lt;number id="0" prio="1" type="work"&gt;+31 102141949&lt;/number&gt;&lt;/telephony&gt;</v>
      </c>
      <c r="F69" t="str">
        <f t="shared" si="37"/>
        <v>&lt;telephony nid="1"&gt;</v>
      </c>
      <c r="G69" t="str">
        <f t="shared" si="38"/>
        <v>&lt;number id="0" prio="1" type="work"&gt;+31 102141949&lt;/number&gt;</v>
      </c>
      <c r="H69" t="str">
        <f t="shared" si="39"/>
        <v>&lt;services nid="1"&gt;&lt;email id="0" classifier="private"&gt;&lt;/email&gt;&lt;/services&gt;&lt;setup /&gt;&lt;mod_time&gt;1500000010&lt;/mod_time&gt;&lt;uniqueid&gt;1&lt;/uniqueid&gt;&lt;/contact&gt;</v>
      </c>
      <c r="I69" t="str">
        <f t="shared" si="40"/>
        <v>&lt;services /&gt;&lt;setup /&gt;&lt;mod_time&gt;1500000010&lt;/mod_time&gt;&lt;uniqueid&gt;1&lt;/uniqueid&gt;&lt;/contact&gt;</v>
      </c>
      <c r="J69" t="str">
        <f t="shared" si="41"/>
        <v>&lt;services /&gt;&lt;setup /&gt;&lt;mod_time&gt;1500000010&lt;/mod_time&gt;&lt;uniqueid&gt;1&lt;/uniqueid&gt;&lt;/contact&gt;</v>
      </c>
      <c r="K69" s="5">
        <f t="shared" si="42"/>
        <v>1</v>
      </c>
      <c r="L69" s="5">
        <f t="shared" si="43"/>
        <v>1</v>
      </c>
      <c r="M69" s="5" t="str">
        <f>CONCATENATE(+Contacts!E69)</f>
        <v>+31 102141949</v>
      </c>
      <c r="N69" t="str">
        <f t="shared" si="44"/>
        <v/>
      </c>
      <c r="O69" s="5">
        <f t="shared" si="45"/>
        <v>1</v>
      </c>
      <c r="P69" s="5">
        <f t="shared" si="46"/>
        <v>1</v>
      </c>
      <c r="Q69" s="5" t="str">
        <f>CONCATENATE(+Contacts!G69)</f>
        <v/>
      </c>
      <c r="R69" t="str">
        <f t="shared" si="47"/>
        <v/>
      </c>
      <c r="S69" s="5">
        <f t="shared" si="48"/>
        <v>1</v>
      </c>
      <c r="T69" s="5">
        <f t="shared" si="49"/>
        <v>1</v>
      </c>
      <c r="U69" s="5" t="str">
        <f>CONCATENATE(+Contacts!H69)</f>
        <v/>
      </c>
      <c r="V69" t="str">
        <f t="shared" si="50"/>
        <v/>
      </c>
      <c r="W69" s="5">
        <f t="shared" si="51"/>
        <v>1</v>
      </c>
      <c r="X69" s="5">
        <f t="shared" si="52"/>
        <v>1</v>
      </c>
      <c r="Y69" s="5" t="str">
        <f>CONCATENATE(+Contacts!F69)</f>
        <v/>
      </c>
      <c r="Z69" s="2" t="str">
        <f t="shared" si="53"/>
        <v xml:space="preserve">Centrum Orthopedie Rotterdam BV    </v>
      </c>
      <c r="AA69" s="2" t="str">
        <f>CONCATENATE(+Contacts!C69)</f>
        <v>Centrum Orthopedie Rotterdam BV</v>
      </c>
      <c r="AB69" s="2" t="str">
        <f t="shared" si="54"/>
        <v xml:space="preserve"> </v>
      </c>
      <c r="AC69" s="2" t="str">
        <f>CONCATENATE(+Contacts!A69)</f>
        <v/>
      </c>
      <c r="AD69" s="3" t="str">
        <f>CONCATENATE(" ",+Contacts!B69)</f>
        <v xml:space="preserve"> </v>
      </c>
      <c r="AE69" s="2" t="str">
        <f t="shared" si="55"/>
        <v xml:space="preserve"> </v>
      </c>
      <c r="AF69" s="3" t="str">
        <f>CONCATENATE(+Contacts!D69)</f>
        <v/>
      </c>
      <c r="AG69" s="2" t="str">
        <f t="shared" si="56"/>
        <v xml:space="preserve"> </v>
      </c>
      <c r="AH69" t="str">
        <f>CONCATENATE(+Contacts!I69)</f>
        <v/>
      </c>
      <c r="AI69">
        <v>1500000010</v>
      </c>
      <c r="AJ69" s="5">
        <f t="shared" si="57"/>
        <v>1</v>
      </c>
    </row>
    <row r="70" spans="1:36" x14ac:dyDescent="0.35">
      <c r="A70" s="7" t="str">
        <f t="shared" si="32"/>
        <v>&lt;contact&gt;&lt;category&gt;0&lt;/category&gt;&lt;person&gt;&lt;realName&gt;Chikh, Eliane   &lt;/realName&gt;&lt;/person&gt;</v>
      </c>
      <c r="B70" s="7" t="str">
        <f t="shared" si="33"/>
        <v>&lt;telephony nid="2"&gt;&lt;number id="0" prio="1" type="home"&gt;+41 22 752 33 14&lt;/number&gt;&lt;number id="1" prio="0" type="mobile"&gt;+41 78 840 55 82&lt;/number&gt;&lt;/telephony&gt;</v>
      </c>
      <c r="C70" s="7" t="str">
        <f t="shared" si="34"/>
        <v>&lt;services /&gt;&lt;setup /&gt;&lt;mod_time&gt;1500000010&lt;/mod_time&gt;&lt;uniqueid&gt;1&lt;/uniqueid&gt;&lt;/contact&gt;</v>
      </c>
      <c r="D70" t="str">
        <f t="shared" si="35"/>
        <v>&lt;contact&gt;&lt;category&gt;0&lt;/category&gt;&lt;person&gt;&lt;realName&gt;Chikh, Eliane   &lt;/realName&gt;&lt;/person&gt;</v>
      </c>
      <c r="E70" t="str">
        <f t="shared" si="36"/>
        <v>&lt;telephony nid="2"&gt;&lt;number id="0" prio="1" type="home"&gt;+41 22 752 33 14&lt;/number&gt;&lt;number id="1" prio="0" type="mobile"&gt;+41 78 840 55 82&lt;/number&gt;&lt;/telephony&gt;</v>
      </c>
      <c r="F70" t="str">
        <f t="shared" si="37"/>
        <v>&lt;telephony nid="2"&gt;</v>
      </c>
      <c r="G70" t="str">
        <f t="shared" si="38"/>
        <v/>
      </c>
      <c r="H70" t="str">
        <f t="shared" si="39"/>
        <v>&lt;services nid="1"&gt;&lt;email id="0" classifier="private"&gt;&lt;/email&gt;&lt;/services&gt;&lt;setup /&gt;&lt;mod_time&gt;1500000010&lt;/mod_time&gt;&lt;uniqueid&gt;1&lt;/uniqueid&gt;&lt;/contact&gt;</v>
      </c>
      <c r="I70" t="str">
        <f t="shared" si="40"/>
        <v>&lt;services /&gt;&lt;setup /&gt;&lt;mod_time&gt;1500000010&lt;/mod_time&gt;&lt;uniqueid&gt;1&lt;/uniqueid&gt;&lt;/contact&gt;</v>
      </c>
      <c r="J70" t="str">
        <f t="shared" si="41"/>
        <v>&lt;services /&gt;&lt;setup /&gt;&lt;mod_time&gt;1500000010&lt;/mod_time&gt;&lt;uniqueid&gt;1&lt;/uniqueid&gt;&lt;/contact&gt;</v>
      </c>
      <c r="K70" s="5">
        <f t="shared" si="42"/>
        <v>0</v>
      </c>
      <c r="L70" s="5">
        <f t="shared" si="43"/>
        <v>0</v>
      </c>
      <c r="M70" s="5" t="str">
        <f>CONCATENATE(+Contacts!E70)</f>
        <v/>
      </c>
      <c r="N70" t="str">
        <f t="shared" si="44"/>
        <v>&lt;number id="0" prio="1" type="home"&gt;+41 22 752 33 14&lt;/number&gt;</v>
      </c>
      <c r="O70" s="5">
        <f t="shared" si="45"/>
        <v>1</v>
      </c>
      <c r="P70" s="5">
        <f t="shared" si="46"/>
        <v>1</v>
      </c>
      <c r="Q70" s="5" t="str">
        <f>CONCATENATE(+Contacts!G70)</f>
        <v>+41 22 752 33 14</v>
      </c>
      <c r="R70" t="str">
        <f t="shared" si="47"/>
        <v>&lt;number id="1" prio="0" type="mobile"&gt;+41 78 840 55 82&lt;/number&gt;</v>
      </c>
      <c r="S70" s="5">
        <f t="shared" si="48"/>
        <v>2</v>
      </c>
      <c r="T70" s="5">
        <f t="shared" si="49"/>
        <v>0</v>
      </c>
      <c r="U70" s="5" t="str">
        <f>CONCATENATE(+Contacts!H70)</f>
        <v>+41 78 840 55 82</v>
      </c>
      <c r="V70" t="str">
        <f t="shared" si="50"/>
        <v/>
      </c>
      <c r="W70" s="5">
        <f t="shared" si="51"/>
        <v>2</v>
      </c>
      <c r="X70" s="5">
        <f t="shared" si="52"/>
        <v>0</v>
      </c>
      <c r="Y70" s="5" t="str">
        <f>CONCATENATE(+Contacts!F70)</f>
        <v/>
      </c>
      <c r="Z70" s="2" t="str">
        <f t="shared" si="53"/>
        <v xml:space="preserve">Chikh, Eliane   </v>
      </c>
      <c r="AA70" s="2" t="str">
        <f>CONCATENATE(+Contacts!C70)</f>
        <v>Chikh</v>
      </c>
      <c r="AB70" s="2" t="str">
        <f t="shared" si="54"/>
        <v xml:space="preserve">, </v>
      </c>
      <c r="AC70" s="2" t="str">
        <f>CONCATENATE(+Contacts!A70)</f>
        <v>Eliane</v>
      </c>
      <c r="AD70" s="3" t="str">
        <f>CONCATENATE(" ",+Contacts!B70)</f>
        <v xml:space="preserve"> </v>
      </c>
      <c r="AE70" s="2" t="str">
        <f t="shared" si="55"/>
        <v xml:space="preserve"> </v>
      </c>
      <c r="AF70" s="3" t="str">
        <f>CONCATENATE(+Contacts!D70)</f>
        <v/>
      </c>
      <c r="AG70" s="2" t="str">
        <f t="shared" si="56"/>
        <v xml:space="preserve"> </v>
      </c>
      <c r="AH70" t="str">
        <f>CONCATENATE(+Contacts!I70)</f>
        <v/>
      </c>
      <c r="AI70">
        <v>1500000010</v>
      </c>
      <c r="AJ70" s="5">
        <f t="shared" si="57"/>
        <v>1</v>
      </c>
    </row>
    <row r="71" spans="1:36" x14ac:dyDescent="0.35">
      <c r="A71" s="7" t="str">
        <f t="shared" si="32"/>
        <v>&lt;contact&gt;&lt;category&gt;0&lt;/category&gt;&lt;person&gt;&lt;realName&gt;Chikh, Rex   &lt;/realName&gt;&lt;/person&gt;</v>
      </c>
      <c r="B71" s="7" t="str">
        <f t="shared" si="33"/>
        <v>&lt;telephony nid="2"&gt;&lt;number id="0" prio="1" type="home"&gt;+41 227523933&lt;/number&gt;&lt;number id="1" prio="0" type="mobile"&gt;+41 788525740&lt;/number&gt;&lt;/telephony&gt;</v>
      </c>
      <c r="C71" s="7" t="str">
        <f t="shared" si="34"/>
        <v>&lt;services nid="1"&gt;&lt;email id="0" classifier="private"&gt;rex.chikh@bluewin.ch&lt;/email&gt;&lt;/services&gt;&lt;setup /&gt;&lt;mod_time&gt;1500000010&lt;/mod_time&gt;&lt;uniqueid&gt;1&lt;/uniqueid&gt;&lt;/contact&gt;</v>
      </c>
      <c r="D71" t="str">
        <f t="shared" si="35"/>
        <v>&lt;contact&gt;&lt;category&gt;0&lt;/category&gt;&lt;person&gt;&lt;realName&gt;Chikh, Rex   &lt;/realName&gt;&lt;/person&gt;</v>
      </c>
      <c r="E71" t="str">
        <f t="shared" si="36"/>
        <v>&lt;telephony nid="2"&gt;&lt;number id="0" prio="1" type="home"&gt;+41 227523933&lt;/number&gt;&lt;number id="1" prio="0" type="mobile"&gt;+41 788525740&lt;/number&gt;&lt;/telephony&gt;</v>
      </c>
      <c r="F71" t="str">
        <f t="shared" si="37"/>
        <v>&lt;telephony nid="2"&gt;</v>
      </c>
      <c r="G71" t="str">
        <f t="shared" si="38"/>
        <v/>
      </c>
      <c r="H71" t="str">
        <f t="shared" si="39"/>
        <v>&lt;services nid="1"&gt;&lt;email id="0" classifier="private"&gt;rex.chikh@bluewin.ch&lt;/email&gt;&lt;/services&gt;&lt;setup /&gt;&lt;mod_time&gt;1500000010&lt;/mod_time&gt;&lt;uniqueid&gt;1&lt;/uniqueid&gt;&lt;/contact&gt;</v>
      </c>
      <c r="I71" t="str">
        <f t="shared" si="40"/>
        <v>&lt;services /&gt;&lt;setup /&gt;&lt;mod_time&gt;1500000010&lt;/mod_time&gt;&lt;uniqueid&gt;1&lt;/uniqueid&gt;&lt;/contact&gt;</v>
      </c>
      <c r="J71" t="str">
        <f t="shared" si="41"/>
        <v>&lt;services nid="1"&gt;&lt;email id="0" classifier="private"&gt;rex.chikh@bluewin.ch&lt;/email&gt;&lt;/services&gt;&lt;setup /&gt;&lt;mod_time&gt;1500000010&lt;/mod_time&gt;&lt;uniqueid&gt;1&lt;/uniqueid&gt;&lt;/contact&gt;</v>
      </c>
      <c r="K71" s="5">
        <f t="shared" si="42"/>
        <v>0</v>
      </c>
      <c r="L71" s="5">
        <f t="shared" si="43"/>
        <v>0</v>
      </c>
      <c r="M71" s="5" t="str">
        <f>CONCATENATE(+Contacts!E71)</f>
        <v/>
      </c>
      <c r="N71" t="str">
        <f t="shared" si="44"/>
        <v>&lt;number id="0" prio="1" type="home"&gt;+41 227523933&lt;/number&gt;</v>
      </c>
      <c r="O71" s="5">
        <f t="shared" si="45"/>
        <v>1</v>
      </c>
      <c r="P71" s="5">
        <f t="shared" si="46"/>
        <v>1</v>
      </c>
      <c r="Q71" s="5" t="str">
        <f>CONCATENATE(+Contacts!G71)</f>
        <v>+41 227523933</v>
      </c>
      <c r="R71" t="str">
        <f t="shared" si="47"/>
        <v>&lt;number id="1" prio="0" type="mobile"&gt;+41 788525740&lt;/number&gt;</v>
      </c>
      <c r="S71" s="5">
        <f t="shared" si="48"/>
        <v>2</v>
      </c>
      <c r="T71" s="5">
        <f t="shared" si="49"/>
        <v>0</v>
      </c>
      <c r="U71" s="5" t="str">
        <f>CONCATENATE(+Contacts!H71)</f>
        <v>+41 788525740</v>
      </c>
      <c r="V71" t="str">
        <f t="shared" si="50"/>
        <v/>
      </c>
      <c r="W71" s="5">
        <f t="shared" si="51"/>
        <v>2</v>
      </c>
      <c r="X71" s="5">
        <f t="shared" si="52"/>
        <v>0</v>
      </c>
      <c r="Y71" s="5" t="str">
        <f>CONCATENATE(+Contacts!F71)</f>
        <v/>
      </c>
      <c r="Z71" s="2" t="str">
        <f t="shared" si="53"/>
        <v xml:space="preserve">Chikh, Rex   </v>
      </c>
      <c r="AA71" s="2" t="str">
        <f>CONCATENATE(+Contacts!C71)</f>
        <v>Chikh</v>
      </c>
      <c r="AB71" s="2" t="str">
        <f t="shared" si="54"/>
        <v xml:space="preserve">, </v>
      </c>
      <c r="AC71" s="2" t="str">
        <f>CONCATENATE(+Contacts!A71)</f>
        <v>Rex</v>
      </c>
      <c r="AD71" s="3" t="str">
        <f>CONCATENATE(" ",+Contacts!B71)</f>
        <v xml:space="preserve"> </v>
      </c>
      <c r="AE71" s="2" t="str">
        <f t="shared" si="55"/>
        <v xml:space="preserve"> </v>
      </c>
      <c r="AF71" s="3" t="str">
        <f>CONCATENATE(+Contacts!D71)</f>
        <v/>
      </c>
      <c r="AG71" s="2" t="str">
        <f t="shared" si="56"/>
        <v xml:space="preserve"> </v>
      </c>
      <c r="AH71" t="str">
        <f>CONCATENATE(+Contacts!I71)</f>
        <v>rex.chikh@bluewin.ch</v>
      </c>
      <c r="AI71">
        <v>1500000010</v>
      </c>
      <c r="AJ71" s="5">
        <f t="shared" si="57"/>
        <v>1</v>
      </c>
    </row>
    <row r="72" spans="1:36" x14ac:dyDescent="0.35">
      <c r="A72" s="7" t="str">
        <f t="shared" si="32"/>
        <v>&lt;contact&gt;&lt;category&gt;0&lt;/category&gt;&lt;person&gt;&lt;realName&gt;Cinerama  (Bioscoop)&lt;/realName&gt;&lt;/person&gt;</v>
      </c>
      <c r="B72" s="7" t="str">
        <f t="shared" si="33"/>
        <v>&lt;telephony nid="1"&gt;&lt;number id="0" prio="1" type="work"&gt;+31 104115300&lt;/number&gt;&lt;/telephony&gt;</v>
      </c>
      <c r="C72" s="7" t="str">
        <f t="shared" si="34"/>
        <v>&lt;services /&gt;&lt;setup /&gt;&lt;mod_time&gt;1500000010&lt;/mod_time&gt;&lt;uniqueid&gt;1&lt;/uniqueid&gt;&lt;/contact&gt;</v>
      </c>
      <c r="D72" t="str">
        <f t="shared" si="35"/>
        <v>&lt;contact&gt;&lt;category&gt;0&lt;/category&gt;&lt;person&gt;&lt;realName&gt;Cinerama  (Bioscoop)&lt;/realName&gt;&lt;/person&gt;</v>
      </c>
      <c r="E72" t="str">
        <f t="shared" si="36"/>
        <v>&lt;telephony nid="1"&gt;&lt;number id="0" prio="1" type="work"&gt;+31 104115300&lt;/number&gt;&lt;/telephony&gt;</v>
      </c>
      <c r="F72" t="str">
        <f t="shared" si="37"/>
        <v>&lt;telephony nid="1"&gt;</v>
      </c>
      <c r="G72" t="str">
        <f t="shared" si="38"/>
        <v>&lt;number id="0" prio="1" type="work"&gt;+31 104115300&lt;/number&gt;</v>
      </c>
      <c r="H72" t="str">
        <f t="shared" si="39"/>
        <v>&lt;services nid="1"&gt;&lt;email id="0" classifier="private"&gt;&lt;/email&gt;&lt;/services&gt;&lt;setup /&gt;&lt;mod_time&gt;1500000010&lt;/mod_time&gt;&lt;uniqueid&gt;1&lt;/uniqueid&gt;&lt;/contact&gt;</v>
      </c>
      <c r="I72" t="str">
        <f t="shared" si="40"/>
        <v>&lt;services /&gt;&lt;setup /&gt;&lt;mod_time&gt;1500000010&lt;/mod_time&gt;&lt;uniqueid&gt;1&lt;/uniqueid&gt;&lt;/contact&gt;</v>
      </c>
      <c r="J72" t="str">
        <f t="shared" si="41"/>
        <v>&lt;services /&gt;&lt;setup /&gt;&lt;mod_time&gt;1500000010&lt;/mod_time&gt;&lt;uniqueid&gt;1&lt;/uniqueid&gt;&lt;/contact&gt;</v>
      </c>
      <c r="K72" s="5">
        <f t="shared" si="42"/>
        <v>1</v>
      </c>
      <c r="L72" s="5">
        <f t="shared" si="43"/>
        <v>1</v>
      </c>
      <c r="M72" s="5" t="str">
        <f>CONCATENATE(+Contacts!E72)</f>
        <v>+31 104115300</v>
      </c>
      <c r="N72" t="str">
        <f t="shared" si="44"/>
        <v/>
      </c>
      <c r="O72" s="5">
        <f t="shared" si="45"/>
        <v>1</v>
      </c>
      <c r="P72" s="5">
        <f t="shared" si="46"/>
        <v>1</v>
      </c>
      <c r="Q72" s="5" t="str">
        <f>CONCATENATE(+Contacts!G72)</f>
        <v/>
      </c>
      <c r="R72" t="str">
        <f t="shared" si="47"/>
        <v/>
      </c>
      <c r="S72" s="5">
        <f t="shared" si="48"/>
        <v>1</v>
      </c>
      <c r="T72" s="5">
        <f t="shared" si="49"/>
        <v>1</v>
      </c>
      <c r="U72" s="5" t="str">
        <f>CONCATENATE(+Contacts!H72)</f>
        <v/>
      </c>
      <c r="V72" t="str">
        <f t="shared" si="50"/>
        <v/>
      </c>
      <c r="W72" s="5">
        <f t="shared" si="51"/>
        <v>1</v>
      </c>
      <c r="X72" s="5">
        <f t="shared" si="52"/>
        <v>1</v>
      </c>
      <c r="Y72" s="5" t="str">
        <f>CONCATENATE(+Contacts!F72)</f>
        <v/>
      </c>
      <c r="Z72" s="2" t="str">
        <f t="shared" si="53"/>
        <v>Cinerama  (Bioscoop)</v>
      </c>
      <c r="AA72" s="2" t="str">
        <f>CONCATENATE(+Contacts!C72)</f>
        <v>Cinerama</v>
      </c>
      <c r="AB72" s="2" t="str">
        <f t="shared" si="54"/>
        <v xml:space="preserve"> </v>
      </c>
      <c r="AC72" s="2" t="str">
        <f>CONCATENATE(+Contacts!A72)</f>
        <v/>
      </c>
      <c r="AD72" s="3" t="str">
        <f>CONCATENATE(" ",+Contacts!B72)</f>
        <v xml:space="preserve"> </v>
      </c>
      <c r="AE72" s="2" t="str">
        <f t="shared" si="55"/>
        <v>(</v>
      </c>
      <c r="AF72" s="3" t="str">
        <f>CONCATENATE(+Contacts!D72)</f>
        <v>Bioscoop</v>
      </c>
      <c r="AG72" s="2" t="str">
        <f t="shared" si="56"/>
        <v>)</v>
      </c>
      <c r="AH72" t="str">
        <f>CONCATENATE(+Contacts!I72)</f>
        <v/>
      </c>
      <c r="AI72">
        <v>1500000010</v>
      </c>
      <c r="AJ72" s="5">
        <f t="shared" si="57"/>
        <v>1</v>
      </c>
    </row>
    <row r="73" spans="1:36" x14ac:dyDescent="0.35">
      <c r="A73" s="7" t="str">
        <f t="shared" si="32"/>
        <v/>
      </c>
      <c r="B73" s="7" t="str">
        <f t="shared" si="33"/>
        <v/>
      </c>
      <c r="C73" s="7" t="str">
        <f t="shared" si="34"/>
        <v/>
      </c>
      <c r="D73" t="str">
        <f t="shared" si="35"/>
        <v>&lt;contact&gt;&lt;category&gt;0&lt;/category&gt;&lt;person&gt;&lt;realName&gt;, Cineville   &lt;/realName&gt;&lt;/person&gt;</v>
      </c>
      <c r="E73" t="str">
        <f t="shared" si="36"/>
        <v>&lt;telephony nid="0"&gt;&lt;/telephony&gt;</v>
      </c>
      <c r="F73" t="str">
        <f t="shared" si="37"/>
        <v>&lt;telephony nid="0"&gt;</v>
      </c>
      <c r="G73" t="str">
        <f t="shared" si="38"/>
        <v/>
      </c>
      <c r="H73" t="str">
        <f t="shared" si="39"/>
        <v>&lt;services nid="1"&gt;&lt;email id="0" classifier="private"&gt;info@cineville.nl&lt;/email&gt;&lt;/services&gt;&lt;setup /&gt;&lt;mod_time&gt;1500000010&lt;/mod_time&gt;&lt;uniqueid&gt;0&lt;/uniqueid&gt;&lt;/contact&gt;</v>
      </c>
      <c r="I73" t="str">
        <f t="shared" si="40"/>
        <v>&lt;services /&gt;&lt;setup /&gt;&lt;mod_time&gt;1500000010&lt;/mod_time&gt;&lt;uniqueid&gt;0&lt;/uniqueid&gt;&lt;/contact&gt;</v>
      </c>
      <c r="J73" t="str">
        <f t="shared" si="41"/>
        <v>&lt;services nid="1"&gt;&lt;email id="0" classifier="private"&gt;info@cineville.nl&lt;/email&gt;&lt;/services&gt;&lt;setup /&gt;&lt;mod_time&gt;1500000010&lt;/mod_time&gt;&lt;uniqueid&gt;0&lt;/uniqueid&gt;&lt;/contact&gt;</v>
      </c>
      <c r="K73" s="5">
        <f t="shared" si="42"/>
        <v>0</v>
      </c>
      <c r="L73" s="5">
        <f t="shared" si="43"/>
        <v>0</v>
      </c>
      <c r="M73" s="5" t="str">
        <f>CONCATENATE(+Contacts!E73)</f>
        <v/>
      </c>
      <c r="N73" t="str">
        <f t="shared" si="44"/>
        <v/>
      </c>
      <c r="O73" s="5">
        <f t="shared" si="45"/>
        <v>0</v>
      </c>
      <c r="P73" s="5">
        <f t="shared" si="46"/>
        <v>0</v>
      </c>
      <c r="Q73" s="5" t="str">
        <f>CONCATENATE(+Contacts!G73)</f>
        <v/>
      </c>
      <c r="R73" t="str">
        <f t="shared" si="47"/>
        <v/>
      </c>
      <c r="S73" s="5">
        <f t="shared" si="48"/>
        <v>0</v>
      </c>
      <c r="T73" s="5">
        <f t="shared" si="49"/>
        <v>0</v>
      </c>
      <c r="U73" s="5" t="str">
        <f>CONCATENATE(+Contacts!H73)</f>
        <v/>
      </c>
      <c r="V73" t="str">
        <f t="shared" si="50"/>
        <v/>
      </c>
      <c r="W73" s="5">
        <f t="shared" si="51"/>
        <v>0</v>
      </c>
      <c r="X73" s="5">
        <f t="shared" si="52"/>
        <v>0</v>
      </c>
      <c r="Y73" s="5" t="str">
        <f>CONCATENATE(+Contacts!F73)</f>
        <v/>
      </c>
      <c r="Z73" s="2" t="str">
        <f t="shared" si="53"/>
        <v xml:space="preserve">, Cineville   </v>
      </c>
      <c r="AA73" s="2" t="str">
        <f>CONCATENATE(+Contacts!C73)</f>
        <v/>
      </c>
      <c r="AB73" s="2" t="str">
        <f t="shared" si="54"/>
        <v xml:space="preserve">, </v>
      </c>
      <c r="AC73" s="2" t="str">
        <f>CONCATENATE(+Contacts!A73)</f>
        <v>Cineville</v>
      </c>
      <c r="AD73" s="3" t="str">
        <f>CONCATENATE(" ",+Contacts!B73)</f>
        <v xml:space="preserve"> </v>
      </c>
      <c r="AE73" s="2" t="str">
        <f t="shared" si="55"/>
        <v xml:space="preserve"> </v>
      </c>
      <c r="AF73" s="3" t="str">
        <f>CONCATENATE(+Contacts!D73)</f>
        <v/>
      </c>
      <c r="AG73" s="2" t="str">
        <f t="shared" si="56"/>
        <v xml:space="preserve"> </v>
      </c>
      <c r="AH73" t="str">
        <f>CONCATENATE(+Contacts!I73)</f>
        <v>info@cineville.nl</v>
      </c>
      <c r="AI73">
        <v>1500000010</v>
      </c>
      <c r="AJ73" s="5">
        <f t="shared" si="57"/>
        <v>0</v>
      </c>
    </row>
    <row r="74" spans="1:36" x14ac:dyDescent="0.35">
      <c r="A74" s="7" t="str">
        <f t="shared" si="32"/>
        <v>&lt;contact&gt;&lt;category&gt;0&lt;/category&gt;&lt;person&gt;&lt;realName&gt;City Portal Rotterdam  (Gemeente Rotterdam)&lt;/realName&gt;&lt;/person&gt;</v>
      </c>
      <c r="B74" s="7" t="str">
        <f t="shared" si="33"/>
        <v>&lt;telephony nid="1"&gt;&lt;number id="0" prio="1" type="work"&gt;14010&lt;/number&gt;&lt;/telephony&gt;</v>
      </c>
      <c r="C74" s="7" t="str">
        <f t="shared" si="34"/>
        <v>&lt;services /&gt;&lt;setup /&gt;&lt;mod_time&gt;1500000010&lt;/mod_time&gt;&lt;uniqueid&gt;1&lt;/uniqueid&gt;&lt;/contact&gt;</v>
      </c>
      <c r="D74" t="str">
        <f t="shared" si="35"/>
        <v>&lt;contact&gt;&lt;category&gt;0&lt;/category&gt;&lt;person&gt;&lt;realName&gt;City Portal Rotterdam  (Gemeente Rotterdam)&lt;/realName&gt;&lt;/person&gt;</v>
      </c>
      <c r="E74" t="str">
        <f t="shared" si="36"/>
        <v>&lt;telephony nid="1"&gt;&lt;number id="0" prio="1" type="work"&gt;14010&lt;/number&gt;&lt;/telephony&gt;</v>
      </c>
      <c r="F74" t="str">
        <f t="shared" si="37"/>
        <v>&lt;telephony nid="1"&gt;</v>
      </c>
      <c r="G74" t="str">
        <f t="shared" si="38"/>
        <v>&lt;number id="0" prio="1" type="work"&gt;14010&lt;/number&gt;</v>
      </c>
      <c r="H74" t="str">
        <f t="shared" si="39"/>
        <v>&lt;services nid="1"&gt;&lt;email id="0" classifier="private"&gt;&lt;/email&gt;&lt;/services&gt;&lt;setup /&gt;&lt;mod_time&gt;1500000010&lt;/mod_time&gt;&lt;uniqueid&gt;1&lt;/uniqueid&gt;&lt;/contact&gt;</v>
      </c>
      <c r="I74" t="str">
        <f t="shared" si="40"/>
        <v>&lt;services /&gt;&lt;setup /&gt;&lt;mod_time&gt;1500000010&lt;/mod_time&gt;&lt;uniqueid&gt;1&lt;/uniqueid&gt;&lt;/contact&gt;</v>
      </c>
      <c r="J74" t="str">
        <f t="shared" si="41"/>
        <v>&lt;services /&gt;&lt;setup /&gt;&lt;mod_time&gt;1500000010&lt;/mod_time&gt;&lt;uniqueid&gt;1&lt;/uniqueid&gt;&lt;/contact&gt;</v>
      </c>
      <c r="K74" s="5">
        <f t="shared" si="42"/>
        <v>1</v>
      </c>
      <c r="L74" s="5">
        <f t="shared" si="43"/>
        <v>1</v>
      </c>
      <c r="M74" s="5" t="str">
        <f>CONCATENATE(+Contacts!E74)</f>
        <v>14010</v>
      </c>
      <c r="N74" t="str">
        <f t="shared" si="44"/>
        <v/>
      </c>
      <c r="O74" s="5">
        <f t="shared" si="45"/>
        <v>1</v>
      </c>
      <c r="P74" s="5">
        <f t="shared" si="46"/>
        <v>1</v>
      </c>
      <c r="Q74" s="5" t="str">
        <f>CONCATENATE(+Contacts!G74)</f>
        <v/>
      </c>
      <c r="R74" t="str">
        <f t="shared" si="47"/>
        <v/>
      </c>
      <c r="S74" s="5">
        <f t="shared" si="48"/>
        <v>1</v>
      </c>
      <c r="T74" s="5">
        <f t="shared" si="49"/>
        <v>1</v>
      </c>
      <c r="U74" s="5" t="str">
        <f>CONCATENATE(+Contacts!H74)</f>
        <v/>
      </c>
      <c r="V74" t="str">
        <f t="shared" si="50"/>
        <v/>
      </c>
      <c r="W74" s="5">
        <f t="shared" si="51"/>
        <v>1</v>
      </c>
      <c r="X74" s="5">
        <f t="shared" si="52"/>
        <v>1</v>
      </c>
      <c r="Y74" s="5" t="str">
        <f>CONCATENATE(+Contacts!F74)</f>
        <v/>
      </c>
      <c r="Z74" s="2" t="str">
        <f t="shared" si="53"/>
        <v>City Portal Rotterdam  (Gemeente Rotterdam)</v>
      </c>
      <c r="AA74" s="2" t="str">
        <f>CONCATENATE(+Contacts!C74)</f>
        <v>City Portal Rotterdam</v>
      </c>
      <c r="AB74" s="2" t="str">
        <f t="shared" si="54"/>
        <v xml:space="preserve"> </v>
      </c>
      <c r="AC74" s="2" t="str">
        <f>CONCATENATE(+Contacts!A74)</f>
        <v/>
      </c>
      <c r="AD74" s="3" t="str">
        <f>CONCATENATE(" ",+Contacts!B74)</f>
        <v xml:space="preserve"> </v>
      </c>
      <c r="AE74" s="2" t="str">
        <f t="shared" si="55"/>
        <v>(</v>
      </c>
      <c r="AF74" s="3" t="str">
        <f>CONCATENATE(+Contacts!D74)</f>
        <v>Gemeente Rotterdam</v>
      </c>
      <c r="AG74" s="2" t="str">
        <f t="shared" si="56"/>
        <v>)</v>
      </c>
      <c r="AH74" t="str">
        <f>CONCATENATE(+Contacts!I74)</f>
        <v/>
      </c>
      <c r="AI74">
        <v>1500000010</v>
      </c>
      <c r="AJ74" s="5">
        <f t="shared" si="57"/>
        <v>1</v>
      </c>
    </row>
    <row r="75" spans="1:36" x14ac:dyDescent="0.35">
      <c r="A75" s="7" t="str">
        <f t="shared" si="32"/>
        <v>&lt;contact&gt;&lt;category&gt;0&lt;/category&gt;&lt;person&gt;&lt;realName&gt;Code, IMEI   &lt;/realName&gt;&lt;/person&gt;</v>
      </c>
      <c r="B75" s="7" t="str">
        <f t="shared" si="33"/>
        <v>&lt;telephony nid="1"&gt;&lt;number id="0" prio="1" type="work"&gt;*#06#&lt;/number&gt;&lt;/telephony&gt;</v>
      </c>
      <c r="C75" s="7" t="str">
        <f t="shared" si="34"/>
        <v>&lt;services /&gt;&lt;setup /&gt;&lt;mod_time&gt;1500000010&lt;/mod_time&gt;&lt;uniqueid&gt;1&lt;/uniqueid&gt;&lt;/contact&gt;</v>
      </c>
      <c r="D75" t="str">
        <f t="shared" si="35"/>
        <v>&lt;contact&gt;&lt;category&gt;0&lt;/category&gt;&lt;person&gt;&lt;realName&gt;Code, IMEI   &lt;/realName&gt;&lt;/person&gt;</v>
      </c>
      <c r="E75" t="str">
        <f t="shared" si="36"/>
        <v>&lt;telephony nid="1"&gt;&lt;number id="0" prio="1" type="work"&gt;*#06#&lt;/number&gt;&lt;/telephony&gt;</v>
      </c>
      <c r="F75" t="str">
        <f t="shared" si="37"/>
        <v>&lt;telephony nid="1"&gt;</v>
      </c>
      <c r="G75" t="str">
        <f t="shared" si="38"/>
        <v/>
      </c>
      <c r="H75" t="str">
        <f t="shared" si="39"/>
        <v>&lt;services nid="1"&gt;&lt;email id="0" classifier="private"&gt;&lt;/email&gt;&lt;/services&gt;&lt;setup /&gt;&lt;mod_time&gt;1500000010&lt;/mod_time&gt;&lt;uniqueid&gt;1&lt;/uniqueid&gt;&lt;/contact&gt;</v>
      </c>
      <c r="I75" t="str">
        <f t="shared" si="40"/>
        <v>&lt;services /&gt;&lt;setup /&gt;&lt;mod_time&gt;1500000010&lt;/mod_time&gt;&lt;uniqueid&gt;1&lt;/uniqueid&gt;&lt;/contact&gt;</v>
      </c>
      <c r="J75" t="str">
        <f t="shared" si="41"/>
        <v>&lt;services /&gt;&lt;setup /&gt;&lt;mod_time&gt;1500000010&lt;/mod_time&gt;&lt;uniqueid&gt;1&lt;/uniqueid&gt;&lt;/contact&gt;</v>
      </c>
      <c r="K75" s="5">
        <f t="shared" si="42"/>
        <v>0</v>
      </c>
      <c r="L75" s="5">
        <f t="shared" si="43"/>
        <v>0</v>
      </c>
      <c r="M75" s="5" t="str">
        <f>CONCATENATE(+Contacts!E75)</f>
        <v/>
      </c>
      <c r="N75" t="str">
        <f t="shared" si="44"/>
        <v/>
      </c>
      <c r="O75" s="5">
        <f t="shared" si="45"/>
        <v>0</v>
      </c>
      <c r="P75" s="5">
        <f t="shared" si="46"/>
        <v>0</v>
      </c>
      <c r="Q75" s="5" t="str">
        <f>CONCATENATE(+Contacts!G75)</f>
        <v/>
      </c>
      <c r="R75" t="str">
        <f t="shared" si="47"/>
        <v/>
      </c>
      <c r="S75" s="5">
        <f t="shared" si="48"/>
        <v>0</v>
      </c>
      <c r="T75" s="5">
        <f t="shared" si="49"/>
        <v>0</v>
      </c>
      <c r="U75" s="5" t="str">
        <f>CONCATENATE(+Contacts!H75)</f>
        <v/>
      </c>
      <c r="V75" t="str">
        <f t="shared" si="50"/>
        <v>&lt;number id="0" prio="1" type="work"&gt;*#06#&lt;/number&gt;</v>
      </c>
      <c r="W75" s="5">
        <f t="shared" si="51"/>
        <v>1</v>
      </c>
      <c r="X75" s="5">
        <f t="shared" si="52"/>
        <v>1</v>
      </c>
      <c r="Y75" s="5" t="str">
        <f>CONCATENATE(+Contacts!F75)</f>
        <v>*#06#</v>
      </c>
      <c r="Z75" s="2" t="str">
        <f t="shared" si="53"/>
        <v xml:space="preserve">Code, IMEI   </v>
      </c>
      <c r="AA75" s="2" t="str">
        <f>CONCATENATE(+Contacts!C75)</f>
        <v>Code</v>
      </c>
      <c r="AB75" s="2" t="str">
        <f t="shared" si="54"/>
        <v xml:space="preserve">, </v>
      </c>
      <c r="AC75" s="2" t="str">
        <f>CONCATENATE(+Contacts!A75)</f>
        <v>IMEI</v>
      </c>
      <c r="AD75" s="3" t="str">
        <f>CONCATENATE(" ",+Contacts!B75)</f>
        <v xml:space="preserve"> </v>
      </c>
      <c r="AE75" s="2" t="str">
        <f t="shared" si="55"/>
        <v xml:space="preserve"> </v>
      </c>
      <c r="AF75" s="3" t="str">
        <f>CONCATENATE(+Contacts!D75)</f>
        <v/>
      </c>
      <c r="AG75" s="2" t="str">
        <f t="shared" si="56"/>
        <v xml:space="preserve"> </v>
      </c>
      <c r="AH75" t="str">
        <f>CONCATENATE(+Contacts!I75)</f>
        <v/>
      </c>
      <c r="AI75">
        <v>1500000010</v>
      </c>
      <c r="AJ75" s="5">
        <f t="shared" si="57"/>
        <v>1</v>
      </c>
    </row>
    <row r="76" spans="1:36" x14ac:dyDescent="0.35">
      <c r="A76" s="7" t="str">
        <f t="shared" si="32"/>
        <v>&lt;contact&gt;&lt;category&gt;0&lt;/category&gt;&lt;person&gt;&lt;realName&gt;Consumentenbond    &lt;/realName&gt;&lt;/person&gt;</v>
      </c>
      <c r="B76" s="7" t="str">
        <f t="shared" si="33"/>
        <v>&lt;telephony nid="1"&gt;&lt;number id="0" prio="1" type="work"&gt;+31 704454545&lt;/number&gt;&lt;/telephony&gt;</v>
      </c>
      <c r="C76" s="7" t="str">
        <f t="shared" si="34"/>
        <v>&lt;services /&gt;&lt;setup /&gt;&lt;mod_time&gt;1500000010&lt;/mod_time&gt;&lt;uniqueid&gt;1&lt;/uniqueid&gt;&lt;/contact&gt;</v>
      </c>
      <c r="D76" t="str">
        <f t="shared" si="35"/>
        <v>&lt;contact&gt;&lt;category&gt;0&lt;/category&gt;&lt;person&gt;&lt;realName&gt;Consumentenbond    &lt;/realName&gt;&lt;/person&gt;</v>
      </c>
      <c r="E76" t="str">
        <f t="shared" si="36"/>
        <v>&lt;telephony nid="1"&gt;&lt;number id="0" prio="1" type="work"&gt;+31 704454545&lt;/number&gt;&lt;/telephony&gt;</v>
      </c>
      <c r="F76" t="str">
        <f t="shared" si="37"/>
        <v>&lt;telephony nid="1"&gt;</v>
      </c>
      <c r="G76" t="str">
        <f t="shared" si="38"/>
        <v>&lt;number id="0" prio="1" type="work"&gt;+31 704454545&lt;/number&gt;</v>
      </c>
      <c r="H76" t="str">
        <f t="shared" si="39"/>
        <v>&lt;services nid="1"&gt;&lt;email id="0" classifier="private"&gt;&lt;/email&gt;&lt;/services&gt;&lt;setup /&gt;&lt;mod_time&gt;1500000010&lt;/mod_time&gt;&lt;uniqueid&gt;1&lt;/uniqueid&gt;&lt;/contact&gt;</v>
      </c>
      <c r="I76" t="str">
        <f t="shared" si="40"/>
        <v>&lt;services /&gt;&lt;setup /&gt;&lt;mod_time&gt;1500000010&lt;/mod_time&gt;&lt;uniqueid&gt;1&lt;/uniqueid&gt;&lt;/contact&gt;</v>
      </c>
      <c r="J76" t="str">
        <f t="shared" si="41"/>
        <v>&lt;services /&gt;&lt;setup /&gt;&lt;mod_time&gt;1500000010&lt;/mod_time&gt;&lt;uniqueid&gt;1&lt;/uniqueid&gt;&lt;/contact&gt;</v>
      </c>
      <c r="K76" s="5">
        <f t="shared" si="42"/>
        <v>1</v>
      </c>
      <c r="L76" s="5">
        <f t="shared" si="43"/>
        <v>1</v>
      </c>
      <c r="M76" s="5" t="str">
        <f>CONCATENATE(+Contacts!E76)</f>
        <v>+31 704454545</v>
      </c>
      <c r="N76" t="str">
        <f t="shared" si="44"/>
        <v/>
      </c>
      <c r="O76" s="5">
        <f t="shared" si="45"/>
        <v>1</v>
      </c>
      <c r="P76" s="5">
        <f t="shared" si="46"/>
        <v>1</v>
      </c>
      <c r="Q76" s="5" t="str">
        <f>CONCATENATE(+Contacts!G76)</f>
        <v/>
      </c>
      <c r="R76" t="str">
        <f t="shared" si="47"/>
        <v/>
      </c>
      <c r="S76" s="5">
        <f t="shared" si="48"/>
        <v>1</v>
      </c>
      <c r="T76" s="5">
        <f t="shared" si="49"/>
        <v>1</v>
      </c>
      <c r="U76" s="5" t="str">
        <f>CONCATENATE(+Contacts!H76)</f>
        <v/>
      </c>
      <c r="V76" t="str">
        <f t="shared" si="50"/>
        <v/>
      </c>
      <c r="W76" s="5">
        <f t="shared" si="51"/>
        <v>1</v>
      </c>
      <c r="X76" s="5">
        <f t="shared" si="52"/>
        <v>1</v>
      </c>
      <c r="Y76" s="5" t="str">
        <f>CONCATENATE(+Contacts!F76)</f>
        <v/>
      </c>
      <c r="Z76" s="2" t="str">
        <f t="shared" si="53"/>
        <v xml:space="preserve">Consumentenbond    </v>
      </c>
      <c r="AA76" s="2" t="str">
        <f>CONCATENATE(+Contacts!C76)</f>
        <v>Consumentenbond</v>
      </c>
      <c r="AB76" s="2" t="str">
        <f t="shared" si="54"/>
        <v xml:space="preserve"> </v>
      </c>
      <c r="AC76" s="2" t="str">
        <f>CONCATENATE(+Contacts!A76)</f>
        <v/>
      </c>
      <c r="AD76" s="3" t="str">
        <f>CONCATENATE(" ",+Contacts!B76)</f>
        <v xml:space="preserve"> </v>
      </c>
      <c r="AE76" s="2" t="str">
        <f t="shared" si="55"/>
        <v xml:space="preserve"> </v>
      </c>
      <c r="AF76" s="3" t="str">
        <f>CONCATENATE(+Contacts!D76)</f>
        <v/>
      </c>
      <c r="AG76" s="2" t="str">
        <f t="shared" si="56"/>
        <v xml:space="preserve"> </v>
      </c>
      <c r="AH76" t="str">
        <f>CONCATENATE(+Contacts!I76)</f>
        <v/>
      </c>
      <c r="AI76">
        <v>1500000010</v>
      </c>
      <c r="AJ76" s="5">
        <f t="shared" si="57"/>
        <v>1</v>
      </c>
    </row>
    <row r="77" spans="1:36" x14ac:dyDescent="0.35">
      <c r="A77" s="7" t="str">
        <f t="shared" si="32"/>
        <v>&lt;contact&gt;&lt;category&gt;0&lt;/category&gt;&lt;person&gt;&lt;realName&gt;Couprie, Leen   &lt;/realName&gt;&lt;/person&gt;</v>
      </c>
      <c r="B77" s="7" t="str">
        <f t="shared" si="33"/>
        <v>&lt;telephony nid="2"&gt;&lt;number id="0" prio="1" type="home"&gt;+31 793425005&lt;/number&gt;&lt;number id="1" prio="0" type="mobile"&gt;+31 621859537&lt;/number&gt;&lt;/telephony&gt;</v>
      </c>
      <c r="C77" s="7" t="str">
        <f t="shared" si="34"/>
        <v>&lt;services nid="1"&gt;&lt;email id="0" classifier="private"&gt;leencouprie@gmail.com&lt;/email&gt;&lt;/services&gt;&lt;setup /&gt;&lt;mod_time&gt;1500000010&lt;/mod_time&gt;&lt;uniqueid&gt;1&lt;/uniqueid&gt;&lt;/contact&gt;</v>
      </c>
      <c r="D77" t="str">
        <f t="shared" si="35"/>
        <v>&lt;contact&gt;&lt;category&gt;0&lt;/category&gt;&lt;person&gt;&lt;realName&gt;Couprie, Leen   &lt;/realName&gt;&lt;/person&gt;</v>
      </c>
      <c r="E77" t="str">
        <f t="shared" si="36"/>
        <v>&lt;telephony nid="2"&gt;&lt;number id="0" prio="1" type="home"&gt;+31 793425005&lt;/number&gt;&lt;number id="1" prio="0" type="mobile"&gt;+31 621859537&lt;/number&gt;&lt;/telephony&gt;</v>
      </c>
      <c r="F77" t="str">
        <f t="shared" si="37"/>
        <v>&lt;telephony nid="2"&gt;</v>
      </c>
      <c r="G77" t="str">
        <f t="shared" si="38"/>
        <v/>
      </c>
      <c r="H77" t="str">
        <f t="shared" si="39"/>
        <v>&lt;services nid="1"&gt;&lt;email id="0" classifier="private"&gt;leencouprie@gmail.com&lt;/email&gt;&lt;/services&gt;&lt;setup /&gt;&lt;mod_time&gt;1500000010&lt;/mod_time&gt;&lt;uniqueid&gt;1&lt;/uniqueid&gt;&lt;/contact&gt;</v>
      </c>
      <c r="I77" t="str">
        <f t="shared" si="40"/>
        <v>&lt;services /&gt;&lt;setup /&gt;&lt;mod_time&gt;1500000010&lt;/mod_time&gt;&lt;uniqueid&gt;1&lt;/uniqueid&gt;&lt;/contact&gt;</v>
      </c>
      <c r="J77" t="str">
        <f t="shared" si="41"/>
        <v>&lt;services nid="1"&gt;&lt;email id="0" classifier="private"&gt;leencouprie@gmail.com&lt;/email&gt;&lt;/services&gt;&lt;setup /&gt;&lt;mod_time&gt;1500000010&lt;/mod_time&gt;&lt;uniqueid&gt;1&lt;/uniqueid&gt;&lt;/contact&gt;</v>
      </c>
      <c r="K77" s="5">
        <f t="shared" si="42"/>
        <v>0</v>
      </c>
      <c r="L77" s="5">
        <f t="shared" si="43"/>
        <v>0</v>
      </c>
      <c r="M77" s="5" t="str">
        <f>CONCATENATE(+Contacts!E77)</f>
        <v/>
      </c>
      <c r="N77" t="str">
        <f t="shared" si="44"/>
        <v>&lt;number id="0" prio="1" type="home"&gt;+31 793425005&lt;/number&gt;</v>
      </c>
      <c r="O77" s="5">
        <f t="shared" si="45"/>
        <v>1</v>
      </c>
      <c r="P77" s="5">
        <f t="shared" si="46"/>
        <v>1</v>
      </c>
      <c r="Q77" s="5" t="str">
        <f>CONCATENATE(+Contacts!G77)</f>
        <v>+31 793425005</v>
      </c>
      <c r="R77" t="str">
        <f t="shared" si="47"/>
        <v>&lt;number id="1" prio="0" type="mobile"&gt;+31 621859537&lt;/number&gt;</v>
      </c>
      <c r="S77" s="5">
        <f t="shared" si="48"/>
        <v>2</v>
      </c>
      <c r="T77" s="5">
        <f t="shared" si="49"/>
        <v>0</v>
      </c>
      <c r="U77" s="5" t="str">
        <f>CONCATENATE(+Contacts!H77)</f>
        <v>+31 621859537</v>
      </c>
      <c r="V77" t="str">
        <f t="shared" si="50"/>
        <v/>
      </c>
      <c r="W77" s="5">
        <f t="shared" si="51"/>
        <v>2</v>
      </c>
      <c r="X77" s="5">
        <f t="shared" si="52"/>
        <v>0</v>
      </c>
      <c r="Y77" s="5" t="str">
        <f>CONCATENATE(+Contacts!F77)</f>
        <v/>
      </c>
      <c r="Z77" s="2" t="str">
        <f t="shared" si="53"/>
        <v xml:space="preserve">Couprie, Leen   </v>
      </c>
      <c r="AA77" s="2" t="str">
        <f>CONCATENATE(+Contacts!C77)</f>
        <v>Couprie</v>
      </c>
      <c r="AB77" s="2" t="str">
        <f t="shared" si="54"/>
        <v xml:space="preserve">, </v>
      </c>
      <c r="AC77" s="2" t="str">
        <f>CONCATENATE(+Contacts!A77)</f>
        <v>Leen</v>
      </c>
      <c r="AD77" s="3" t="str">
        <f>CONCATENATE(" ",+Contacts!B77)</f>
        <v xml:space="preserve"> </v>
      </c>
      <c r="AE77" s="2" t="str">
        <f t="shared" si="55"/>
        <v xml:space="preserve"> </v>
      </c>
      <c r="AF77" s="3" t="str">
        <f>CONCATENATE(+Contacts!D77)</f>
        <v/>
      </c>
      <c r="AG77" s="2" t="str">
        <f t="shared" si="56"/>
        <v xml:space="preserve"> </v>
      </c>
      <c r="AH77" t="str">
        <f>CONCATENATE(+Contacts!I77)</f>
        <v>leencouprie@gmail.com</v>
      </c>
      <c r="AI77">
        <v>1500000010</v>
      </c>
      <c r="AJ77" s="5">
        <f t="shared" si="57"/>
        <v>1</v>
      </c>
    </row>
    <row r="78" spans="1:36" x14ac:dyDescent="0.35">
      <c r="A78" s="7" t="str">
        <f t="shared" si="32"/>
        <v>&lt;contact&gt;&lt;category&gt;0&lt;/category&gt;&lt;person&gt;&lt;realName&gt;Couprie, Marion   &lt;/realName&gt;&lt;/person&gt;</v>
      </c>
      <c r="B78" s="7" t="str">
        <f t="shared" si="33"/>
        <v>&lt;telephony nid="1"&gt;&lt;number id="0" prio="1" type="home"&gt;+31 793425005&lt;/number&gt;&lt;/telephony&gt;</v>
      </c>
      <c r="C78" s="7" t="str">
        <f t="shared" si="34"/>
        <v>&lt;services /&gt;&lt;setup /&gt;&lt;mod_time&gt;1500000010&lt;/mod_time&gt;&lt;uniqueid&gt;1&lt;/uniqueid&gt;&lt;/contact&gt;</v>
      </c>
      <c r="D78" t="str">
        <f t="shared" si="35"/>
        <v>&lt;contact&gt;&lt;category&gt;0&lt;/category&gt;&lt;person&gt;&lt;realName&gt;Couprie, Marion   &lt;/realName&gt;&lt;/person&gt;</v>
      </c>
      <c r="E78" t="str">
        <f t="shared" si="36"/>
        <v>&lt;telephony nid="1"&gt;&lt;number id="0" prio="1" type="home"&gt;+31 793425005&lt;/number&gt;&lt;/telephony&gt;</v>
      </c>
      <c r="F78" t="str">
        <f t="shared" si="37"/>
        <v>&lt;telephony nid="1"&gt;</v>
      </c>
      <c r="G78" t="str">
        <f t="shared" si="38"/>
        <v/>
      </c>
      <c r="H78" t="str">
        <f t="shared" si="39"/>
        <v>&lt;services nid="1"&gt;&lt;email id="0" classifier="private"&gt;&lt;/email&gt;&lt;/services&gt;&lt;setup /&gt;&lt;mod_time&gt;1500000010&lt;/mod_time&gt;&lt;uniqueid&gt;1&lt;/uniqueid&gt;&lt;/contact&gt;</v>
      </c>
      <c r="I78" t="str">
        <f t="shared" si="40"/>
        <v>&lt;services /&gt;&lt;setup /&gt;&lt;mod_time&gt;1500000010&lt;/mod_time&gt;&lt;uniqueid&gt;1&lt;/uniqueid&gt;&lt;/contact&gt;</v>
      </c>
      <c r="J78" t="str">
        <f t="shared" si="41"/>
        <v>&lt;services /&gt;&lt;setup /&gt;&lt;mod_time&gt;1500000010&lt;/mod_time&gt;&lt;uniqueid&gt;1&lt;/uniqueid&gt;&lt;/contact&gt;</v>
      </c>
      <c r="K78" s="5">
        <f t="shared" si="42"/>
        <v>0</v>
      </c>
      <c r="L78" s="5">
        <f t="shared" si="43"/>
        <v>0</v>
      </c>
      <c r="M78" s="5" t="str">
        <f>CONCATENATE(+Contacts!E78)</f>
        <v/>
      </c>
      <c r="N78" t="str">
        <f t="shared" si="44"/>
        <v>&lt;number id="0" prio="1" type="home"&gt;+31 793425005&lt;/number&gt;</v>
      </c>
      <c r="O78" s="5">
        <f t="shared" si="45"/>
        <v>1</v>
      </c>
      <c r="P78" s="5">
        <f t="shared" si="46"/>
        <v>1</v>
      </c>
      <c r="Q78" s="5" t="str">
        <f>CONCATENATE(+Contacts!G78)</f>
        <v>+31 793425005</v>
      </c>
      <c r="R78" t="str">
        <f t="shared" si="47"/>
        <v/>
      </c>
      <c r="S78" s="5">
        <f t="shared" si="48"/>
        <v>1</v>
      </c>
      <c r="T78" s="5">
        <f t="shared" si="49"/>
        <v>1</v>
      </c>
      <c r="U78" s="5" t="str">
        <f>CONCATENATE(+Contacts!H78)</f>
        <v/>
      </c>
      <c r="V78" t="str">
        <f t="shared" si="50"/>
        <v/>
      </c>
      <c r="W78" s="5">
        <f t="shared" si="51"/>
        <v>1</v>
      </c>
      <c r="X78" s="5">
        <f t="shared" si="52"/>
        <v>1</v>
      </c>
      <c r="Y78" s="5" t="str">
        <f>CONCATENATE(+Contacts!F78)</f>
        <v/>
      </c>
      <c r="Z78" s="2" t="str">
        <f t="shared" si="53"/>
        <v xml:space="preserve">Couprie, Marion   </v>
      </c>
      <c r="AA78" s="2" t="str">
        <f>CONCATENATE(+Contacts!C78)</f>
        <v>Couprie</v>
      </c>
      <c r="AB78" s="2" t="str">
        <f t="shared" si="54"/>
        <v xml:space="preserve">, </v>
      </c>
      <c r="AC78" s="2" t="str">
        <f>CONCATENATE(+Contacts!A78)</f>
        <v>Marion</v>
      </c>
      <c r="AD78" s="3" t="str">
        <f>CONCATENATE(" ",+Contacts!B78)</f>
        <v xml:space="preserve"> </v>
      </c>
      <c r="AE78" s="2" t="str">
        <f t="shared" si="55"/>
        <v xml:space="preserve"> </v>
      </c>
      <c r="AF78" s="3" t="str">
        <f>CONCATENATE(+Contacts!D78)</f>
        <v/>
      </c>
      <c r="AG78" s="2" t="str">
        <f t="shared" si="56"/>
        <v xml:space="preserve"> </v>
      </c>
      <c r="AH78" t="str">
        <f>CONCATENATE(+Contacts!I78)</f>
        <v/>
      </c>
      <c r="AI78">
        <v>1500000010</v>
      </c>
      <c r="AJ78" s="5">
        <f t="shared" si="57"/>
        <v>1</v>
      </c>
    </row>
    <row r="79" spans="1:36" x14ac:dyDescent="0.35">
      <c r="A79" s="7" t="str">
        <f t="shared" si="32"/>
        <v/>
      </c>
      <c r="B79" s="7" t="str">
        <f t="shared" si="33"/>
        <v/>
      </c>
      <c r="C79" s="7" t="str">
        <f t="shared" si="34"/>
        <v/>
      </c>
      <c r="D79" t="str">
        <f t="shared" si="35"/>
        <v>&lt;contact&gt;&lt;category&gt;0&lt;/category&gt;&lt;person&gt;&lt;realName&gt;Couprie, Steven   &lt;/realName&gt;&lt;/person&gt;</v>
      </c>
      <c r="E79" t="str">
        <f t="shared" si="36"/>
        <v>&lt;telephony nid="0"&gt;&lt;/telephony&gt;</v>
      </c>
      <c r="F79" t="str">
        <f t="shared" si="37"/>
        <v>&lt;telephony nid="0"&gt;</v>
      </c>
      <c r="G79" t="str">
        <f t="shared" si="38"/>
        <v/>
      </c>
      <c r="H79" t="str">
        <f t="shared" si="39"/>
        <v>&lt;services nid="1"&gt;&lt;email id="0" classifier="private"&gt;couprie.s@gmail.com&lt;/email&gt;&lt;/services&gt;&lt;setup /&gt;&lt;mod_time&gt;1500000010&lt;/mod_time&gt;&lt;uniqueid&gt;0&lt;/uniqueid&gt;&lt;/contact&gt;</v>
      </c>
      <c r="I79" t="str">
        <f t="shared" si="40"/>
        <v>&lt;services /&gt;&lt;setup /&gt;&lt;mod_time&gt;1500000010&lt;/mod_time&gt;&lt;uniqueid&gt;0&lt;/uniqueid&gt;&lt;/contact&gt;</v>
      </c>
      <c r="J79" t="str">
        <f t="shared" si="41"/>
        <v>&lt;services nid="1"&gt;&lt;email id="0" classifier="private"&gt;couprie.s@gmail.com&lt;/email&gt;&lt;/services&gt;&lt;setup /&gt;&lt;mod_time&gt;1500000010&lt;/mod_time&gt;&lt;uniqueid&gt;0&lt;/uniqueid&gt;&lt;/contact&gt;</v>
      </c>
      <c r="K79" s="5">
        <f t="shared" si="42"/>
        <v>0</v>
      </c>
      <c r="L79" s="5">
        <f t="shared" si="43"/>
        <v>0</v>
      </c>
      <c r="M79" s="5" t="str">
        <f>CONCATENATE(+Contacts!E79)</f>
        <v/>
      </c>
      <c r="N79" t="str">
        <f t="shared" si="44"/>
        <v/>
      </c>
      <c r="O79" s="5">
        <f t="shared" si="45"/>
        <v>0</v>
      </c>
      <c r="P79" s="5">
        <f t="shared" si="46"/>
        <v>0</v>
      </c>
      <c r="Q79" s="5" t="str">
        <f>CONCATENATE(+Contacts!G79)</f>
        <v/>
      </c>
      <c r="R79" t="str">
        <f t="shared" si="47"/>
        <v/>
      </c>
      <c r="S79" s="5">
        <f t="shared" si="48"/>
        <v>0</v>
      </c>
      <c r="T79" s="5">
        <f t="shared" si="49"/>
        <v>0</v>
      </c>
      <c r="U79" s="5" t="str">
        <f>CONCATENATE(+Contacts!H79)</f>
        <v/>
      </c>
      <c r="V79" t="str">
        <f t="shared" si="50"/>
        <v/>
      </c>
      <c r="W79" s="5">
        <f t="shared" si="51"/>
        <v>0</v>
      </c>
      <c r="X79" s="5">
        <f t="shared" si="52"/>
        <v>0</v>
      </c>
      <c r="Y79" s="5" t="str">
        <f>CONCATENATE(+Contacts!F79)</f>
        <v/>
      </c>
      <c r="Z79" s="2" t="str">
        <f t="shared" si="53"/>
        <v xml:space="preserve">Couprie, Steven   </v>
      </c>
      <c r="AA79" s="2" t="str">
        <f>CONCATENATE(+Contacts!C79)</f>
        <v>Couprie</v>
      </c>
      <c r="AB79" s="2" t="str">
        <f t="shared" si="54"/>
        <v xml:space="preserve">, </v>
      </c>
      <c r="AC79" s="2" t="str">
        <f>CONCATENATE(+Contacts!A79)</f>
        <v>Steven</v>
      </c>
      <c r="AD79" s="3" t="str">
        <f>CONCATENATE(" ",+Contacts!B79)</f>
        <v xml:space="preserve"> </v>
      </c>
      <c r="AE79" s="2" t="str">
        <f t="shared" si="55"/>
        <v xml:space="preserve"> </v>
      </c>
      <c r="AF79" s="3" t="str">
        <f>CONCATENATE(+Contacts!D79)</f>
        <v/>
      </c>
      <c r="AG79" s="2" t="str">
        <f t="shared" si="56"/>
        <v xml:space="preserve"> </v>
      </c>
      <c r="AH79" t="str">
        <f>CONCATENATE(+Contacts!I79)</f>
        <v>couprie.s@gmail.com</v>
      </c>
      <c r="AI79">
        <v>1500000010</v>
      </c>
      <c r="AJ79" s="5">
        <f t="shared" si="57"/>
        <v>0</v>
      </c>
    </row>
    <row r="80" spans="1:36" x14ac:dyDescent="0.35">
      <c r="A80" s="7" t="str">
        <f t="shared" si="32"/>
        <v>&lt;contact&gt;&lt;category&gt;0&lt;/category&gt;&lt;person&gt;&lt;realName&gt;Cruyff, Martijn   &lt;/realName&gt;&lt;/person&gt;</v>
      </c>
      <c r="B80" s="7" t="str">
        <f t="shared" si="33"/>
        <v>&lt;telephony nid="1"&gt;&lt;number id="0" prio="1" type="mobile"&gt;+31 623905282&lt;/number&gt;&lt;/telephony&gt;</v>
      </c>
      <c r="C80" s="7" t="str">
        <f t="shared" si="34"/>
        <v>&lt;services nid="1"&gt;&lt;email id="0" classifier="private"&gt;martijn@martijncruyff.nl&lt;/email&gt;&lt;/services&gt;&lt;setup /&gt;&lt;mod_time&gt;1500000010&lt;/mod_time&gt;&lt;uniqueid&gt;1&lt;/uniqueid&gt;&lt;/contact&gt;</v>
      </c>
      <c r="D80" t="str">
        <f t="shared" si="35"/>
        <v>&lt;contact&gt;&lt;category&gt;0&lt;/category&gt;&lt;person&gt;&lt;realName&gt;Cruyff, Martijn   &lt;/realName&gt;&lt;/person&gt;</v>
      </c>
      <c r="E80" t="str">
        <f t="shared" si="36"/>
        <v>&lt;telephony nid="1"&gt;&lt;number id="0" prio="1" type="mobile"&gt;+31 623905282&lt;/number&gt;&lt;/telephony&gt;</v>
      </c>
      <c r="F80" t="str">
        <f t="shared" si="37"/>
        <v>&lt;telephony nid="1"&gt;</v>
      </c>
      <c r="G80" t="str">
        <f t="shared" si="38"/>
        <v/>
      </c>
      <c r="H80" t="str">
        <f t="shared" si="39"/>
        <v>&lt;services nid="1"&gt;&lt;email id="0" classifier="private"&gt;martijn@martijncruyff.nl&lt;/email&gt;&lt;/services&gt;&lt;setup /&gt;&lt;mod_time&gt;1500000010&lt;/mod_time&gt;&lt;uniqueid&gt;1&lt;/uniqueid&gt;&lt;/contact&gt;</v>
      </c>
      <c r="I80" t="str">
        <f t="shared" si="40"/>
        <v>&lt;services /&gt;&lt;setup /&gt;&lt;mod_time&gt;1500000010&lt;/mod_time&gt;&lt;uniqueid&gt;1&lt;/uniqueid&gt;&lt;/contact&gt;</v>
      </c>
      <c r="J80" t="str">
        <f t="shared" si="41"/>
        <v>&lt;services nid="1"&gt;&lt;email id="0" classifier="private"&gt;martijn@martijncruyff.nl&lt;/email&gt;&lt;/services&gt;&lt;setup /&gt;&lt;mod_time&gt;1500000010&lt;/mod_time&gt;&lt;uniqueid&gt;1&lt;/uniqueid&gt;&lt;/contact&gt;</v>
      </c>
      <c r="K80" s="5">
        <f t="shared" si="42"/>
        <v>0</v>
      </c>
      <c r="L80" s="5">
        <f t="shared" si="43"/>
        <v>0</v>
      </c>
      <c r="M80" s="5" t="str">
        <f>CONCATENATE(+Contacts!E80)</f>
        <v/>
      </c>
      <c r="N80" t="str">
        <f t="shared" si="44"/>
        <v/>
      </c>
      <c r="O80" s="5">
        <f t="shared" si="45"/>
        <v>0</v>
      </c>
      <c r="P80" s="5">
        <f t="shared" si="46"/>
        <v>0</v>
      </c>
      <c r="Q80" s="5" t="str">
        <f>CONCATENATE(+Contacts!G80)</f>
        <v/>
      </c>
      <c r="R80" t="str">
        <f t="shared" si="47"/>
        <v>&lt;number id="0" prio="1" type="mobile"&gt;+31 623905282&lt;/number&gt;</v>
      </c>
      <c r="S80" s="5">
        <f t="shared" si="48"/>
        <v>1</v>
      </c>
      <c r="T80" s="5">
        <f t="shared" si="49"/>
        <v>1</v>
      </c>
      <c r="U80" s="5" t="str">
        <f>CONCATENATE(+Contacts!H80)</f>
        <v>+31 623905282</v>
      </c>
      <c r="V80" t="str">
        <f t="shared" si="50"/>
        <v/>
      </c>
      <c r="W80" s="5">
        <f t="shared" si="51"/>
        <v>1</v>
      </c>
      <c r="X80" s="5">
        <f t="shared" si="52"/>
        <v>1</v>
      </c>
      <c r="Y80" s="5" t="str">
        <f>CONCATENATE(+Contacts!F80)</f>
        <v/>
      </c>
      <c r="Z80" s="2" t="str">
        <f t="shared" si="53"/>
        <v xml:space="preserve">Cruyff, Martijn   </v>
      </c>
      <c r="AA80" s="2" t="str">
        <f>CONCATENATE(+Contacts!C80)</f>
        <v>Cruyff</v>
      </c>
      <c r="AB80" s="2" t="str">
        <f t="shared" si="54"/>
        <v xml:space="preserve">, </v>
      </c>
      <c r="AC80" s="2" t="str">
        <f>CONCATENATE(+Contacts!A80)</f>
        <v>Martijn</v>
      </c>
      <c r="AD80" s="3" t="str">
        <f>CONCATENATE(" ",+Contacts!B80)</f>
        <v xml:space="preserve"> </v>
      </c>
      <c r="AE80" s="2" t="str">
        <f t="shared" si="55"/>
        <v xml:space="preserve"> </v>
      </c>
      <c r="AF80" s="3" t="str">
        <f>CONCATENATE(+Contacts!D80)</f>
        <v/>
      </c>
      <c r="AG80" s="2" t="str">
        <f t="shared" si="56"/>
        <v xml:space="preserve"> </v>
      </c>
      <c r="AH80" t="str">
        <f>CONCATENATE(+Contacts!I80)</f>
        <v>martijn@martijncruyff.nl</v>
      </c>
      <c r="AI80">
        <v>1500000010</v>
      </c>
      <c r="AJ80" s="5">
        <f t="shared" si="57"/>
        <v>1</v>
      </c>
    </row>
    <row r="81" spans="1:36" x14ac:dyDescent="0.35">
      <c r="A81" s="7" t="str">
        <f t="shared" si="32"/>
        <v>&lt;contact&gt;&lt;category&gt;0&lt;/category&gt;&lt;person&gt;&lt;realName&gt;CubaCasa  (Hotel)&lt;/realName&gt;&lt;/person&gt;</v>
      </c>
      <c r="B81" s="7" t="str">
        <f t="shared" si="33"/>
        <v>&lt;telephony nid="1"&gt;&lt;number id="0" prio="1" type="work"&gt;+31 629594849&lt;/number&gt;&lt;/telephony&gt;</v>
      </c>
      <c r="C81" s="7" t="str">
        <f t="shared" si="34"/>
        <v>&lt;services /&gt;&lt;setup /&gt;&lt;mod_time&gt;1500000010&lt;/mod_time&gt;&lt;uniqueid&gt;1&lt;/uniqueid&gt;&lt;/contact&gt;</v>
      </c>
      <c r="D81" t="str">
        <f t="shared" si="35"/>
        <v>&lt;contact&gt;&lt;category&gt;0&lt;/category&gt;&lt;person&gt;&lt;realName&gt;CubaCasa  (Hotel)&lt;/realName&gt;&lt;/person&gt;</v>
      </c>
      <c r="E81" t="str">
        <f t="shared" si="36"/>
        <v>&lt;telephony nid="1"&gt;&lt;number id="0" prio="1" type="work"&gt;+31 629594849&lt;/number&gt;&lt;/telephony&gt;</v>
      </c>
      <c r="F81" t="str">
        <f t="shared" si="37"/>
        <v>&lt;telephony nid="1"&gt;</v>
      </c>
      <c r="G81" t="str">
        <f t="shared" si="38"/>
        <v>&lt;number id="0" prio="1" type="work"&gt;+31 629594849&lt;/number&gt;</v>
      </c>
      <c r="H81" t="str">
        <f t="shared" si="39"/>
        <v>&lt;services nid="1"&gt;&lt;email id="0" classifier="private"&gt;&lt;/email&gt;&lt;/services&gt;&lt;setup /&gt;&lt;mod_time&gt;1500000010&lt;/mod_time&gt;&lt;uniqueid&gt;1&lt;/uniqueid&gt;&lt;/contact&gt;</v>
      </c>
      <c r="I81" t="str">
        <f t="shared" si="40"/>
        <v>&lt;services /&gt;&lt;setup /&gt;&lt;mod_time&gt;1500000010&lt;/mod_time&gt;&lt;uniqueid&gt;1&lt;/uniqueid&gt;&lt;/contact&gt;</v>
      </c>
      <c r="J81" t="str">
        <f t="shared" si="41"/>
        <v>&lt;services /&gt;&lt;setup /&gt;&lt;mod_time&gt;1500000010&lt;/mod_time&gt;&lt;uniqueid&gt;1&lt;/uniqueid&gt;&lt;/contact&gt;</v>
      </c>
      <c r="K81" s="5">
        <f t="shared" si="42"/>
        <v>1</v>
      </c>
      <c r="L81" s="5">
        <f t="shared" si="43"/>
        <v>1</v>
      </c>
      <c r="M81" s="5" t="str">
        <f>CONCATENATE(+Contacts!E81)</f>
        <v>+31 629594849</v>
      </c>
      <c r="N81" t="str">
        <f t="shared" si="44"/>
        <v/>
      </c>
      <c r="O81" s="5">
        <f t="shared" si="45"/>
        <v>1</v>
      </c>
      <c r="P81" s="5">
        <f t="shared" si="46"/>
        <v>1</v>
      </c>
      <c r="Q81" s="5" t="str">
        <f>CONCATENATE(+Contacts!G81)</f>
        <v/>
      </c>
      <c r="R81" t="str">
        <f t="shared" si="47"/>
        <v/>
      </c>
      <c r="S81" s="5">
        <f t="shared" si="48"/>
        <v>1</v>
      </c>
      <c r="T81" s="5">
        <f t="shared" si="49"/>
        <v>1</v>
      </c>
      <c r="U81" s="5" t="str">
        <f>CONCATENATE(+Contacts!H81)</f>
        <v/>
      </c>
      <c r="V81" t="str">
        <f t="shared" si="50"/>
        <v/>
      </c>
      <c r="W81" s="5">
        <f t="shared" si="51"/>
        <v>1</v>
      </c>
      <c r="X81" s="5">
        <f t="shared" si="52"/>
        <v>1</v>
      </c>
      <c r="Y81" s="5" t="str">
        <f>CONCATENATE(+Contacts!F81)</f>
        <v/>
      </c>
      <c r="Z81" s="2" t="str">
        <f t="shared" si="53"/>
        <v>CubaCasa  (Hotel)</v>
      </c>
      <c r="AA81" s="2" t="str">
        <f>CONCATENATE(+Contacts!C81)</f>
        <v>CubaCasa</v>
      </c>
      <c r="AB81" s="2" t="str">
        <f t="shared" si="54"/>
        <v xml:space="preserve"> </v>
      </c>
      <c r="AC81" s="2" t="str">
        <f>CONCATENATE(+Contacts!A81)</f>
        <v/>
      </c>
      <c r="AD81" s="3" t="str">
        <f>CONCATENATE(" ",+Contacts!B81)</f>
        <v xml:space="preserve"> </v>
      </c>
      <c r="AE81" s="2" t="str">
        <f t="shared" si="55"/>
        <v>(</v>
      </c>
      <c r="AF81" s="3" t="str">
        <f>CONCATENATE(+Contacts!D81)</f>
        <v>Hotel</v>
      </c>
      <c r="AG81" s="2" t="str">
        <f t="shared" si="56"/>
        <v>)</v>
      </c>
      <c r="AH81" t="str">
        <f>CONCATENATE(+Contacts!I81)</f>
        <v/>
      </c>
      <c r="AI81">
        <v>1500000010</v>
      </c>
      <c r="AJ81" s="5">
        <f t="shared" si="57"/>
        <v>1</v>
      </c>
    </row>
    <row r="82" spans="1:36" x14ac:dyDescent="0.35">
      <c r="A82" s="7" t="str">
        <f t="shared" si="32"/>
        <v>&lt;contact&gt;&lt;category&gt;0&lt;/category&gt;&lt;person&gt;&lt;realName&gt;Dahhane-Serghini, Najoua   &lt;/realName&gt;&lt;/person&gt;</v>
      </c>
      <c r="B82" s="7" t="str">
        <f t="shared" si="33"/>
        <v>&lt;telephony nid="1"&gt;&lt;number id="0" prio="1" type="mobile"&gt;+31 639110005&lt;/number&gt;&lt;/telephony&gt;</v>
      </c>
      <c r="C82" s="7" t="str">
        <f t="shared" si="34"/>
        <v>&lt;services nid="1"&gt;&lt;email id="0" classifier="private"&gt;dahhane@casema.nl&lt;/email&gt;&lt;/services&gt;&lt;setup /&gt;&lt;mod_time&gt;1500000010&lt;/mod_time&gt;&lt;uniqueid&gt;1&lt;/uniqueid&gt;&lt;/contact&gt;</v>
      </c>
      <c r="D82" t="str">
        <f t="shared" si="35"/>
        <v>&lt;contact&gt;&lt;category&gt;0&lt;/category&gt;&lt;person&gt;&lt;realName&gt;Dahhane-Serghini, Najoua   &lt;/realName&gt;&lt;/person&gt;</v>
      </c>
      <c r="E82" t="str">
        <f t="shared" si="36"/>
        <v>&lt;telephony nid="1"&gt;&lt;number id="0" prio="1" type="mobile"&gt;+31 639110005&lt;/number&gt;&lt;/telephony&gt;</v>
      </c>
      <c r="F82" t="str">
        <f t="shared" si="37"/>
        <v>&lt;telephony nid="1"&gt;</v>
      </c>
      <c r="G82" t="str">
        <f t="shared" si="38"/>
        <v/>
      </c>
      <c r="H82" t="str">
        <f t="shared" si="39"/>
        <v>&lt;services nid="1"&gt;&lt;email id="0" classifier="private"&gt;dahhane@casema.nl&lt;/email&gt;&lt;/services&gt;&lt;setup /&gt;&lt;mod_time&gt;1500000010&lt;/mod_time&gt;&lt;uniqueid&gt;1&lt;/uniqueid&gt;&lt;/contact&gt;</v>
      </c>
      <c r="I82" t="str">
        <f t="shared" si="40"/>
        <v>&lt;services /&gt;&lt;setup /&gt;&lt;mod_time&gt;1500000010&lt;/mod_time&gt;&lt;uniqueid&gt;1&lt;/uniqueid&gt;&lt;/contact&gt;</v>
      </c>
      <c r="J82" t="str">
        <f t="shared" si="41"/>
        <v>&lt;services nid="1"&gt;&lt;email id="0" classifier="private"&gt;dahhane@casema.nl&lt;/email&gt;&lt;/services&gt;&lt;setup /&gt;&lt;mod_time&gt;1500000010&lt;/mod_time&gt;&lt;uniqueid&gt;1&lt;/uniqueid&gt;&lt;/contact&gt;</v>
      </c>
      <c r="K82" s="5">
        <f t="shared" si="42"/>
        <v>0</v>
      </c>
      <c r="L82" s="5">
        <f t="shared" si="43"/>
        <v>0</v>
      </c>
      <c r="M82" s="5" t="str">
        <f>CONCATENATE(+Contacts!E82)</f>
        <v/>
      </c>
      <c r="N82" t="str">
        <f t="shared" si="44"/>
        <v/>
      </c>
      <c r="O82" s="5">
        <f t="shared" si="45"/>
        <v>0</v>
      </c>
      <c r="P82" s="5">
        <f t="shared" si="46"/>
        <v>0</v>
      </c>
      <c r="Q82" s="5" t="str">
        <f>CONCATENATE(+Contacts!G82)</f>
        <v/>
      </c>
      <c r="R82" t="str">
        <f t="shared" si="47"/>
        <v>&lt;number id="0" prio="1" type="mobile"&gt;+31 639110005&lt;/number&gt;</v>
      </c>
      <c r="S82" s="5">
        <f t="shared" si="48"/>
        <v>1</v>
      </c>
      <c r="T82" s="5">
        <f t="shared" si="49"/>
        <v>1</v>
      </c>
      <c r="U82" s="5" t="str">
        <f>CONCATENATE(+Contacts!H82)</f>
        <v>+31 639110005</v>
      </c>
      <c r="V82" t="str">
        <f t="shared" si="50"/>
        <v/>
      </c>
      <c r="W82" s="5">
        <f t="shared" si="51"/>
        <v>1</v>
      </c>
      <c r="X82" s="5">
        <f t="shared" si="52"/>
        <v>1</v>
      </c>
      <c r="Y82" s="5" t="str">
        <f>CONCATENATE(+Contacts!F82)</f>
        <v/>
      </c>
      <c r="Z82" s="2" t="str">
        <f t="shared" si="53"/>
        <v xml:space="preserve">Dahhane-Serghini, Najoua   </v>
      </c>
      <c r="AA82" s="2" t="str">
        <f>CONCATENATE(+Contacts!C82)</f>
        <v>Dahhane-Serghini</v>
      </c>
      <c r="AB82" s="2" t="str">
        <f t="shared" si="54"/>
        <v xml:space="preserve">, </v>
      </c>
      <c r="AC82" s="2" t="str">
        <f>CONCATENATE(+Contacts!A82)</f>
        <v>Najoua</v>
      </c>
      <c r="AD82" s="3" t="str">
        <f>CONCATENATE(" ",+Contacts!B82)</f>
        <v xml:space="preserve"> </v>
      </c>
      <c r="AE82" s="2" t="str">
        <f t="shared" si="55"/>
        <v xml:space="preserve"> </v>
      </c>
      <c r="AF82" s="3" t="str">
        <f>CONCATENATE(+Contacts!D82)</f>
        <v/>
      </c>
      <c r="AG82" s="2" t="str">
        <f t="shared" si="56"/>
        <v xml:space="preserve"> </v>
      </c>
      <c r="AH82" t="str">
        <f>CONCATENATE(+Contacts!I82)</f>
        <v>dahhane@casema.nl</v>
      </c>
      <c r="AI82">
        <v>1500000010</v>
      </c>
      <c r="AJ82" s="5">
        <f t="shared" si="57"/>
        <v>1</v>
      </c>
    </row>
    <row r="83" spans="1:36" x14ac:dyDescent="0.35">
      <c r="A83" s="7" t="str">
        <f t="shared" si="32"/>
        <v>&lt;contact&gt;&lt;category&gt;0&lt;/category&gt;&lt;person&gt;&lt;realName&gt;De Graaf, Desiree (Pilates en Yoga)&lt;/realName&gt;&lt;/person&gt;</v>
      </c>
      <c r="B83" s="7" t="str">
        <f t="shared" si="33"/>
        <v>&lt;telephony nid="1"&gt;&lt;number id="0" prio="1" type="mobile"&gt;+31 6 10 41 55 55&lt;/number&gt;&lt;/telephony&gt;</v>
      </c>
      <c r="C83" s="7" t="str">
        <f t="shared" si="34"/>
        <v>&lt;services nid="1"&gt;&lt;email id="0" classifier="private"&gt;desiree.degraaf@icloud.com&lt;/email&gt;&lt;/services&gt;&lt;setup /&gt;&lt;mod_time&gt;1500000010&lt;/mod_time&gt;&lt;uniqueid&gt;1&lt;/uniqueid&gt;&lt;/contact&gt;</v>
      </c>
      <c r="D83" t="str">
        <f t="shared" si="35"/>
        <v>&lt;contact&gt;&lt;category&gt;0&lt;/category&gt;&lt;person&gt;&lt;realName&gt;De Graaf, Desiree (Pilates en Yoga)&lt;/realName&gt;&lt;/person&gt;</v>
      </c>
      <c r="E83" t="str">
        <f t="shared" si="36"/>
        <v>&lt;telephony nid="1"&gt;&lt;number id="0" prio="1" type="mobile"&gt;+31 6 10 41 55 55&lt;/number&gt;&lt;/telephony&gt;</v>
      </c>
      <c r="F83" t="str">
        <f t="shared" si="37"/>
        <v>&lt;telephony nid="1"&gt;</v>
      </c>
      <c r="G83" t="str">
        <f t="shared" si="38"/>
        <v/>
      </c>
      <c r="H83" t="str">
        <f t="shared" si="39"/>
        <v>&lt;services nid="1"&gt;&lt;email id="0" classifier="private"&gt;desiree.degraaf@icloud.com&lt;/email&gt;&lt;/services&gt;&lt;setup /&gt;&lt;mod_time&gt;1500000010&lt;/mod_time&gt;&lt;uniqueid&gt;1&lt;/uniqueid&gt;&lt;/contact&gt;</v>
      </c>
      <c r="I83" t="str">
        <f t="shared" si="40"/>
        <v>&lt;services /&gt;&lt;setup /&gt;&lt;mod_time&gt;1500000010&lt;/mod_time&gt;&lt;uniqueid&gt;1&lt;/uniqueid&gt;&lt;/contact&gt;</v>
      </c>
      <c r="J83" t="str">
        <f t="shared" si="41"/>
        <v>&lt;services nid="1"&gt;&lt;email id="0" classifier="private"&gt;desiree.degraaf@icloud.com&lt;/email&gt;&lt;/services&gt;&lt;setup /&gt;&lt;mod_time&gt;1500000010&lt;/mod_time&gt;&lt;uniqueid&gt;1&lt;/uniqueid&gt;&lt;/contact&gt;</v>
      </c>
      <c r="K83" s="5">
        <f t="shared" si="42"/>
        <v>0</v>
      </c>
      <c r="L83" s="5">
        <f t="shared" si="43"/>
        <v>0</v>
      </c>
      <c r="M83" s="5" t="str">
        <f>CONCATENATE(+Contacts!E83)</f>
        <v/>
      </c>
      <c r="N83" t="str">
        <f t="shared" si="44"/>
        <v/>
      </c>
      <c r="O83" s="5">
        <f t="shared" si="45"/>
        <v>0</v>
      </c>
      <c r="P83" s="5">
        <f t="shared" si="46"/>
        <v>0</v>
      </c>
      <c r="Q83" s="5" t="str">
        <f>CONCATENATE(+Contacts!G83)</f>
        <v/>
      </c>
      <c r="R83" t="str">
        <f t="shared" si="47"/>
        <v>&lt;number id="0" prio="1" type="mobile"&gt;+31 6 10 41 55 55&lt;/number&gt;</v>
      </c>
      <c r="S83" s="5">
        <f t="shared" si="48"/>
        <v>1</v>
      </c>
      <c r="T83" s="5">
        <f t="shared" si="49"/>
        <v>1</v>
      </c>
      <c r="U83" s="5" t="str">
        <f>CONCATENATE(+Contacts!H83)</f>
        <v>+31 6 10 41 55 55</v>
      </c>
      <c r="V83" t="str">
        <f t="shared" si="50"/>
        <v/>
      </c>
      <c r="W83" s="5">
        <f t="shared" si="51"/>
        <v>1</v>
      </c>
      <c r="X83" s="5">
        <f t="shared" si="52"/>
        <v>1</v>
      </c>
      <c r="Y83" s="5" t="str">
        <f>CONCATENATE(+Contacts!F83)</f>
        <v/>
      </c>
      <c r="Z83" s="2" t="str">
        <f t="shared" si="53"/>
        <v>De Graaf, Desiree (Pilates en Yoga)</v>
      </c>
      <c r="AA83" s="2" t="str">
        <f>CONCATENATE(+Contacts!C83)</f>
        <v>De Graaf</v>
      </c>
      <c r="AB83" s="2" t="str">
        <f t="shared" si="54"/>
        <v xml:space="preserve">, </v>
      </c>
      <c r="AC83" s="2" t="str">
        <f>CONCATENATE(+Contacts!A83)</f>
        <v>Desiree</v>
      </c>
      <c r="AD83" s="3" t="str">
        <f>CONCATENATE(" ",+Contacts!B83)</f>
        <v xml:space="preserve"> </v>
      </c>
      <c r="AE83" s="2" t="str">
        <f t="shared" si="55"/>
        <v>(</v>
      </c>
      <c r="AF83" s="3" t="str">
        <f>CONCATENATE(+Contacts!D83)</f>
        <v>Pilates en Yoga</v>
      </c>
      <c r="AG83" s="2" t="str">
        <f t="shared" si="56"/>
        <v>)</v>
      </c>
      <c r="AH83" t="str">
        <f>CONCATENATE(+Contacts!I83)</f>
        <v>desiree.degraaf@icloud.com</v>
      </c>
      <c r="AI83">
        <v>1500000010</v>
      </c>
      <c r="AJ83" s="5">
        <f t="shared" si="57"/>
        <v>1</v>
      </c>
    </row>
    <row r="84" spans="1:36" x14ac:dyDescent="0.35">
      <c r="A84" s="7" t="str">
        <f t="shared" si="32"/>
        <v>&lt;contact&gt;&lt;category&gt;0&lt;/category&gt;&lt;person&gt;&lt;realName&gt;de Groot, Mark   &lt;/realName&gt;&lt;/person&gt;</v>
      </c>
      <c r="B84" s="7" t="str">
        <f t="shared" si="33"/>
        <v>&lt;telephony nid="1"&gt;&lt;number id="0" prio="1" type="mobile"&gt;31647659619&lt;/number&gt;&lt;/telephony&gt;</v>
      </c>
      <c r="C84" s="7" t="str">
        <f t="shared" si="34"/>
        <v>&lt;services /&gt;&lt;setup /&gt;&lt;mod_time&gt;1500000010&lt;/mod_time&gt;&lt;uniqueid&gt;1&lt;/uniqueid&gt;&lt;/contact&gt;</v>
      </c>
      <c r="D84" t="str">
        <f t="shared" si="35"/>
        <v>&lt;contact&gt;&lt;category&gt;0&lt;/category&gt;&lt;person&gt;&lt;realName&gt;de Groot, Mark   &lt;/realName&gt;&lt;/person&gt;</v>
      </c>
      <c r="E84" t="str">
        <f t="shared" si="36"/>
        <v>&lt;telephony nid="1"&gt;&lt;number id="0" prio="1" type="mobile"&gt;31647659619&lt;/number&gt;&lt;/telephony&gt;</v>
      </c>
      <c r="F84" t="str">
        <f t="shared" si="37"/>
        <v>&lt;telephony nid="1"&gt;</v>
      </c>
      <c r="G84" t="str">
        <f t="shared" si="38"/>
        <v/>
      </c>
      <c r="H84" t="str">
        <f t="shared" si="39"/>
        <v>&lt;services nid="1"&gt;&lt;email id="0" classifier="private"&gt;&lt;/email&gt;&lt;/services&gt;&lt;setup /&gt;&lt;mod_time&gt;1500000010&lt;/mod_time&gt;&lt;uniqueid&gt;1&lt;/uniqueid&gt;&lt;/contact&gt;</v>
      </c>
      <c r="I84" t="str">
        <f t="shared" si="40"/>
        <v>&lt;services /&gt;&lt;setup /&gt;&lt;mod_time&gt;1500000010&lt;/mod_time&gt;&lt;uniqueid&gt;1&lt;/uniqueid&gt;&lt;/contact&gt;</v>
      </c>
      <c r="J84" t="str">
        <f t="shared" si="41"/>
        <v>&lt;services /&gt;&lt;setup /&gt;&lt;mod_time&gt;1500000010&lt;/mod_time&gt;&lt;uniqueid&gt;1&lt;/uniqueid&gt;&lt;/contact&gt;</v>
      </c>
      <c r="K84" s="5">
        <f t="shared" si="42"/>
        <v>0</v>
      </c>
      <c r="L84" s="5">
        <f t="shared" si="43"/>
        <v>0</v>
      </c>
      <c r="M84" s="5" t="str">
        <f>CONCATENATE(+Contacts!E84)</f>
        <v/>
      </c>
      <c r="N84" t="str">
        <f t="shared" si="44"/>
        <v/>
      </c>
      <c r="O84" s="5">
        <f t="shared" si="45"/>
        <v>0</v>
      </c>
      <c r="P84" s="5">
        <f t="shared" si="46"/>
        <v>0</v>
      </c>
      <c r="Q84" s="5" t="str">
        <f>CONCATENATE(+Contacts!G84)</f>
        <v/>
      </c>
      <c r="R84" t="str">
        <f t="shared" si="47"/>
        <v>&lt;number id="0" prio="1" type="mobile"&gt;31647659619&lt;/number&gt;</v>
      </c>
      <c r="S84" s="5">
        <f t="shared" si="48"/>
        <v>1</v>
      </c>
      <c r="T84" s="5">
        <f t="shared" si="49"/>
        <v>1</v>
      </c>
      <c r="U84" s="5" t="str">
        <f>CONCATENATE(+Contacts!H84)</f>
        <v>31647659619</v>
      </c>
      <c r="V84" t="str">
        <f t="shared" si="50"/>
        <v/>
      </c>
      <c r="W84" s="5">
        <f t="shared" si="51"/>
        <v>1</v>
      </c>
      <c r="X84" s="5">
        <f t="shared" si="52"/>
        <v>1</v>
      </c>
      <c r="Y84" s="5" t="str">
        <f>CONCATENATE(+Contacts!F84)</f>
        <v/>
      </c>
      <c r="Z84" s="2" t="str">
        <f t="shared" si="53"/>
        <v xml:space="preserve">de Groot, Mark   </v>
      </c>
      <c r="AA84" s="2" t="str">
        <f>CONCATENATE(+Contacts!C84)</f>
        <v>de Groot</v>
      </c>
      <c r="AB84" s="2" t="str">
        <f t="shared" si="54"/>
        <v xml:space="preserve">, </v>
      </c>
      <c r="AC84" s="2" t="str">
        <f>CONCATENATE(+Contacts!A84)</f>
        <v>Mark</v>
      </c>
      <c r="AD84" s="3" t="str">
        <f>CONCATENATE(" ",+Contacts!B84)</f>
        <v xml:space="preserve"> </v>
      </c>
      <c r="AE84" s="2" t="str">
        <f t="shared" si="55"/>
        <v xml:space="preserve"> </v>
      </c>
      <c r="AF84" s="3" t="str">
        <f>CONCATENATE(+Contacts!D84)</f>
        <v/>
      </c>
      <c r="AG84" s="2" t="str">
        <f t="shared" si="56"/>
        <v xml:space="preserve"> </v>
      </c>
      <c r="AH84" t="str">
        <f>CONCATENATE(+Contacts!I84)</f>
        <v/>
      </c>
      <c r="AI84">
        <v>1500000010</v>
      </c>
      <c r="AJ84" s="5">
        <f t="shared" si="57"/>
        <v>1</v>
      </c>
    </row>
    <row r="85" spans="1:36" x14ac:dyDescent="0.35">
      <c r="A85" s="7" t="str">
        <f t="shared" si="32"/>
        <v>&lt;contact&gt;&lt;category&gt;0&lt;/category&gt;&lt;person&gt;&lt;realName&gt;De Hon-Kuijpers, Behanger  Albert via Hellen   &lt;/realName&gt;&lt;/person&gt;</v>
      </c>
      <c r="B85" s="7" t="str">
        <f t="shared" si="33"/>
        <v>&lt;telephony nid="2"&gt;&lt;number id="0" prio="1" type="home"&gt;(06) 42 64 50 90&lt;/number&gt;&lt;number id="1" prio="0" type="work"&gt;(06) 53 55 16 03&lt;/number&gt;&lt;/telephony&gt;</v>
      </c>
      <c r="C85" s="7" t="str">
        <f t="shared" si="34"/>
        <v>&lt;services /&gt;&lt;setup /&gt;&lt;mod_time&gt;1500000010&lt;/mod_time&gt;&lt;uniqueid&gt;1&lt;/uniqueid&gt;&lt;/contact&gt;</v>
      </c>
      <c r="D85" t="str">
        <f t="shared" si="35"/>
        <v>&lt;contact&gt;&lt;category&gt;0&lt;/category&gt;&lt;person&gt;&lt;realName&gt;De Hon-Kuijpers, Behanger  Albert via Hellen   &lt;/realName&gt;&lt;/person&gt;</v>
      </c>
      <c r="E85" t="str">
        <f t="shared" si="36"/>
        <v>&lt;telephony nid="2"&gt;&lt;number id="0" prio="1" type="home"&gt;(06) 42 64 50 90&lt;/number&gt;&lt;number id="1" prio="0" type="work"&gt;(06) 53 55 16 03&lt;/number&gt;&lt;/telephony&gt;</v>
      </c>
      <c r="F85" t="str">
        <f t="shared" si="37"/>
        <v>&lt;telephony nid="2"&gt;</v>
      </c>
      <c r="G85" t="str">
        <f t="shared" si="38"/>
        <v/>
      </c>
      <c r="H85" t="str">
        <f t="shared" si="39"/>
        <v>&lt;services nid="1"&gt;&lt;email id="0" classifier="private"&gt;&lt;/email&gt;&lt;/services&gt;&lt;setup /&gt;&lt;mod_time&gt;1500000010&lt;/mod_time&gt;&lt;uniqueid&gt;1&lt;/uniqueid&gt;&lt;/contact&gt;</v>
      </c>
      <c r="I85" t="str">
        <f t="shared" si="40"/>
        <v>&lt;services /&gt;&lt;setup /&gt;&lt;mod_time&gt;1500000010&lt;/mod_time&gt;&lt;uniqueid&gt;1&lt;/uniqueid&gt;&lt;/contact&gt;</v>
      </c>
      <c r="J85" t="str">
        <f t="shared" si="41"/>
        <v>&lt;services /&gt;&lt;setup /&gt;&lt;mod_time&gt;1500000010&lt;/mod_time&gt;&lt;uniqueid&gt;1&lt;/uniqueid&gt;&lt;/contact&gt;</v>
      </c>
      <c r="K85" s="5">
        <f t="shared" si="42"/>
        <v>0</v>
      </c>
      <c r="L85" s="5">
        <f t="shared" si="43"/>
        <v>0</v>
      </c>
      <c r="M85" s="5" t="str">
        <f>CONCATENATE(+Contacts!E85)</f>
        <v/>
      </c>
      <c r="N85" t="str">
        <f t="shared" si="44"/>
        <v>&lt;number id="0" prio="1" type="home"&gt;(06) 42 64 50 90&lt;/number&gt;</v>
      </c>
      <c r="O85" s="5">
        <f t="shared" si="45"/>
        <v>1</v>
      </c>
      <c r="P85" s="5">
        <f t="shared" si="46"/>
        <v>1</v>
      </c>
      <c r="Q85" s="5" t="str">
        <f>CONCATENATE(+Contacts!G85)</f>
        <v>(06) 42 64 50 90</v>
      </c>
      <c r="R85" t="str">
        <f t="shared" si="47"/>
        <v/>
      </c>
      <c r="S85" s="5">
        <f t="shared" si="48"/>
        <v>1</v>
      </c>
      <c r="T85" s="5">
        <f t="shared" si="49"/>
        <v>1</v>
      </c>
      <c r="U85" s="5" t="str">
        <f>CONCATENATE(+Contacts!H85)</f>
        <v/>
      </c>
      <c r="V85" t="str">
        <f t="shared" si="50"/>
        <v>&lt;number id="1" prio="0" type="work"&gt;(06) 53 55 16 03&lt;/number&gt;</v>
      </c>
      <c r="W85" s="5">
        <f t="shared" si="51"/>
        <v>2</v>
      </c>
      <c r="X85" s="5">
        <f t="shared" si="52"/>
        <v>0</v>
      </c>
      <c r="Y85" s="5" t="str">
        <f>CONCATENATE(+Contacts!F85)</f>
        <v>(06) 53 55 16 03</v>
      </c>
      <c r="Z85" s="2" t="str">
        <f t="shared" si="53"/>
        <v xml:space="preserve">De Hon-Kuijpers, Behanger  Albert via Hellen   </v>
      </c>
      <c r="AA85" s="2" t="str">
        <f>CONCATENATE(+Contacts!C85)</f>
        <v>De Hon-Kuijpers</v>
      </c>
      <c r="AB85" s="2" t="str">
        <f t="shared" si="54"/>
        <v xml:space="preserve">, </v>
      </c>
      <c r="AC85" s="2" t="str">
        <f>CONCATENATE(+Contacts!A85)</f>
        <v>Behanger  Albert via Hellen</v>
      </c>
      <c r="AD85" s="3" t="str">
        <f>CONCATENATE(" ",+Contacts!B85)</f>
        <v xml:space="preserve"> </v>
      </c>
      <c r="AE85" s="2" t="str">
        <f t="shared" si="55"/>
        <v xml:space="preserve"> </v>
      </c>
      <c r="AF85" s="3" t="str">
        <f>CONCATENATE(+Contacts!D85)</f>
        <v/>
      </c>
      <c r="AG85" s="2" t="str">
        <f t="shared" si="56"/>
        <v xml:space="preserve"> </v>
      </c>
      <c r="AH85" t="str">
        <f>CONCATENATE(+Contacts!I85)</f>
        <v/>
      </c>
      <c r="AI85">
        <v>1500000010</v>
      </c>
      <c r="AJ85" s="5">
        <f t="shared" si="57"/>
        <v>1</v>
      </c>
    </row>
    <row r="86" spans="1:36" x14ac:dyDescent="0.35">
      <c r="A86" s="7" t="str">
        <f t="shared" si="32"/>
        <v/>
      </c>
      <c r="B86" s="7" t="str">
        <f t="shared" si="33"/>
        <v/>
      </c>
      <c r="C86" s="7" t="str">
        <f t="shared" si="34"/>
        <v/>
      </c>
      <c r="D86" t="str">
        <f t="shared" si="35"/>
        <v>&lt;contact&gt;&lt;category&gt;0&lt;/category&gt;&lt;person&gt;&lt;realName&gt;De Koning, Corrie   &lt;/realName&gt;&lt;/person&gt;</v>
      </c>
      <c r="E86" t="str">
        <f t="shared" si="36"/>
        <v>&lt;telephony nid="0"&gt;&lt;/telephony&gt;</v>
      </c>
      <c r="F86" t="str">
        <f t="shared" si="37"/>
        <v>&lt;telephony nid="0"&gt;</v>
      </c>
      <c r="G86" t="str">
        <f t="shared" si="38"/>
        <v/>
      </c>
      <c r="H86" t="str">
        <f t="shared" si="39"/>
        <v>&lt;services nid="1"&gt;&lt;email id="0" classifier="private"&gt;corrie.dekoning@kpnmail.nl&lt;/email&gt;&lt;/services&gt;&lt;setup /&gt;&lt;mod_time&gt;1500000010&lt;/mod_time&gt;&lt;uniqueid&gt;0&lt;/uniqueid&gt;&lt;/contact&gt;</v>
      </c>
      <c r="I86" t="str">
        <f t="shared" si="40"/>
        <v>&lt;services /&gt;&lt;setup /&gt;&lt;mod_time&gt;1500000010&lt;/mod_time&gt;&lt;uniqueid&gt;0&lt;/uniqueid&gt;&lt;/contact&gt;</v>
      </c>
      <c r="J86" t="str">
        <f t="shared" si="41"/>
        <v>&lt;services nid="1"&gt;&lt;email id="0" classifier="private"&gt;corrie.dekoning@kpnmail.nl&lt;/email&gt;&lt;/services&gt;&lt;setup /&gt;&lt;mod_time&gt;1500000010&lt;/mod_time&gt;&lt;uniqueid&gt;0&lt;/uniqueid&gt;&lt;/contact&gt;</v>
      </c>
      <c r="K86" s="5">
        <f t="shared" si="42"/>
        <v>0</v>
      </c>
      <c r="L86" s="5">
        <f t="shared" si="43"/>
        <v>0</v>
      </c>
      <c r="M86" s="5" t="str">
        <f>CONCATENATE(+Contacts!E86)</f>
        <v/>
      </c>
      <c r="N86" t="str">
        <f t="shared" si="44"/>
        <v/>
      </c>
      <c r="O86" s="5">
        <f t="shared" si="45"/>
        <v>0</v>
      </c>
      <c r="P86" s="5">
        <f t="shared" si="46"/>
        <v>0</v>
      </c>
      <c r="Q86" s="5" t="str">
        <f>CONCATENATE(+Contacts!G86)</f>
        <v/>
      </c>
      <c r="R86" t="str">
        <f t="shared" si="47"/>
        <v/>
      </c>
      <c r="S86" s="5">
        <f t="shared" si="48"/>
        <v>0</v>
      </c>
      <c r="T86" s="5">
        <f t="shared" si="49"/>
        <v>0</v>
      </c>
      <c r="U86" s="5" t="str">
        <f>CONCATENATE(+Contacts!H86)</f>
        <v/>
      </c>
      <c r="V86" t="str">
        <f t="shared" si="50"/>
        <v/>
      </c>
      <c r="W86" s="5">
        <f t="shared" si="51"/>
        <v>0</v>
      </c>
      <c r="X86" s="5">
        <f t="shared" si="52"/>
        <v>0</v>
      </c>
      <c r="Y86" s="5" t="str">
        <f>CONCATENATE(+Contacts!F86)</f>
        <v/>
      </c>
      <c r="Z86" s="2" t="str">
        <f t="shared" si="53"/>
        <v xml:space="preserve">De Koning, Corrie   </v>
      </c>
      <c r="AA86" s="2" t="str">
        <f>CONCATENATE(+Contacts!C86)</f>
        <v>De Koning</v>
      </c>
      <c r="AB86" s="2" t="str">
        <f t="shared" si="54"/>
        <v xml:space="preserve">, </v>
      </c>
      <c r="AC86" s="2" t="str">
        <f>CONCATENATE(+Contacts!A86)</f>
        <v>Corrie</v>
      </c>
      <c r="AD86" s="3" t="str">
        <f>CONCATENATE(" ",+Contacts!B86)</f>
        <v xml:space="preserve"> </v>
      </c>
      <c r="AE86" s="2" t="str">
        <f t="shared" si="55"/>
        <v xml:space="preserve"> </v>
      </c>
      <c r="AF86" s="3" t="str">
        <f>CONCATENATE(+Contacts!D86)</f>
        <v/>
      </c>
      <c r="AG86" s="2" t="str">
        <f t="shared" si="56"/>
        <v xml:space="preserve"> </v>
      </c>
      <c r="AH86" t="str">
        <f>CONCATENATE(+Contacts!I86)</f>
        <v>corrie.dekoning@kpnmail.nl</v>
      </c>
      <c r="AI86">
        <v>1500000010</v>
      </c>
      <c r="AJ86" s="5">
        <f t="shared" si="57"/>
        <v>0</v>
      </c>
    </row>
    <row r="87" spans="1:36" x14ac:dyDescent="0.35">
      <c r="A87" s="7" t="str">
        <f t="shared" si="32"/>
        <v/>
      </c>
      <c r="B87" s="7" t="str">
        <f t="shared" si="33"/>
        <v/>
      </c>
      <c r="C87" s="7" t="str">
        <f t="shared" si="34"/>
        <v/>
      </c>
      <c r="D87" t="str">
        <f t="shared" si="35"/>
        <v>&lt;contact&gt;&lt;category&gt;0&lt;/category&gt;&lt;person&gt;&lt;realName&gt;De schilder via Ruigrok , Georgy   &lt;/realName&gt;&lt;/person&gt;</v>
      </c>
      <c r="E87" t="str">
        <f t="shared" si="36"/>
        <v>&lt;telephony nid="0"&gt;&lt;/telephony&gt;</v>
      </c>
      <c r="F87" t="str">
        <f t="shared" si="37"/>
        <v>&lt;telephony nid="0"&gt;</v>
      </c>
      <c r="G87" t="str">
        <f t="shared" si="38"/>
        <v/>
      </c>
      <c r="H87" t="str">
        <f t="shared" si="39"/>
        <v>&lt;services nid="1"&gt;&lt;email id="0" classifier="private"&gt;&lt;/email&gt;&lt;/services&gt;&lt;setup /&gt;&lt;mod_time&gt;1500000010&lt;/mod_time&gt;&lt;uniqueid&gt;0&lt;/uniqueid&gt;&lt;/contact&gt;</v>
      </c>
      <c r="I87" t="str">
        <f t="shared" si="40"/>
        <v>&lt;services /&gt;&lt;setup /&gt;&lt;mod_time&gt;1500000010&lt;/mod_time&gt;&lt;uniqueid&gt;0&lt;/uniqueid&gt;&lt;/contact&gt;</v>
      </c>
      <c r="J87" t="str">
        <f t="shared" si="41"/>
        <v>&lt;services /&gt;&lt;setup /&gt;&lt;mod_time&gt;1500000010&lt;/mod_time&gt;&lt;uniqueid&gt;0&lt;/uniqueid&gt;&lt;/contact&gt;</v>
      </c>
      <c r="K87" s="5">
        <f t="shared" si="42"/>
        <v>0</v>
      </c>
      <c r="L87" s="5">
        <f t="shared" si="43"/>
        <v>0</v>
      </c>
      <c r="M87" s="5" t="str">
        <f>CONCATENATE(+Contacts!E87)</f>
        <v/>
      </c>
      <c r="N87" t="str">
        <f t="shared" si="44"/>
        <v/>
      </c>
      <c r="O87" s="5">
        <f t="shared" si="45"/>
        <v>0</v>
      </c>
      <c r="P87" s="5">
        <f t="shared" si="46"/>
        <v>0</v>
      </c>
      <c r="Q87" s="5" t="str">
        <f>CONCATENATE(+Contacts!G87)</f>
        <v/>
      </c>
      <c r="R87" t="str">
        <f t="shared" si="47"/>
        <v/>
      </c>
      <c r="S87" s="5">
        <f t="shared" si="48"/>
        <v>0</v>
      </c>
      <c r="T87" s="5">
        <f t="shared" si="49"/>
        <v>0</v>
      </c>
      <c r="U87" s="5" t="str">
        <f>CONCATENATE(+Contacts!H87)</f>
        <v/>
      </c>
      <c r="V87" t="str">
        <f t="shared" si="50"/>
        <v/>
      </c>
      <c r="W87" s="5">
        <f t="shared" si="51"/>
        <v>0</v>
      </c>
      <c r="X87" s="5">
        <f t="shared" si="52"/>
        <v>0</v>
      </c>
      <c r="Y87" s="5" t="str">
        <f>CONCATENATE(+Contacts!F87)</f>
        <v/>
      </c>
      <c r="Z87" s="2" t="str">
        <f t="shared" si="53"/>
        <v xml:space="preserve">De schilder via Ruigrok , Georgy   </v>
      </c>
      <c r="AA87" s="2" t="str">
        <f>CONCATENATE(+Contacts!C87)</f>
        <v xml:space="preserve">De schilder via Ruigrok </v>
      </c>
      <c r="AB87" s="2" t="str">
        <f t="shared" si="54"/>
        <v xml:space="preserve">, </v>
      </c>
      <c r="AC87" s="2" t="str">
        <f>CONCATENATE(+Contacts!A87)</f>
        <v>Georgy</v>
      </c>
      <c r="AD87" s="3" t="str">
        <f>CONCATENATE(" ",+Contacts!B87)</f>
        <v xml:space="preserve"> </v>
      </c>
      <c r="AE87" s="2" t="str">
        <f t="shared" si="55"/>
        <v xml:space="preserve"> </v>
      </c>
      <c r="AF87" s="3" t="str">
        <f>CONCATENATE(+Contacts!D87)</f>
        <v/>
      </c>
      <c r="AG87" s="2" t="str">
        <f t="shared" si="56"/>
        <v xml:space="preserve"> </v>
      </c>
      <c r="AH87" t="str">
        <f>CONCATENATE(+Contacts!I87)</f>
        <v/>
      </c>
      <c r="AI87">
        <v>1500000010</v>
      </c>
      <c r="AJ87" s="5">
        <f t="shared" si="57"/>
        <v>0</v>
      </c>
    </row>
    <row r="88" spans="1:36" x14ac:dyDescent="0.35">
      <c r="A88" s="7" t="str">
        <f t="shared" si="32"/>
        <v>&lt;contact&gt;&lt;category&gt;0&lt;/category&gt;&lt;person&gt;&lt;realName&gt;De Verandering  (Restaurant)&lt;/realName&gt;&lt;/person&gt;</v>
      </c>
      <c r="B88" s="7" t="str">
        <f t="shared" si="33"/>
        <v>&lt;telephony nid="1"&gt;&lt;number id="0" prio="1" type="work"&gt;+31 104201500&lt;/number&gt;&lt;/telephony&gt;</v>
      </c>
      <c r="C88" s="7" t="str">
        <f t="shared" si="34"/>
        <v>&lt;services /&gt;&lt;setup /&gt;&lt;mod_time&gt;1500000010&lt;/mod_time&gt;&lt;uniqueid&gt;1&lt;/uniqueid&gt;&lt;/contact&gt;</v>
      </c>
      <c r="D88" t="str">
        <f t="shared" si="35"/>
        <v>&lt;contact&gt;&lt;category&gt;0&lt;/category&gt;&lt;person&gt;&lt;realName&gt;De Verandering  (Restaurant)&lt;/realName&gt;&lt;/person&gt;</v>
      </c>
      <c r="E88" t="str">
        <f t="shared" si="36"/>
        <v>&lt;telephony nid="1"&gt;&lt;number id="0" prio="1" type="work"&gt;+31 104201500&lt;/number&gt;&lt;/telephony&gt;</v>
      </c>
      <c r="F88" t="str">
        <f t="shared" si="37"/>
        <v>&lt;telephony nid="1"&gt;</v>
      </c>
      <c r="G88" t="str">
        <f t="shared" si="38"/>
        <v>&lt;number id="0" prio="1" type="work"&gt;+31 104201500&lt;/number&gt;</v>
      </c>
      <c r="H88" t="str">
        <f t="shared" si="39"/>
        <v>&lt;services nid="1"&gt;&lt;email id="0" classifier="private"&gt;&lt;/email&gt;&lt;/services&gt;&lt;setup /&gt;&lt;mod_time&gt;1500000010&lt;/mod_time&gt;&lt;uniqueid&gt;1&lt;/uniqueid&gt;&lt;/contact&gt;</v>
      </c>
      <c r="I88" t="str">
        <f t="shared" si="40"/>
        <v>&lt;services /&gt;&lt;setup /&gt;&lt;mod_time&gt;1500000010&lt;/mod_time&gt;&lt;uniqueid&gt;1&lt;/uniqueid&gt;&lt;/contact&gt;</v>
      </c>
      <c r="J88" t="str">
        <f t="shared" si="41"/>
        <v>&lt;services /&gt;&lt;setup /&gt;&lt;mod_time&gt;1500000010&lt;/mod_time&gt;&lt;uniqueid&gt;1&lt;/uniqueid&gt;&lt;/contact&gt;</v>
      </c>
      <c r="K88" s="5">
        <f t="shared" si="42"/>
        <v>1</v>
      </c>
      <c r="L88" s="5">
        <f t="shared" si="43"/>
        <v>1</v>
      </c>
      <c r="M88" s="5" t="str">
        <f>CONCATENATE(+Contacts!E88)</f>
        <v>+31 104201500</v>
      </c>
      <c r="N88" t="str">
        <f t="shared" si="44"/>
        <v/>
      </c>
      <c r="O88" s="5">
        <f t="shared" si="45"/>
        <v>1</v>
      </c>
      <c r="P88" s="5">
        <f t="shared" si="46"/>
        <v>1</v>
      </c>
      <c r="Q88" s="5" t="str">
        <f>CONCATENATE(+Contacts!G88)</f>
        <v/>
      </c>
      <c r="R88" t="str">
        <f t="shared" si="47"/>
        <v/>
      </c>
      <c r="S88" s="5">
        <f t="shared" si="48"/>
        <v>1</v>
      </c>
      <c r="T88" s="5">
        <f t="shared" si="49"/>
        <v>1</v>
      </c>
      <c r="U88" s="5" t="str">
        <f>CONCATENATE(+Contacts!H88)</f>
        <v/>
      </c>
      <c r="V88" t="str">
        <f t="shared" si="50"/>
        <v/>
      </c>
      <c r="W88" s="5">
        <f t="shared" si="51"/>
        <v>1</v>
      </c>
      <c r="X88" s="5">
        <f t="shared" si="52"/>
        <v>1</v>
      </c>
      <c r="Y88" s="5" t="str">
        <f>CONCATENATE(+Contacts!F88)</f>
        <v/>
      </c>
      <c r="Z88" s="2" t="str">
        <f t="shared" si="53"/>
        <v>De Verandering  (Restaurant)</v>
      </c>
      <c r="AA88" s="2" t="str">
        <f>CONCATENATE(+Contacts!C88)</f>
        <v>De Verandering</v>
      </c>
      <c r="AB88" s="2" t="str">
        <f t="shared" si="54"/>
        <v xml:space="preserve"> </v>
      </c>
      <c r="AC88" s="2" t="str">
        <f>CONCATENATE(+Contacts!A88)</f>
        <v/>
      </c>
      <c r="AD88" s="3" t="str">
        <f>CONCATENATE(" ",+Contacts!B88)</f>
        <v xml:space="preserve"> </v>
      </c>
      <c r="AE88" s="2" t="str">
        <f t="shared" si="55"/>
        <v>(</v>
      </c>
      <c r="AF88" s="3" t="str">
        <f>CONCATENATE(+Contacts!D88)</f>
        <v>Restaurant</v>
      </c>
      <c r="AG88" s="2" t="str">
        <f t="shared" si="56"/>
        <v>)</v>
      </c>
      <c r="AH88" t="str">
        <f>CONCATENATE(+Contacts!I88)</f>
        <v/>
      </c>
      <c r="AI88">
        <v>1500000010</v>
      </c>
      <c r="AJ88" s="5">
        <f t="shared" si="57"/>
        <v>1</v>
      </c>
    </row>
    <row r="89" spans="1:36" x14ac:dyDescent="0.35">
      <c r="A89" s="7" t="str">
        <f t="shared" si="32"/>
        <v/>
      </c>
      <c r="B89" s="7" t="str">
        <f t="shared" si="33"/>
        <v/>
      </c>
      <c r="C89" s="7" t="str">
        <f t="shared" si="34"/>
        <v/>
      </c>
      <c r="D89" t="str">
        <f t="shared" si="35"/>
        <v>&lt;contact&gt;&lt;category&gt;0&lt;/category&gt;&lt;person&gt;&lt;realName&gt;Debiesse, Cédric   &lt;/realName&gt;&lt;/person&gt;</v>
      </c>
      <c r="E89" t="str">
        <f t="shared" si="36"/>
        <v>&lt;telephony nid="0"&gt;&lt;/telephony&gt;</v>
      </c>
      <c r="F89" t="str">
        <f t="shared" si="37"/>
        <v>&lt;telephony nid="0"&gt;</v>
      </c>
      <c r="G89" t="str">
        <f t="shared" si="38"/>
        <v/>
      </c>
      <c r="H89" t="str">
        <f t="shared" si="39"/>
        <v>&lt;services nid="1"&gt;&lt;email id="0" classifier="private"&gt;&lt;/email&gt;&lt;/services&gt;&lt;setup /&gt;&lt;mod_time&gt;1500000010&lt;/mod_time&gt;&lt;uniqueid&gt;0&lt;/uniqueid&gt;&lt;/contact&gt;</v>
      </c>
      <c r="I89" t="str">
        <f t="shared" si="40"/>
        <v>&lt;services /&gt;&lt;setup /&gt;&lt;mod_time&gt;1500000010&lt;/mod_time&gt;&lt;uniqueid&gt;0&lt;/uniqueid&gt;&lt;/contact&gt;</v>
      </c>
      <c r="J89" t="str">
        <f t="shared" si="41"/>
        <v>&lt;services /&gt;&lt;setup /&gt;&lt;mod_time&gt;1500000010&lt;/mod_time&gt;&lt;uniqueid&gt;0&lt;/uniqueid&gt;&lt;/contact&gt;</v>
      </c>
      <c r="K89" s="5">
        <f t="shared" si="42"/>
        <v>0</v>
      </c>
      <c r="L89" s="5">
        <f t="shared" si="43"/>
        <v>0</v>
      </c>
      <c r="M89" s="5" t="str">
        <f>CONCATENATE(+Contacts!E89)</f>
        <v/>
      </c>
      <c r="N89" t="str">
        <f t="shared" si="44"/>
        <v/>
      </c>
      <c r="O89" s="5">
        <f t="shared" si="45"/>
        <v>0</v>
      </c>
      <c r="P89" s="5">
        <f t="shared" si="46"/>
        <v>0</v>
      </c>
      <c r="Q89" s="5" t="str">
        <f>CONCATENATE(+Contacts!G89)</f>
        <v/>
      </c>
      <c r="R89" t="str">
        <f t="shared" si="47"/>
        <v/>
      </c>
      <c r="S89" s="5">
        <f t="shared" si="48"/>
        <v>0</v>
      </c>
      <c r="T89" s="5">
        <f t="shared" si="49"/>
        <v>0</v>
      </c>
      <c r="U89" s="5" t="str">
        <f>CONCATENATE(+Contacts!H89)</f>
        <v/>
      </c>
      <c r="V89" t="str">
        <f t="shared" si="50"/>
        <v/>
      </c>
      <c r="W89" s="5">
        <f t="shared" si="51"/>
        <v>0</v>
      </c>
      <c r="X89" s="5">
        <f t="shared" si="52"/>
        <v>0</v>
      </c>
      <c r="Y89" s="5" t="str">
        <f>CONCATENATE(+Contacts!F89)</f>
        <v/>
      </c>
      <c r="Z89" s="2" t="str">
        <f t="shared" si="53"/>
        <v xml:space="preserve">Debiesse, Cédric   </v>
      </c>
      <c r="AA89" s="2" t="str">
        <f>CONCATENATE(+Contacts!C89)</f>
        <v>Debiesse</v>
      </c>
      <c r="AB89" s="2" t="str">
        <f t="shared" si="54"/>
        <v xml:space="preserve">, </v>
      </c>
      <c r="AC89" s="2" t="str">
        <f>CONCATENATE(+Contacts!A89)</f>
        <v>Cédric</v>
      </c>
      <c r="AD89" s="3" t="str">
        <f>CONCATENATE(" ",+Contacts!B89)</f>
        <v xml:space="preserve"> </v>
      </c>
      <c r="AE89" s="2" t="str">
        <f t="shared" si="55"/>
        <v xml:space="preserve"> </v>
      </c>
      <c r="AF89" s="3" t="str">
        <f>CONCATENATE(+Contacts!D89)</f>
        <v/>
      </c>
      <c r="AG89" s="2" t="str">
        <f t="shared" si="56"/>
        <v xml:space="preserve"> </v>
      </c>
      <c r="AH89" t="str">
        <f>CONCATENATE(+Contacts!I89)</f>
        <v/>
      </c>
      <c r="AI89">
        <v>1500000010</v>
      </c>
      <c r="AJ89" s="5">
        <f t="shared" si="57"/>
        <v>0</v>
      </c>
    </row>
    <row r="90" spans="1:36" x14ac:dyDescent="0.35">
      <c r="A90" s="7" t="str">
        <f t="shared" si="32"/>
        <v>&lt;contact&gt;&lt;category&gt;0&lt;/category&gt;&lt;person&gt;&lt;realName&gt;Debiesse, Ineke   &lt;/realName&gt;&lt;/person&gt;</v>
      </c>
      <c r="B90" s="7" t="str">
        <f t="shared" si="33"/>
        <v>&lt;telephony nid="1"&gt;&lt;number id="0" prio="1" type="home"&gt;+33 56123283&lt;/number&gt;&lt;/telephony&gt;</v>
      </c>
      <c r="C90" s="7" t="str">
        <f t="shared" si="34"/>
        <v>&lt;services /&gt;&lt;setup /&gt;&lt;mod_time&gt;1500000010&lt;/mod_time&gt;&lt;uniqueid&gt;1&lt;/uniqueid&gt;&lt;/contact&gt;</v>
      </c>
      <c r="D90" t="str">
        <f t="shared" si="35"/>
        <v>&lt;contact&gt;&lt;category&gt;0&lt;/category&gt;&lt;person&gt;&lt;realName&gt;Debiesse, Ineke   &lt;/realName&gt;&lt;/person&gt;</v>
      </c>
      <c r="E90" t="str">
        <f t="shared" si="36"/>
        <v>&lt;telephony nid="1"&gt;&lt;number id="0" prio="1" type="home"&gt;+33 56123283&lt;/number&gt;&lt;/telephony&gt;</v>
      </c>
      <c r="F90" t="str">
        <f t="shared" si="37"/>
        <v>&lt;telephony nid="1"&gt;</v>
      </c>
      <c r="G90" t="str">
        <f t="shared" si="38"/>
        <v/>
      </c>
      <c r="H90" t="str">
        <f t="shared" si="39"/>
        <v>&lt;services nid="1"&gt;&lt;email id="0" classifier="private"&gt;&lt;/email&gt;&lt;/services&gt;&lt;setup /&gt;&lt;mod_time&gt;1500000010&lt;/mod_time&gt;&lt;uniqueid&gt;1&lt;/uniqueid&gt;&lt;/contact&gt;</v>
      </c>
      <c r="I90" t="str">
        <f t="shared" si="40"/>
        <v>&lt;services /&gt;&lt;setup /&gt;&lt;mod_time&gt;1500000010&lt;/mod_time&gt;&lt;uniqueid&gt;1&lt;/uniqueid&gt;&lt;/contact&gt;</v>
      </c>
      <c r="J90" t="str">
        <f t="shared" si="41"/>
        <v>&lt;services /&gt;&lt;setup /&gt;&lt;mod_time&gt;1500000010&lt;/mod_time&gt;&lt;uniqueid&gt;1&lt;/uniqueid&gt;&lt;/contact&gt;</v>
      </c>
      <c r="K90" s="5">
        <f t="shared" si="42"/>
        <v>0</v>
      </c>
      <c r="L90" s="5">
        <f t="shared" si="43"/>
        <v>0</v>
      </c>
      <c r="M90" s="5" t="str">
        <f>CONCATENATE(+Contacts!E90)</f>
        <v/>
      </c>
      <c r="N90" t="str">
        <f t="shared" si="44"/>
        <v>&lt;number id="0" prio="1" type="home"&gt;+33 56123283&lt;/number&gt;</v>
      </c>
      <c r="O90" s="5">
        <f t="shared" si="45"/>
        <v>1</v>
      </c>
      <c r="P90" s="5">
        <f t="shared" si="46"/>
        <v>1</v>
      </c>
      <c r="Q90" s="5" t="str">
        <f>CONCATENATE(+Contacts!G90)</f>
        <v>+33 56123283</v>
      </c>
      <c r="R90" t="str">
        <f t="shared" si="47"/>
        <v/>
      </c>
      <c r="S90" s="5">
        <f t="shared" si="48"/>
        <v>1</v>
      </c>
      <c r="T90" s="5">
        <f t="shared" si="49"/>
        <v>1</v>
      </c>
      <c r="U90" s="5" t="str">
        <f>CONCATENATE(+Contacts!H90)</f>
        <v/>
      </c>
      <c r="V90" t="str">
        <f t="shared" si="50"/>
        <v/>
      </c>
      <c r="W90" s="5">
        <f t="shared" si="51"/>
        <v>1</v>
      </c>
      <c r="X90" s="5">
        <f t="shared" si="52"/>
        <v>1</v>
      </c>
      <c r="Y90" s="5" t="str">
        <f>CONCATENATE(+Contacts!F90)</f>
        <v/>
      </c>
      <c r="Z90" s="2" t="str">
        <f t="shared" si="53"/>
        <v xml:space="preserve">Debiesse, Ineke   </v>
      </c>
      <c r="AA90" s="2" t="str">
        <f>CONCATENATE(+Contacts!C90)</f>
        <v>Debiesse</v>
      </c>
      <c r="AB90" s="2" t="str">
        <f t="shared" si="54"/>
        <v xml:space="preserve">, </v>
      </c>
      <c r="AC90" s="2" t="str">
        <f>CONCATENATE(+Contacts!A90)</f>
        <v>Ineke</v>
      </c>
      <c r="AD90" s="3" t="str">
        <f>CONCATENATE(" ",+Contacts!B90)</f>
        <v xml:space="preserve"> </v>
      </c>
      <c r="AE90" s="2" t="str">
        <f t="shared" si="55"/>
        <v xml:space="preserve"> </v>
      </c>
      <c r="AF90" s="3" t="str">
        <f>CONCATENATE(+Contacts!D90)</f>
        <v/>
      </c>
      <c r="AG90" s="2" t="str">
        <f t="shared" si="56"/>
        <v xml:space="preserve"> </v>
      </c>
      <c r="AH90" t="str">
        <f>CONCATENATE(+Contacts!I90)</f>
        <v/>
      </c>
      <c r="AI90">
        <v>1500000010</v>
      </c>
      <c r="AJ90" s="5">
        <f t="shared" si="57"/>
        <v>1</v>
      </c>
    </row>
    <row r="91" spans="1:36" x14ac:dyDescent="0.35">
      <c r="A91" s="7" t="str">
        <f t="shared" si="32"/>
        <v>&lt;contact&gt;&lt;category&gt;0&lt;/category&gt;&lt;person&gt;&lt;realName&gt;Debiesse, Jean-Luc   &lt;/realName&gt;&lt;/person&gt;</v>
      </c>
      <c r="B91" s="7" t="str">
        <f t="shared" si="33"/>
        <v>&lt;telephony nid="1"&gt;&lt;number id="0" prio="1" type="home"&gt;+33 56123283&lt;/number&gt;&lt;/telephony&gt;</v>
      </c>
      <c r="C91" s="7" t="str">
        <f t="shared" si="34"/>
        <v>&lt;services /&gt;&lt;setup /&gt;&lt;mod_time&gt;1500000010&lt;/mod_time&gt;&lt;uniqueid&gt;1&lt;/uniqueid&gt;&lt;/contact&gt;</v>
      </c>
      <c r="D91" t="str">
        <f t="shared" si="35"/>
        <v>&lt;contact&gt;&lt;category&gt;0&lt;/category&gt;&lt;person&gt;&lt;realName&gt;Debiesse, Jean-Luc   &lt;/realName&gt;&lt;/person&gt;</v>
      </c>
      <c r="E91" t="str">
        <f t="shared" si="36"/>
        <v>&lt;telephony nid="1"&gt;&lt;number id="0" prio="1" type="home"&gt;+33 56123283&lt;/number&gt;&lt;/telephony&gt;</v>
      </c>
      <c r="F91" t="str">
        <f t="shared" si="37"/>
        <v>&lt;telephony nid="1"&gt;</v>
      </c>
      <c r="G91" t="str">
        <f t="shared" si="38"/>
        <v/>
      </c>
      <c r="H91" t="str">
        <f t="shared" si="39"/>
        <v>&lt;services nid="1"&gt;&lt;email id="0" classifier="private"&gt;&lt;/email&gt;&lt;/services&gt;&lt;setup /&gt;&lt;mod_time&gt;1500000010&lt;/mod_time&gt;&lt;uniqueid&gt;1&lt;/uniqueid&gt;&lt;/contact&gt;</v>
      </c>
      <c r="I91" t="str">
        <f t="shared" si="40"/>
        <v>&lt;services /&gt;&lt;setup /&gt;&lt;mod_time&gt;1500000010&lt;/mod_time&gt;&lt;uniqueid&gt;1&lt;/uniqueid&gt;&lt;/contact&gt;</v>
      </c>
      <c r="J91" t="str">
        <f t="shared" si="41"/>
        <v>&lt;services /&gt;&lt;setup /&gt;&lt;mod_time&gt;1500000010&lt;/mod_time&gt;&lt;uniqueid&gt;1&lt;/uniqueid&gt;&lt;/contact&gt;</v>
      </c>
      <c r="K91" s="5">
        <f t="shared" si="42"/>
        <v>0</v>
      </c>
      <c r="L91" s="5">
        <f t="shared" si="43"/>
        <v>0</v>
      </c>
      <c r="M91" s="5" t="str">
        <f>CONCATENATE(+Contacts!E91)</f>
        <v/>
      </c>
      <c r="N91" t="str">
        <f t="shared" si="44"/>
        <v>&lt;number id="0" prio="1" type="home"&gt;+33 56123283&lt;/number&gt;</v>
      </c>
      <c r="O91" s="5">
        <f t="shared" si="45"/>
        <v>1</v>
      </c>
      <c r="P91" s="5">
        <f t="shared" si="46"/>
        <v>1</v>
      </c>
      <c r="Q91" s="5" t="str">
        <f>CONCATENATE(+Contacts!G91)</f>
        <v>+33 56123283</v>
      </c>
      <c r="R91" t="str">
        <f t="shared" si="47"/>
        <v/>
      </c>
      <c r="S91" s="5">
        <f t="shared" si="48"/>
        <v>1</v>
      </c>
      <c r="T91" s="5">
        <f t="shared" si="49"/>
        <v>1</v>
      </c>
      <c r="U91" s="5" t="str">
        <f>CONCATENATE(+Contacts!H91)</f>
        <v/>
      </c>
      <c r="V91" t="str">
        <f t="shared" si="50"/>
        <v/>
      </c>
      <c r="W91" s="5">
        <f t="shared" si="51"/>
        <v>1</v>
      </c>
      <c r="X91" s="5">
        <f t="shared" si="52"/>
        <v>1</v>
      </c>
      <c r="Y91" s="5" t="str">
        <f>CONCATENATE(+Contacts!F91)</f>
        <v/>
      </c>
      <c r="Z91" s="2" t="str">
        <f t="shared" si="53"/>
        <v xml:space="preserve">Debiesse, Jean-Luc   </v>
      </c>
      <c r="AA91" s="2" t="str">
        <f>CONCATENATE(+Contacts!C91)</f>
        <v>Debiesse</v>
      </c>
      <c r="AB91" s="2" t="str">
        <f t="shared" si="54"/>
        <v xml:space="preserve">, </v>
      </c>
      <c r="AC91" s="2" t="str">
        <f>CONCATENATE(+Contacts!A91)</f>
        <v>Jean-Luc</v>
      </c>
      <c r="AD91" s="3" t="str">
        <f>CONCATENATE(" ",+Contacts!B91)</f>
        <v xml:space="preserve"> </v>
      </c>
      <c r="AE91" s="2" t="str">
        <f t="shared" si="55"/>
        <v xml:space="preserve"> </v>
      </c>
      <c r="AF91" s="3" t="str">
        <f>CONCATENATE(+Contacts!D91)</f>
        <v/>
      </c>
      <c r="AG91" s="2" t="str">
        <f t="shared" si="56"/>
        <v xml:space="preserve"> </v>
      </c>
      <c r="AH91" t="str">
        <f>CONCATENATE(+Contacts!I91)</f>
        <v/>
      </c>
      <c r="AI91">
        <v>1500000010</v>
      </c>
      <c r="AJ91" s="5">
        <f t="shared" si="57"/>
        <v>1</v>
      </c>
    </row>
    <row r="92" spans="1:36" x14ac:dyDescent="0.35">
      <c r="A92" s="7" t="str">
        <f t="shared" si="32"/>
        <v/>
      </c>
      <c r="B92" s="7" t="str">
        <f t="shared" si="33"/>
        <v/>
      </c>
      <c r="C92" s="7" t="str">
        <f t="shared" si="34"/>
        <v/>
      </c>
      <c r="D92" t="str">
        <f t="shared" si="35"/>
        <v>&lt;contact&gt;&lt;category&gt;0&lt;/category&gt;&lt;person&gt;&lt;realName&gt;Debiesse, Ségolène   &lt;/realName&gt;&lt;/person&gt;</v>
      </c>
      <c r="E92" t="str">
        <f t="shared" si="36"/>
        <v>&lt;telephony nid="0"&gt;&lt;/telephony&gt;</v>
      </c>
      <c r="F92" t="str">
        <f t="shared" si="37"/>
        <v>&lt;telephony nid="0"&gt;</v>
      </c>
      <c r="G92" t="str">
        <f t="shared" si="38"/>
        <v/>
      </c>
      <c r="H92" t="str">
        <f t="shared" si="39"/>
        <v>&lt;services nid="1"&gt;&lt;email id="0" classifier="private"&gt;&lt;/email&gt;&lt;/services&gt;&lt;setup /&gt;&lt;mod_time&gt;1500000010&lt;/mod_time&gt;&lt;uniqueid&gt;0&lt;/uniqueid&gt;&lt;/contact&gt;</v>
      </c>
      <c r="I92" t="str">
        <f t="shared" si="40"/>
        <v>&lt;services /&gt;&lt;setup /&gt;&lt;mod_time&gt;1500000010&lt;/mod_time&gt;&lt;uniqueid&gt;0&lt;/uniqueid&gt;&lt;/contact&gt;</v>
      </c>
      <c r="J92" t="str">
        <f t="shared" si="41"/>
        <v>&lt;services /&gt;&lt;setup /&gt;&lt;mod_time&gt;1500000010&lt;/mod_time&gt;&lt;uniqueid&gt;0&lt;/uniqueid&gt;&lt;/contact&gt;</v>
      </c>
      <c r="K92" s="5">
        <f t="shared" si="42"/>
        <v>0</v>
      </c>
      <c r="L92" s="5">
        <f t="shared" si="43"/>
        <v>0</v>
      </c>
      <c r="M92" s="5" t="str">
        <f>CONCATENATE(+Contacts!E92)</f>
        <v/>
      </c>
      <c r="N92" t="str">
        <f t="shared" si="44"/>
        <v/>
      </c>
      <c r="O92" s="5">
        <f t="shared" si="45"/>
        <v>0</v>
      </c>
      <c r="P92" s="5">
        <f t="shared" si="46"/>
        <v>0</v>
      </c>
      <c r="Q92" s="5" t="str">
        <f>CONCATENATE(+Contacts!G92)</f>
        <v/>
      </c>
      <c r="R92" t="str">
        <f t="shared" si="47"/>
        <v/>
      </c>
      <c r="S92" s="5">
        <f t="shared" si="48"/>
        <v>0</v>
      </c>
      <c r="T92" s="5">
        <f t="shared" si="49"/>
        <v>0</v>
      </c>
      <c r="U92" s="5" t="str">
        <f>CONCATENATE(+Contacts!H92)</f>
        <v/>
      </c>
      <c r="V92" t="str">
        <f t="shared" si="50"/>
        <v/>
      </c>
      <c r="W92" s="5">
        <f t="shared" si="51"/>
        <v>0</v>
      </c>
      <c r="X92" s="5">
        <f t="shared" si="52"/>
        <v>0</v>
      </c>
      <c r="Y92" s="5" t="str">
        <f>CONCATENATE(+Contacts!F92)</f>
        <v/>
      </c>
      <c r="Z92" s="2" t="str">
        <f t="shared" si="53"/>
        <v xml:space="preserve">Debiesse, Ségolène   </v>
      </c>
      <c r="AA92" s="2" t="str">
        <f>CONCATENATE(+Contacts!C92)</f>
        <v>Debiesse</v>
      </c>
      <c r="AB92" s="2" t="str">
        <f t="shared" si="54"/>
        <v xml:space="preserve">, </v>
      </c>
      <c r="AC92" s="2" t="str">
        <f>CONCATENATE(+Contacts!A92)</f>
        <v>Ségolène</v>
      </c>
      <c r="AD92" s="3" t="str">
        <f>CONCATENATE(" ",+Contacts!B92)</f>
        <v xml:space="preserve"> </v>
      </c>
      <c r="AE92" s="2" t="str">
        <f t="shared" si="55"/>
        <v xml:space="preserve"> </v>
      </c>
      <c r="AF92" s="3" t="str">
        <f>CONCATENATE(+Contacts!D92)</f>
        <v/>
      </c>
      <c r="AG92" s="2" t="str">
        <f t="shared" si="56"/>
        <v xml:space="preserve"> </v>
      </c>
      <c r="AH92" t="str">
        <f>CONCATENATE(+Contacts!I92)</f>
        <v/>
      </c>
      <c r="AI92">
        <v>1500000010</v>
      </c>
      <c r="AJ92" s="5">
        <f t="shared" si="57"/>
        <v>0</v>
      </c>
    </row>
    <row r="93" spans="1:36" x14ac:dyDescent="0.35">
      <c r="A93" s="7" t="str">
        <f t="shared" si="32"/>
        <v/>
      </c>
      <c r="B93" s="7" t="str">
        <f t="shared" si="33"/>
        <v/>
      </c>
      <c r="C93" s="7" t="str">
        <f t="shared" si="34"/>
        <v/>
      </c>
      <c r="D93" t="str">
        <f t="shared" si="35"/>
        <v>&lt;contact&gt;&lt;category&gt;0&lt;/category&gt;&lt;person&gt;&lt;realName&gt;Debiesse, Séverine   &lt;/realName&gt;&lt;/person&gt;</v>
      </c>
      <c r="E93" t="str">
        <f t="shared" si="36"/>
        <v>&lt;telephony nid="0"&gt;&lt;/telephony&gt;</v>
      </c>
      <c r="F93" t="str">
        <f t="shared" si="37"/>
        <v>&lt;telephony nid="0"&gt;</v>
      </c>
      <c r="G93" t="str">
        <f t="shared" si="38"/>
        <v/>
      </c>
      <c r="H93" t="str">
        <f t="shared" si="39"/>
        <v>&lt;services nid="1"&gt;&lt;email id="0" classifier="private"&gt;&lt;/email&gt;&lt;/services&gt;&lt;setup /&gt;&lt;mod_time&gt;1500000010&lt;/mod_time&gt;&lt;uniqueid&gt;0&lt;/uniqueid&gt;&lt;/contact&gt;</v>
      </c>
      <c r="I93" t="str">
        <f t="shared" si="40"/>
        <v>&lt;services /&gt;&lt;setup /&gt;&lt;mod_time&gt;1500000010&lt;/mod_time&gt;&lt;uniqueid&gt;0&lt;/uniqueid&gt;&lt;/contact&gt;</v>
      </c>
      <c r="J93" t="str">
        <f t="shared" si="41"/>
        <v>&lt;services /&gt;&lt;setup /&gt;&lt;mod_time&gt;1500000010&lt;/mod_time&gt;&lt;uniqueid&gt;0&lt;/uniqueid&gt;&lt;/contact&gt;</v>
      </c>
      <c r="K93" s="5">
        <f t="shared" si="42"/>
        <v>0</v>
      </c>
      <c r="L93" s="5">
        <f t="shared" si="43"/>
        <v>0</v>
      </c>
      <c r="M93" s="5" t="str">
        <f>CONCATENATE(+Contacts!E93)</f>
        <v/>
      </c>
      <c r="N93" t="str">
        <f t="shared" si="44"/>
        <v/>
      </c>
      <c r="O93" s="5">
        <f t="shared" si="45"/>
        <v>0</v>
      </c>
      <c r="P93" s="5">
        <f t="shared" si="46"/>
        <v>0</v>
      </c>
      <c r="Q93" s="5" t="str">
        <f>CONCATENATE(+Contacts!G93)</f>
        <v/>
      </c>
      <c r="R93" t="str">
        <f t="shared" si="47"/>
        <v/>
      </c>
      <c r="S93" s="5">
        <f t="shared" si="48"/>
        <v>0</v>
      </c>
      <c r="T93" s="5">
        <f t="shared" si="49"/>
        <v>0</v>
      </c>
      <c r="U93" s="5" t="str">
        <f>CONCATENATE(+Contacts!H93)</f>
        <v/>
      </c>
      <c r="V93" t="str">
        <f t="shared" si="50"/>
        <v/>
      </c>
      <c r="W93" s="5">
        <f t="shared" si="51"/>
        <v>0</v>
      </c>
      <c r="X93" s="5">
        <f t="shared" si="52"/>
        <v>0</v>
      </c>
      <c r="Y93" s="5" t="str">
        <f>CONCATENATE(+Contacts!F93)</f>
        <v/>
      </c>
      <c r="Z93" s="2" t="str">
        <f t="shared" si="53"/>
        <v xml:space="preserve">Debiesse, Séverine   </v>
      </c>
      <c r="AA93" s="2" t="str">
        <f>CONCATENATE(+Contacts!C93)</f>
        <v>Debiesse</v>
      </c>
      <c r="AB93" s="2" t="str">
        <f t="shared" si="54"/>
        <v xml:space="preserve">, </v>
      </c>
      <c r="AC93" s="2" t="str">
        <f>CONCATENATE(+Contacts!A93)</f>
        <v>Séverine</v>
      </c>
      <c r="AD93" s="3" t="str">
        <f>CONCATENATE(" ",+Contacts!B93)</f>
        <v xml:space="preserve"> </v>
      </c>
      <c r="AE93" s="2" t="str">
        <f t="shared" si="55"/>
        <v xml:space="preserve"> </v>
      </c>
      <c r="AF93" s="3" t="str">
        <f>CONCATENATE(+Contacts!D93)</f>
        <v/>
      </c>
      <c r="AG93" s="2" t="str">
        <f t="shared" si="56"/>
        <v xml:space="preserve"> </v>
      </c>
      <c r="AH93" t="str">
        <f>CONCATENATE(+Contacts!I93)</f>
        <v/>
      </c>
      <c r="AI93">
        <v>1500000010</v>
      </c>
      <c r="AJ93" s="5">
        <f t="shared" si="57"/>
        <v>0</v>
      </c>
    </row>
    <row r="94" spans="1:36" x14ac:dyDescent="0.35">
      <c r="A94" s="7" t="str">
        <f t="shared" si="32"/>
        <v>&lt;contact&gt;&lt;category&gt;0&lt;/category&gt;&lt;person&gt;&lt;realName&gt;Dekker-Homburg, Annelies   &lt;/realName&gt;&lt;/person&gt;</v>
      </c>
      <c r="B94" s="7" t="str">
        <f t="shared" si="33"/>
        <v>&lt;telephony nid="2"&gt;&lt;number id="0" prio="1" type="home"&gt;+31 235247230&lt;/number&gt;&lt;number id="1" prio="0" type="mobile"&gt;+31 626746399&lt;/number&gt;&lt;/telephony&gt;</v>
      </c>
      <c r="C94" s="7" t="str">
        <f t="shared" si="34"/>
        <v>&lt;services nid="1"&gt;&lt;email id="0" classifier="private"&gt;ahomburg@hetnet.nl&lt;/email&gt;&lt;/services&gt;&lt;setup /&gt;&lt;mod_time&gt;1500000010&lt;/mod_time&gt;&lt;uniqueid&gt;1&lt;/uniqueid&gt;&lt;/contact&gt;</v>
      </c>
      <c r="D94" t="str">
        <f t="shared" si="35"/>
        <v>&lt;contact&gt;&lt;category&gt;0&lt;/category&gt;&lt;person&gt;&lt;realName&gt;Dekker-Homburg, Annelies   &lt;/realName&gt;&lt;/person&gt;</v>
      </c>
      <c r="E94" t="str">
        <f t="shared" si="36"/>
        <v>&lt;telephony nid="2"&gt;&lt;number id="0" prio="1" type="home"&gt;+31 235247230&lt;/number&gt;&lt;number id="1" prio="0" type="mobile"&gt;+31 626746399&lt;/number&gt;&lt;/telephony&gt;</v>
      </c>
      <c r="F94" t="str">
        <f t="shared" si="37"/>
        <v>&lt;telephony nid="2"&gt;</v>
      </c>
      <c r="G94" t="str">
        <f t="shared" si="38"/>
        <v/>
      </c>
      <c r="H94" t="str">
        <f t="shared" si="39"/>
        <v>&lt;services nid="1"&gt;&lt;email id="0" classifier="private"&gt;ahomburg@hetnet.nl&lt;/email&gt;&lt;/services&gt;&lt;setup /&gt;&lt;mod_time&gt;1500000010&lt;/mod_time&gt;&lt;uniqueid&gt;1&lt;/uniqueid&gt;&lt;/contact&gt;</v>
      </c>
      <c r="I94" t="str">
        <f t="shared" si="40"/>
        <v>&lt;services /&gt;&lt;setup /&gt;&lt;mod_time&gt;1500000010&lt;/mod_time&gt;&lt;uniqueid&gt;1&lt;/uniqueid&gt;&lt;/contact&gt;</v>
      </c>
      <c r="J94" t="str">
        <f t="shared" si="41"/>
        <v>&lt;services nid="1"&gt;&lt;email id="0" classifier="private"&gt;ahomburg@hetnet.nl&lt;/email&gt;&lt;/services&gt;&lt;setup /&gt;&lt;mod_time&gt;1500000010&lt;/mod_time&gt;&lt;uniqueid&gt;1&lt;/uniqueid&gt;&lt;/contact&gt;</v>
      </c>
      <c r="K94" s="5">
        <f t="shared" si="42"/>
        <v>0</v>
      </c>
      <c r="L94" s="5">
        <f t="shared" si="43"/>
        <v>0</v>
      </c>
      <c r="M94" s="5" t="str">
        <f>CONCATENATE(+Contacts!E94)</f>
        <v/>
      </c>
      <c r="N94" t="str">
        <f t="shared" si="44"/>
        <v>&lt;number id="0" prio="1" type="home"&gt;+31 235247230&lt;/number&gt;</v>
      </c>
      <c r="O94" s="5">
        <f t="shared" si="45"/>
        <v>1</v>
      </c>
      <c r="P94" s="5">
        <f t="shared" si="46"/>
        <v>1</v>
      </c>
      <c r="Q94" s="5" t="str">
        <f>CONCATENATE(+Contacts!G94)</f>
        <v>+31 235247230</v>
      </c>
      <c r="R94" t="str">
        <f t="shared" si="47"/>
        <v>&lt;number id="1" prio="0" type="mobile"&gt;+31 626746399&lt;/number&gt;</v>
      </c>
      <c r="S94" s="5">
        <f t="shared" si="48"/>
        <v>2</v>
      </c>
      <c r="T94" s="5">
        <f t="shared" si="49"/>
        <v>0</v>
      </c>
      <c r="U94" s="5" t="str">
        <f>CONCATENATE(+Contacts!H94)</f>
        <v>+31 626746399</v>
      </c>
      <c r="V94" t="str">
        <f t="shared" si="50"/>
        <v/>
      </c>
      <c r="W94" s="5">
        <f t="shared" si="51"/>
        <v>2</v>
      </c>
      <c r="X94" s="5">
        <f t="shared" si="52"/>
        <v>0</v>
      </c>
      <c r="Y94" s="5" t="str">
        <f>CONCATENATE(+Contacts!F94)</f>
        <v/>
      </c>
      <c r="Z94" s="2" t="str">
        <f t="shared" si="53"/>
        <v xml:space="preserve">Dekker-Homburg, Annelies   </v>
      </c>
      <c r="AA94" s="2" t="str">
        <f>CONCATENATE(+Contacts!C94)</f>
        <v>Dekker-Homburg</v>
      </c>
      <c r="AB94" s="2" t="str">
        <f t="shared" si="54"/>
        <v xml:space="preserve">, </v>
      </c>
      <c r="AC94" s="2" t="str">
        <f>CONCATENATE(+Contacts!A94)</f>
        <v>Annelies</v>
      </c>
      <c r="AD94" s="3" t="str">
        <f>CONCATENATE(" ",+Contacts!B94)</f>
        <v xml:space="preserve"> </v>
      </c>
      <c r="AE94" s="2" t="str">
        <f t="shared" si="55"/>
        <v xml:space="preserve"> </v>
      </c>
      <c r="AF94" s="3" t="str">
        <f>CONCATENATE(+Contacts!D94)</f>
        <v/>
      </c>
      <c r="AG94" s="2" t="str">
        <f t="shared" si="56"/>
        <v xml:space="preserve"> </v>
      </c>
      <c r="AH94" t="str">
        <f>CONCATENATE(+Contacts!I94)</f>
        <v>ahomburg@hetnet.nl</v>
      </c>
      <c r="AI94">
        <v>1500000010</v>
      </c>
      <c r="AJ94" s="5">
        <f t="shared" si="57"/>
        <v>1</v>
      </c>
    </row>
    <row r="95" spans="1:36" x14ac:dyDescent="0.35">
      <c r="A95" s="7" t="str">
        <f t="shared" si="32"/>
        <v>&lt;contact&gt;&lt;category&gt;0&lt;/category&gt;&lt;person&gt;&lt;realName&gt;Delfos, Linda   &lt;/realName&gt;&lt;/person&gt;</v>
      </c>
      <c r="B95" s="7" t="str">
        <f t="shared" si="33"/>
        <v>&lt;telephony nid="2"&gt;&lt;number id="0" prio="1" type="home"&gt;+31 104666328&lt;/number&gt;&lt;number id="1" prio="0" type="mobile"&gt;+31 6 22719199&lt;/number&gt;&lt;/telephony&gt;</v>
      </c>
      <c r="C95" s="7" t="str">
        <f t="shared" si="34"/>
        <v>&lt;services nid="1"&gt;&lt;email id="0" classifier="private"&gt;ldelfos@hotmail.com&lt;/email&gt;&lt;/services&gt;&lt;setup /&gt;&lt;mod_time&gt;1500000010&lt;/mod_time&gt;&lt;uniqueid&gt;1&lt;/uniqueid&gt;&lt;/contact&gt;</v>
      </c>
      <c r="D95" t="str">
        <f t="shared" si="35"/>
        <v>&lt;contact&gt;&lt;category&gt;0&lt;/category&gt;&lt;person&gt;&lt;realName&gt;Delfos, Linda   &lt;/realName&gt;&lt;/person&gt;</v>
      </c>
      <c r="E95" t="str">
        <f t="shared" si="36"/>
        <v>&lt;telephony nid="2"&gt;&lt;number id="0" prio="1" type="home"&gt;+31 104666328&lt;/number&gt;&lt;number id="1" prio="0" type="mobile"&gt;+31 6 22719199&lt;/number&gt;&lt;/telephony&gt;</v>
      </c>
      <c r="F95" t="str">
        <f t="shared" si="37"/>
        <v>&lt;telephony nid="2"&gt;</v>
      </c>
      <c r="G95" t="str">
        <f t="shared" si="38"/>
        <v/>
      </c>
      <c r="H95" t="str">
        <f t="shared" si="39"/>
        <v>&lt;services nid="1"&gt;&lt;email id="0" classifier="private"&gt;ldelfos@hotmail.com&lt;/email&gt;&lt;/services&gt;&lt;setup /&gt;&lt;mod_time&gt;1500000010&lt;/mod_time&gt;&lt;uniqueid&gt;1&lt;/uniqueid&gt;&lt;/contact&gt;</v>
      </c>
      <c r="I95" t="str">
        <f t="shared" si="40"/>
        <v>&lt;services /&gt;&lt;setup /&gt;&lt;mod_time&gt;1500000010&lt;/mod_time&gt;&lt;uniqueid&gt;1&lt;/uniqueid&gt;&lt;/contact&gt;</v>
      </c>
      <c r="J95" t="str">
        <f t="shared" si="41"/>
        <v>&lt;services nid="1"&gt;&lt;email id="0" classifier="private"&gt;ldelfos@hotmail.com&lt;/email&gt;&lt;/services&gt;&lt;setup /&gt;&lt;mod_time&gt;1500000010&lt;/mod_time&gt;&lt;uniqueid&gt;1&lt;/uniqueid&gt;&lt;/contact&gt;</v>
      </c>
      <c r="K95" s="5">
        <f t="shared" si="42"/>
        <v>0</v>
      </c>
      <c r="L95" s="5">
        <f t="shared" si="43"/>
        <v>0</v>
      </c>
      <c r="M95" s="5" t="str">
        <f>CONCATENATE(+Contacts!E95)</f>
        <v/>
      </c>
      <c r="N95" t="str">
        <f t="shared" si="44"/>
        <v>&lt;number id="0" prio="1" type="home"&gt;+31 104666328&lt;/number&gt;</v>
      </c>
      <c r="O95" s="5">
        <f t="shared" si="45"/>
        <v>1</v>
      </c>
      <c r="P95" s="5">
        <f t="shared" si="46"/>
        <v>1</v>
      </c>
      <c r="Q95" s="5" t="str">
        <f>CONCATENATE(+Contacts!G95)</f>
        <v>+31 104666328</v>
      </c>
      <c r="R95" t="str">
        <f t="shared" si="47"/>
        <v>&lt;number id="1" prio="0" type="mobile"&gt;+31 6 22719199&lt;/number&gt;</v>
      </c>
      <c r="S95" s="5">
        <f t="shared" si="48"/>
        <v>2</v>
      </c>
      <c r="T95" s="5">
        <f t="shared" si="49"/>
        <v>0</v>
      </c>
      <c r="U95" s="5" t="str">
        <f>CONCATENATE(+Contacts!H95)</f>
        <v>+31 6 22719199</v>
      </c>
      <c r="V95" t="str">
        <f t="shared" si="50"/>
        <v/>
      </c>
      <c r="W95" s="5">
        <f t="shared" si="51"/>
        <v>2</v>
      </c>
      <c r="X95" s="5">
        <f t="shared" si="52"/>
        <v>0</v>
      </c>
      <c r="Y95" s="5" t="str">
        <f>CONCATENATE(+Contacts!F95)</f>
        <v/>
      </c>
      <c r="Z95" s="2" t="str">
        <f t="shared" si="53"/>
        <v xml:space="preserve">Delfos, Linda   </v>
      </c>
      <c r="AA95" s="2" t="str">
        <f>CONCATENATE(+Contacts!C95)</f>
        <v>Delfos</v>
      </c>
      <c r="AB95" s="2" t="str">
        <f t="shared" si="54"/>
        <v xml:space="preserve">, </v>
      </c>
      <c r="AC95" s="2" t="str">
        <f>CONCATENATE(+Contacts!A95)</f>
        <v>Linda</v>
      </c>
      <c r="AD95" s="3" t="str">
        <f>CONCATENATE(" ",+Contacts!B95)</f>
        <v xml:space="preserve"> </v>
      </c>
      <c r="AE95" s="2" t="str">
        <f t="shared" si="55"/>
        <v xml:space="preserve"> </v>
      </c>
      <c r="AF95" s="3" t="str">
        <f>CONCATENATE(+Contacts!D95)</f>
        <v/>
      </c>
      <c r="AG95" s="2" t="str">
        <f t="shared" si="56"/>
        <v xml:space="preserve"> </v>
      </c>
      <c r="AH95" t="str">
        <f>CONCATENATE(+Contacts!I95)</f>
        <v>ldelfos@hotmail.com</v>
      </c>
      <c r="AI95">
        <v>1500000010</v>
      </c>
      <c r="AJ95" s="5">
        <f t="shared" si="57"/>
        <v>1</v>
      </c>
    </row>
    <row r="96" spans="1:36" x14ac:dyDescent="0.35">
      <c r="A96" s="7" t="str">
        <f t="shared" si="32"/>
        <v>&lt;contact&gt;&lt;category&gt;0&lt;/category&gt;&lt;person&gt;&lt;realName&gt;Dellen, Paul van  &lt;/realName&gt;&lt;/person&gt;</v>
      </c>
      <c r="B96" s="7" t="str">
        <f t="shared" si="33"/>
        <v>&lt;telephony nid="1"&gt;&lt;number id="0" prio="1" type="mobile"&gt;+31 6 20 851 925&lt;/number&gt;&lt;/telephony&gt;</v>
      </c>
      <c r="C96" s="7" t="str">
        <f t="shared" si="34"/>
        <v>&lt;services nid="1"&gt;&lt;email id="0" classifier="private"&gt;dellen@telfort.nl&lt;/email&gt;&lt;/services&gt;&lt;setup /&gt;&lt;mod_time&gt;1500000010&lt;/mod_time&gt;&lt;uniqueid&gt;1&lt;/uniqueid&gt;&lt;/contact&gt;</v>
      </c>
      <c r="D96" t="str">
        <f t="shared" si="35"/>
        <v>&lt;contact&gt;&lt;category&gt;0&lt;/category&gt;&lt;person&gt;&lt;realName&gt;Dellen, Paul van  &lt;/realName&gt;&lt;/person&gt;</v>
      </c>
      <c r="E96" t="str">
        <f t="shared" si="36"/>
        <v>&lt;telephony nid="1"&gt;&lt;number id="0" prio="1" type="mobile"&gt;+31 6 20 851 925&lt;/number&gt;&lt;/telephony&gt;</v>
      </c>
      <c r="F96" t="str">
        <f t="shared" si="37"/>
        <v>&lt;telephony nid="1"&gt;</v>
      </c>
      <c r="G96" t="str">
        <f t="shared" si="38"/>
        <v/>
      </c>
      <c r="H96" t="str">
        <f t="shared" si="39"/>
        <v>&lt;services nid="1"&gt;&lt;email id="0" classifier="private"&gt;dellen@telfort.nl&lt;/email&gt;&lt;/services&gt;&lt;setup /&gt;&lt;mod_time&gt;1500000010&lt;/mod_time&gt;&lt;uniqueid&gt;1&lt;/uniqueid&gt;&lt;/contact&gt;</v>
      </c>
      <c r="I96" t="str">
        <f t="shared" si="40"/>
        <v>&lt;services /&gt;&lt;setup /&gt;&lt;mod_time&gt;1500000010&lt;/mod_time&gt;&lt;uniqueid&gt;1&lt;/uniqueid&gt;&lt;/contact&gt;</v>
      </c>
      <c r="J96" t="str">
        <f t="shared" si="41"/>
        <v>&lt;services nid="1"&gt;&lt;email id="0" classifier="private"&gt;dellen@telfort.nl&lt;/email&gt;&lt;/services&gt;&lt;setup /&gt;&lt;mod_time&gt;1500000010&lt;/mod_time&gt;&lt;uniqueid&gt;1&lt;/uniqueid&gt;&lt;/contact&gt;</v>
      </c>
      <c r="K96" s="5">
        <f t="shared" si="42"/>
        <v>0</v>
      </c>
      <c r="L96" s="5">
        <f t="shared" si="43"/>
        <v>0</v>
      </c>
      <c r="M96" s="5" t="str">
        <f>CONCATENATE(+Contacts!E96)</f>
        <v/>
      </c>
      <c r="N96" t="str">
        <f t="shared" si="44"/>
        <v/>
      </c>
      <c r="O96" s="5">
        <f t="shared" si="45"/>
        <v>0</v>
      </c>
      <c r="P96" s="5">
        <f t="shared" si="46"/>
        <v>0</v>
      </c>
      <c r="Q96" s="5" t="str">
        <f>CONCATENATE(+Contacts!G96)</f>
        <v/>
      </c>
      <c r="R96" t="str">
        <f t="shared" si="47"/>
        <v>&lt;number id="0" prio="1" type="mobile"&gt;+31 6 20 851 925&lt;/number&gt;</v>
      </c>
      <c r="S96" s="5">
        <f t="shared" si="48"/>
        <v>1</v>
      </c>
      <c r="T96" s="5">
        <f t="shared" si="49"/>
        <v>1</v>
      </c>
      <c r="U96" s="5" t="str">
        <f>CONCATENATE(+Contacts!H96)</f>
        <v>+31 6 20 851 925</v>
      </c>
      <c r="V96" t="str">
        <f t="shared" si="50"/>
        <v/>
      </c>
      <c r="W96" s="5">
        <f t="shared" si="51"/>
        <v>1</v>
      </c>
      <c r="X96" s="5">
        <f t="shared" si="52"/>
        <v>1</v>
      </c>
      <c r="Y96" s="5" t="str">
        <f>CONCATENATE(+Contacts!F96)</f>
        <v/>
      </c>
      <c r="Z96" s="2" t="str">
        <f t="shared" si="53"/>
        <v xml:space="preserve">Dellen, Paul van  </v>
      </c>
      <c r="AA96" s="2" t="str">
        <f>CONCATENATE(+Contacts!C96)</f>
        <v>Dellen</v>
      </c>
      <c r="AB96" s="2" t="str">
        <f t="shared" si="54"/>
        <v xml:space="preserve">, </v>
      </c>
      <c r="AC96" s="2" t="str">
        <f>CONCATENATE(+Contacts!A96)</f>
        <v>Paul</v>
      </c>
      <c r="AD96" s="3" t="str">
        <f>CONCATENATE(" ",+Contacts!B96)</f>
        <v xml:space="preserve"> van</v>
      </c>
      <c r="AE96" s="2" t="str">
        <f t="shared" si="55"/>
        <v xml:space="preserve"> </v>
      </c>
      <c r="AF96" s="3" t="str">
        <f>CONCATENATE(+Contacts!D96)</f>
        <v/>
      </c>
      <c r="AG96" s="2" t="str">
        <f t="shared" si="56"/>
        <v xml:space="preserve"> </v>
      </c>
      <c r="AH96" t="str">
        <f>CONCATENATE(+Contacts!I96)</f>
        <v>dellen@telfort.nl</v>
      </c>
      <c r="AI96">
        <v>1500000010</v>
      </c>
      <c r="AJ96" s="5">
        <f t="shared" si="57"/>
        <v>1</v>
      </c>
    </row>
    <row r="97" spans="1:36" x14ac:dyDescent="0.35">
      <c r="A97" s="7" t="str">
        <f t="shared" si="32"/>
        <v>&lt;contact&gt;&lt;category&gt;0&lt;/category&gt;&lt;person&gt;&lt;realName&gt;Depauw, Jan   &lt;/realName&gt;&lt;/person&gt;</v>
      </c>
      <c r="B97" s="7" t="str">
        <f t="shared" si="33"/>
        <v>&lt;telephony nid="1"&gt;&lt;number id="0" prio="1" type="mobile"&gt;+32 477394556&lt;/number&gt;&lt;/telephony&gt;</v>
      </c>
      <c r="C97" s="7" t="str">
        <f t="shared" si="34"/>
        <v>&lt;services nid="1"&gt;&lt;email id="0" classifier="private"&gt;depauw.jan@hotmail.com&lt;/email&gt;&lt;/services&gt;&lt;setup /&gt;&lt;mod_time&gt;1500000010&lt;/mod_time&gt;&lt;uniqueid&gt;1&lt;/uniqueid&gt;&lt;/contact&gt;</v>
      </c>
      <c r="D97" t="str">
        <f t="shared" si="35"/>
        <v>&lt;contact&gt;&lt;category&gt;0&lt;/category&gt;&lt;person&gt;&lt;realName&gt;Depauw, Jan   &lt;/realName&gt;&lt;/person&gt;</v>
      </c>
      <c r="E97" t="str">
        <f t="shared" si="36"/>
        <v>&lt;telephony nid="1"&gt;&lt;number id="0" prio="1" type="mobile"&gt;+32 477394556&lt;/number&gt;&lt;/telephony&gt;</v>
      </c>
      <c r="F97" t="str">
        <f t="shared" si="37"/>
        <v>&lt;telephony nid="1"&gt;</v>
      </c>
      <c r="G97" t="str">
        <f t="shared" si="38"/>
        <v/>
      </c>
      <c r="H97" t="str">
        <f t="shared" si="39"/>
        <v>&lt;services nid="1"&gt;&lt;email id="0" classifier="private"&gt;depauw.jan@hotmail.com&lt;/email&gt;&lt;/services&gt;&lt;setup /&gt;&lt;mod_time&gt;1500000010&lt;/mod_time&gt;&lt;uniqueid&gt;1&lt;/uniqueid&gt;&lt;/contact&gt;</v>
      </c>
      <c r="I97" t="str">
        <f t="shared" si="40"/>
        <v>&lt;services /&gt;&lt;setup /&gt;&lt;mod_time&gt;1500000010&lt;/mod_time&gt;&lt;uniqueid&gt;1&lt;/uniqueid&gt;&lt;/contact&gt;</v>
      </c>
      <c r="J97" t="str">
        <f t="shared" si="41"/>
        <v>&lt;services nid="1"&gt;&lt;email id="0" classifier="private"&gt;depauw.jan@hotmail.com&lt;/email&gt;&lt;/services&gt;&lt;setup /&gt;&lt;mod_time&gt;1500000010&lt;/mod_time&gt;&lt;uniqueid&gt;1&lt;/uniqueid&gt;&lt;/contact&gt;</v>
      </c>
      <c r="K97" s="5">
        <f t="shared" si="42"/>
        <v>0</v>
      </c>
      <c r="L97" s="5">
        <f t="shared" si="43"/>
        <v>0</v>
      </c>
      <c r="M97" s="5" t="str">
        <f>CONCATENATE(+Contacts!E97)</f>
        <v/>
      </c>
      <c r="N97" t="str">
        <f t="shared" si="44"/>
        <v/>
      </c>
      <c r="O97" s="5">
        <f t="shared" si="45"/>
        <v>0</v>
      </c>
      <c r="P97" s="5">
        <f t="shared" si="46"/>
        <v>0</v>
      </c>
      <c r="Q97" s="5" t="str">
        <f>CONCATENATE(+Contacts!G97)</f>
        <v/>
      </c>
      <c r="R97" t="str">
        <f t="shared" si="47"/>
        <v>&lt;number id="0" prio="1" type="mobile"&gt;+32 477394556&lt;/number&gt;</v>
      </c>
      <c r="S97" s="5">
        <f t="shared" si="48"/>
        <v>1</v>
      </c>
      <c r="T97" s="5">
        <f t="shared" si="49"/>
        <v>1</v>
      </c>
      <c r="U97" s="5" t="str">
        <f>CONCATENATE(+Contacts!H97)</f>
        <v>+32 477394556</v>
      </c>
      <c r="V97" t="str">
        <f t="shared" si="50"/>
        <v/>
      </c>
      <c r="W97" s="5">
        <f t="shared" si="51"/>
        <v>1</v>
      </c>
      <c r="X97" s="5">
        <f t="shared" si="52"/>
        <v>1</v>
      </c>
      <c r="Y97" s="5" t="str">
        <f>CONCATENATE(+Contacts!F97)</f>
        <v/>
      </c>
      <c r="Z97" s="2" t="str">
        <f t="shared" si="53"/>
        <v xml:space="preserve">Depauw, Jan   </v>
      </c>
      <c r="AA97" s="2" t="str">
        <f>CONCATENATE(+Contacts!C97)</f>
        <v>Depauw</v>
      </c>
      <c r="AB97" s="2" t="str">
        <f t="shared" si="54"/>
        <v xml:space="preserve">, </v>
      </c>
      <c r="AC97" s="2" t="str">
        <f>CONCATENATE(+Contacts!A97)</f>
        <v>Jan</v>
      </c>
      <c r="AD97" s="3" t="str">
        <f>CONCATENATE(" ",+Contacts!B97)</f>
        <v xml:space="preserve"> </v>
      </c>
      <c r="AE97" s="2" t="str">
        <f t="shared" si="55"/>
        <v xml:space="preserve"> </v>
      </c>
      <c r="AF97" s="3" t="str">
        <f>CONCATENATE(+Contacts!D97)</f>
        <v/>
      </c>
      <c r="AG97" s="2" t="str">
        <f t="shared" si="56"/>
        <v xml:space="preserve"> </v>
      </c>
      <c r="AH97" t="str">
        <f>CONCATENATE(+Contacts!I97)</f>
        <v>depauw.jan@hotmail.com</v>
      </c>
      <c r="AI97">
        <v>1500000010</v>
      </c>
      <c r="AJ97" s="5">
        <f t="shared" si="57"/>
        <v>1</v>
      </c>
    </row>
    <row r="98" spans="1:36" x14ac:dyDescent="0.35">
      <c r="A98" s="7" t="str">
        <f t="shared" si="32"/>
        <v>&lt;contact&gt;&lt;category&gt;0&lt;/category&gt;&lt;person&gt;&lt;realName&gt;Derkhof, Randy (UP3)&lt;/realName&gt;&lt;/person&gt;</v>
      </c>
      <c r="B98" s="7" t="str">
        <f t="shared" si="33"/>
        <v>&lt;telephony nid="1"&gt;&lt;number id="0" prio="1" type="work"&gt;+31 651968777&lt;/number&gt;&lt;/telephony&gt;</v>
      </c>
      <c r="C98" s="7" t="str">
        <f t="shared" si="34"/>
        <v>&lt;services nid="1"&gt;&lt;email id="0" classifier="private"&gt;UP3@live.nl&lt;/email&gt;&lt;/services&gt;&lt;setup /&gt;&lt;mod_time&gt;1500000010&lt;/mod_time&gt;&lt;uniqueid&gt;1&lt;/uniqueid&gt;&lt;/contact&gt;</v>
      </c>
      <c r="D98" t="str">
        <f t="shared" si="35"/>
        <v>&lt;contact&gt;&lt;category&gt;0&lt;/category&gt;&lt;person&gt;&lt;realName&gt;Derkhof, Randy (UP3)&lt;/realName&gt;&lt;/person&gt;</v>
      </c>
      <c r="E98" t="str">
        <f t="shared" si="36"/>
        <v>&lt;telephony nid="1"&gt;&lt;number id="0" prio="1" type="work"&gt;+31 651968777&lt;/number&gt;&lt;/telephony&gt;</v>
      </c>
      <c r="F98" t="str">
        <f t="shared" si="37"/>
        <v>&lt;telephony nid="1"&gt;</v>
      </c>
      <c r="G98" t="str">
        <f t="shared" si="38"/>
        <v/>
      </c>
      <c r="H98" t="str">
        <f t="shared" si="39"/>
        <v>&lt;services nid="1"&gt;&lt;email id="0" classifier="private"&gt;UP3@live.nl&lt;/email&gt;&lt;/services&gt;&lt;setup /&gt;&lt;mod_time&gt;1500000010&lt;/mod_time&gt;&lt;uniqueid&gt;1&lt;/uniqueid&gt;&lt;/contact&gt;</v>
      </c>
      <c r="I98" t="str">
        <f t="shared" si="40"/>
        <v>&lt;services /&gt;&lt;setup /&gt;&lt;mod_time&gt;1500000010&lt;/mod_time&gt;&lt;uniqueid&gt;1&lt;/uniqueid&gt;&lt;/contact&gt;</v>
      </c>
      <c r="J98" t="str">
        <f t="shared" si="41"/>
        <v>&lt;services nid="1"&gt;&lt;email id="0" classifier="private"&gt;UP3@live.nl&lt;/email&gt;&lt;/services&gt;&lt;setup /&gt;&lt;mod_time&gt;1500000010&lt;/mod_time&gt;&lt;uniqueid&gt;1&lt;/uniqueid&gt;&lt;/contact&gt;</v>
      </c>
      <c r="K98" s="5">
        <f t="shared" si="42"/>
        <v>0</v>
      </c>
      <c r="L98" s="5">
        <f t="shared" si="43"/>
        <v>0</v>
      </c>
      <c r="M98" s="5" t="str">
        <f>CONCATENATE(+Contacts!E98)</f>
        <v/>
      </c>
      <c r="N98" t="str">
        <f t="shared" si="44"/>
        <v/>
      </c>
      <c r="O98" s="5">
        <f t="shared" si="45"/>
        <v>0</v>
      </c>
      <c r="P98" s="5">
        <f t="shared" si="46"/>
        <v>0</v>
      </c>
      <c r="Q98" s="5" t="str">
        <f>CONCATENATE(+Contacts!G98)</f>
        <v/>
      </c>
      <c r="R98" t="str">
        <f t="shared" si="47"/>
        <v/>
      </c>
      <c r="S98" s="5">
        <f t="shared" si="48"/>
        <v>0</v>
      </c>
      <c r="T98" s="5">
        <f t="shared" si="49"/>
        <v>0</v>
      </c>
      <c r="U98" s="5" t="str">
        <f>CONCATENATE(+Contacts!H98)</f>
        <v/>
      </c>
      <c r="V98" t="str">
        <f t="shared" si="50"/>
        <v>&lt;number id="0" prio="1" type="work"&gt;+31 651968777&lt;/number&gt;</v>
      </c>
      <c r="W98" s="5">
        <f t="shared" si="51"/>
        <v>1</v>
      </c>
      <c r="X98" s="5">
        <f t="shared" si="52"/>
        <v>1</v>
      </c>
      <c r="Y98" s="5" t="str">
        <f>CONCATENATE(+Contacts!F98)</f>
        <v>+31 651968777</v>
      </c>
      <c r="Z98" s="2" t="str">
        <f t="shared" si="53"/>
        <v>Derkhof, Randy (UP3)</v>
      </c>
      <c r="AA98" s="2" t="str">
        <f>CONCATENATE(+Contacts!C98)</f>
        <v>Derkhof</v>
      </c>
      <c r="AB98" s="2" t="str">
        <f t="shared" si="54"/>
        <v xml:space="preserve">, </v>
      </c>
      <c r="AC98" s="2" t="str">
        <f>CONCATENATE(+Contacts!A98)</f>
        <v>Randy</v>
      </c>
      <c r="AD98" s="3" t="str">
        <f>CONCATENATE(" ",+Contacts!B98)</f>
        <v xml:space="preserve"> </v>
      </c>
      <c r="AE98" s="2" t="str">
        <f t="shared" si="55"/>
        <v>(</v>
      </c>
      <c r="AF98" s="3" t="str">
        <f>CONCATENATE(+Contacts!D98)</f>
        <v>UP3</v>
      </c>
      <c r="AG98" s="2" t="str">
        <f t="shared" si="56"/>
        <v>)</v>
      </c>
      <c r="AH98" t="str">
        <f>CONCATENATE(+Contacts!I98)</f>
        <v>UP3@live.nl</v>
      </c>
      <c r="AI98">
        <v>1500000010</v>
      </c>
      <c r="AJ98" s="5">
        <f t="shared" si="57"/>
        <v>1</v>
      </c>
    </row>
    <row r="99" spans="1:36" x14ac:dyDescent="0.35">
      <c r="A99" s="7" t="str">
        <f t="shared" si="32"/>
        <v>&lt;contact&gt;&lt;category&gt;0&lt;/category&gt;&lt;person&gt;&lt;realName&gt;, Desiree (M&amp;amp;M Dansstudio )&lt;/realName&gt;&lt;/person&gt;</v>
      </c>
      <c r="B99" s="7" t="str">
        <f t="shared" si="33"/>
        <v>&lt;telephony nid="1"&gt;&lt;number id="0" prio="1" type="mobile"&gt;+31 6 10 41 55 55&lt;/number&gt;&lt;/telephony&gt;</v>
      </c>
      <c r="C99" s="7" t="str">
        <f t="shared" si="34"/>
        <v>&lt;services /&gt;&lt;setup /&gt;&lt;mod_time&gt;1500000010&lt;/mod_time&gt;&lt;uniqueid&gt;1&lt;/uniqueid&gt;&lt;/contact&gt;</v>
      </c>
      <c r="D99" t="str">
        <f t="shared" si="35"/>
        <v>&lt;contact&gt;&lt;category&gt;0&lt;/category&gt;&lt;person&gt;&lt;realName&gt;, Desiree (M&amp;amp;M Dansstudio )&lt;/realName&gt;&lt;/person&gt;</v>
      </c>
      <c r="E99" t="str">
        <f t="shared" si="36"/>
        <v>&lt;telephony nid="1"&gt;&lt;number id="0" prio="1" type="mobile"&gt;+31 6 10 41 55 55&lt;/number&gt;&lt;/telephony&gt;</v>
      </c>
      <c r="F99" t="str">
        <f t="shared" si="37"/>
        <v>&lt;telephony nid="1"&gt;</v>
      </c>
      <c r="G99" t="str">
        <f t="shared" si="38"/>
        <v/>
      </c>
      <c r="H99" t="str">
        <f t="shared" si="39"/>
        <v>&lt;services nid="1"&gt;&lt;email id="0" classifier="private"&gt;&lt;/email&gt;&lt;/services&gt;&lt;setup /&gt;&lt;mod_time&gt;1500000010&lt;/mod_time&gt;&lt;uniqueid&gt;1&lt;/uniqueid&gt;&lt;/contact&gt;</v>
      </c>
      <c r="I99" t="str">
        <f t="shared" si="40"/>
        <v>&lt;services /&gt;&lt;setup /&gt;&lt;mod_time&gt;1500000010&lt;/mod_time&gt;&lt;uniqueid&gt;1&lt;/uniqueid&gt;&lt;/contact&gt;</v>
      </c>
      <c r="J99" t="str">
        <f t="shared" si="41"/>
        <v>&lt;services /&gt;&lt;setup /&gt;&lt;mod_time&gt;1500000010&lt;/mod_time&gt;&lt;uniqueid&gt;1&lt;/uniqueid&gt;&lt;/contact&gt;</v>
      </c>
      <c r="K99" s="5">
        <f t="shared" si="42"/>
        <v>0</v>
      </c>
      <c r="L99" s="5">
        <f t="shared" si="43"/>
        <v>0</v>
      </c>
      <c r="M99" s="5" t="str">
        <f>CONCATENATE(+Contacts!E99)</f>
        <v/>
      </c>
      <c r="N99" t="str">
        <f t="shared" si="44"/>
        <v/>
      </c>
      <c r="O99" s="5">
        <f t="shared" si="45"/>
        <v>0</v>
      </c>
      <c r="P99" s="5">
        <f t="shared" si="46"/>
        <v>0</v>
      </c>
      <c r="Q99" s="5" t="str">
        <f>CONCATENATE(+Contacts!G99)</f>
        <v/>
      </c>
      <c r="R99" t="str">
        <f t="shared" si="47"/>
        <v>&lt;number id="0" prio="1" type="mobile"&gt;+31 6 10 41 55 55&lt;/number&gt;</v>
      </c>
      <c r="S99" s="5">
        <f t="shared" si="48"/>
        <v>1</v>
      </c>
      <c r="T99" s="5">
        <f t="shared" si="49"/>
        <v>1</v>
      </c>
      <c r="U99" s="5" t="str">
        <f>CONCATENATE(+Contacts!H99)</f>
        <v>+31 6 10 41 55 55</v>
      </c>
      <c r="V99" t="str">
        <f t="shared" si="50"/>
        <v/>
      </c>
      <c r="W99" s="5">
        <f t="shared" si="51"/>
        <v>1</v>
      </c>
      <c r="X99" s="5">
        <f t="shared" si="52"/>
        <v>1</v>
      </c>
      <c r="Y99" s="5" t="str">
        <f>CONCATENATE(+Contacts!F99)</f>
        <v/>
      </c>
      <c r="Z99" s="2" t="str">
        <f t="shared" si="53"/>
        <v>, Desiree (M&amp;amp;M Dansstudio )</v>
      </c>
      <c r="AA99" s="2" t="str">
        <f>CONCATENATE(+Contacts!C99)</f>
        <v/>
      </c>
      <c r="AB99" s="2" t="str">
        <f t="shared" si="54"/>
        <v xml:space="preserve">, </v>
      </c>
      <c r="AC99" s="2" t="str">
        <f>CONCATENATE(+Contacts!A99)</f>
        <v>Desiree</v>
      </c>
      <c r="AD99" s="3" t="str">
        <f>CONCATENATE(" ",+Contacts!B99)</f>
        <v xml:space="preserve"> </v>
      </c>
      <c r="AE99" s="2" t="str">
        <f t="shared" si="55"/>
        <v>(</v>
      </c>
      <c r="AF99" s="3" t="str">
        <f>CONCATENATE(+Contacts!D99)</f>
        <v xml:space="preserve">M&amp;amp;M Dansstudio </v>
      </c>
      <c r="AG99" s="2" t="str">
        <f t="shared" si="56"/>
        <v>)</v>
      </c>
      <c r="AH99" t="str">
        <f>CONCATENATE(+Contacts!I99)</f>
        <v/>
      </c>
      <c r="AI99">
        <v>1500000010</v>
      </c>
      <c r="AJ99" s="5">
        <f t="shared" si="57"/>
        <v>1</v>
      </c>
    </row>
    <row r="100" spans="1:36" x14ac:dyDescent="0.35">
      <c r="A100" s="7" t="str">
        <f t="shared" si="32"/>
        <v/>
      </c>
      <c r="B100" s="7" t="str">
        <f t="shared" si="33"/>
        <v/>
      </c>
      <c r="C100" s="7" t="str">
        <f t="shared" si="34"/>
        <v/>
      </c>
      <c r="D100" t="str">
        <f t="shared" si="35"/>
        <v>&lt;contact&gt;&lt;category&gt;0&lt;/category&gt;&lt;person&gt;&lt;realName&gt;Dienske, Kaj   &lt;/realName&gt;&lt;/person&gt;</v>
      </c>
      <c r="E100" t="str">
        <f t="shared" si="36"/>
        <v>&lt;telephony nid="0"&gt;&lt;/telephony&gt;</v>
      </c>
      <c r="F100" t="str">
        <f t="shared" si="37"/>
        <v>&lt;telephony nid="0"&gt;</v>
      </c>
      <c r="G100" t="str">
        <f t="shared" si="38"/>
        <v/>
      </c>
      <c r="H100" t="str">
        <f t="shared" si="39"/>
        <v>&lt;services nid="1"&gt;&lt;email id="0" classifier="private"&gt;&lt;/email&gt;&lt;/services&gt;&lt;setup /&gt;&lt;mod_time&gt;1500000010&lt;/mod_time&gt;&lt;uniqueid&gt;0&lt;/uniqueid&gt;&lt;/contact&gt;</v>
      </c>
      <c r="I100" t="str">
        <f t="shared" si="40"/>
        <v>&lt;services /&gt;&lt;setup /&gt;&lt;mod_time&gt;1500000010&lt;/mod_time&gt;&lt;uniqueid&gt;0&lt;/uniqueid&gt;&lt;/contact&gt;</v>
      </c>
      <c r="J100" t="str">
        <f t="shared" si="41"/>
        <v>&lt;services /&gt;&lt;setup /&gt;&lt;mod_time&gt;1500000010&lt;/mod_time&gt;&lt;uniqueid&gt;0&lt;/uniqueid&gt;&lt;/contact&gt;</v>
      </c>
      <c r="K100" s="5">
        <f t="shared" si="42"/>
        <v>0</v>
      </c>
      <c r="L100" s="5">
        <f t="shared" si="43"/>
        <v>0</v>
      </c>
      <c r="M100" s="5" t="str">
        <f>CONCATENATE(+Contacts!E100)</f>
        <v/>
      </c>
      <c r="N100" t="str">
        <f t="shared" si="44"/>
        <v/>
      </c>
      <c r="O100" s="5">
        <f t="shared" si="45"/>
        <v>0</v>
      </c>
      <c r="P100" s="5">
        <f t="shared" si="46"/>
        <v>0</v>
      </c>
      <c r="Q100" s="5" t="str">
        <f>CONCATENATE(+Contacts!G100)</f>
        <v/>
      </c>
      <c r="R100" t="str">
        <f t="shared" si="47"/>
        <v/>
      </c>
      <c r="S100" s="5">
        <f t="shared" si="48"/>
        <v>0</v>
      </c>
      <c r="T100" s="5">
        <f t="shared" si="49"/>
        <v>0</v>
      </c>
      <c r="U100" s="5" t="str">
        <f>CONCATENATE(+Contacts!H100)</f>
        <v/>
      </c>
      <c r="V100" t="str">
        <f t="shared" si="50"/>
        <v/>
      </c>
      <c r="W100" s="5">
        <f t="shared" si="51"/>
        <v>0</v>
      </c>
      <c r="X100" s="5">
        <f t="shared" si="52"/>
        <v>0</v>
      </c>
      <c r="Y100" s="5" t="str">
        <f>CONCATENATE(+Contacts!F100)</f>
        <v/>
      </c>
      <c r="Z100" s="2" t="str">
        <f t="shared" si="53"/>
        <v xml:space="preserve">Dienske, Kaj   </v>
      </c>
      <c r="AA100" s="2" t="str">
        <f>CONCATENATE(+Contacts!C100)</f>
        <v>Dienske</v>
      </c>
      <c r="AB100" s="2" t="str">
        <f t="shared" si="54"/>
        <v xml:space="preserve">, </v>
      </c>
      <c r="AC100" s="2" t="str">
        <f>CONCATENATE(+Contacts!A100)</f>
        <v>Kaj</v>
      </c>
      <c r="AD100" s="3" t="str">
        <f>CONCATENATE(" ",+Contacts!B100)</f>
        <v xml:space="preserve"> </v>
      </c>
      <c r="AE100" s="2" t="str">
        <f t="shared" si="55"/>
        <v xml:space="preserve"> </v>
      </c>
      <c r="AF100" s="3" t="str">
        <f>CONCATENATE(+Contacts!D100)</f>
        <v/>
      </c>
      <c r="AG100" s="2" t="str">
        <f t="shared" si="56"/>
        <v xml:space="preserve"> </v>
      </c>
      <c r="AH100" t="str">
        <f>CONCATENATE(+Contacts!I100)</f>
        <v/>
      </c>
      <c r="AI100">
        <v>1500000010</v>
      </c>
      <c r="AJ100" s="5">
        <f t="shared" si="57"/>
        <v>0</v>
      </c>
    </row>
    <row r="101" spans="1:36" x14ac:dyDescent="0.35">
      <c r="A101" s="7" t="str">
        <f t="shared" si="32"/>
        <v>&lt;contact&gt;&lt;category&gt;0&lt;/category&gt;&lt;person&gt;&lt;realName&gt;Dierenarts    &lt;/realName&gt;&lt;/person&gt;</v>
      </c>
      <c r="B101" s="7" t="str">
        <f t="shared" si="33"/>
        <v>&lt;telephony nid="1"&gt;&lt;number id="0" prio="1" type="work"&gt;+31 104206666&lt;/number&gt;&lt;/telephony&gt;</v>
      </c>
      <c r="C101" s="7" t="str">
        <f t="shared" si="34"/>
        <v>&lt;services /&gt;&lt;setup /&gt;&lt;mod_time&gt;1500000010&lt;/mod_time&gt;&lt;uniqueid&gt;1&lt;/uniqueid&gt;&lt;/contact&gt;</v>
      </c>
      <c r="D101" t="str">
        <f t="shared" si="35"/>
        <v>&lt;contact&gt;&lt;category&gt;0&lt;/category&gt;&lt;person&gt;&lt;realName&gt;Dierenarts    &lt;/realName&gt;&lt;/person&gt;</v>
      </c>
      <c r="E101" t="str">
        <f t="shared" si="36"/>
        <v>&lt;telephony nid="1"&gt;&lt;number id="0" prio="1" type="work"&gt;+31 104206666&lt;/number&gt;&lt;/telephony&gt;</v>
      </c>
      <c r="F101" t="str">
        <f t="shared" si="37"/>
        <v>&lt;telephony nid="1"&gt;</v>
      </c>
      <c r="G101" t="str">
        <f t="shared" si="38"/>
        <v>&lt;number id="0" prio="1" type="work"&gt;+31 104206666&lt;/number&gt;</v>
      </c>
      <c r="H101" t="str">
        <f t="shared" si="39"/>
        <v>&lt;services nid="1"&gt;&lt;email id="0" classifier="private"&gt;&lt;/email&gt;&lt;/services&gt;&lt;setup /&gt;&lt;mod_time&gt;1500000010&lt;/mod_time&gt;&lt;uniqueid&gt;1&lt;/uniqueid&gt;&lt;/contact&gt;</v>
      </c>
      <c r="I101" t="str">
        <f t="shared" si="40"/>
        <v>&lt;services /&gt;&lt;setup /&gt;&lt;mod_time&gt;1500000010&lt;/mod_time&gt;&lt;uniqueid&gt;1&lt;/uniqueid&gt;&lt;/contact&gt;</v>
      </c>
      <c r="J101" t="str">
        <f t="shared" si="41"/>
        <v>&lt;services /&gt;&lt;setup /&gt;&lt;mod_time&gt;1500000010&lt;/mod_time&gt;&lt;uniqueid&gt;1&lt;/uniqueid&gt;&lt;/contact&gt;</v>
      </c>
      <c r="K101" s="5">
        <f t="shared" si="42"/>
        <v>1</v>
      </c>
      <c r="L101" s="5">
        <f t="shared" si="43"/>
        <v>1</v>
      </c>
      <c r="M101" s="5" t="str">
        <f>CONCATENATE(+Contacts!E101)</f>
        <v>+31 104206666</v>
      </c>
      <c r="N101" t="str">
        <f t="shared" si="44"/>
        <v/>
      </c>
      <c r="O101" s="5">
        <f t="shared" si="45"/>
        <v>1</v>
      </c>
      <c r="P101" s="5">
        <f t="shared" si="46"/>
        <v>1</v>
      </c>
      <c r="Q101" s="5" t="str">
        <f>CONCATENATE(+Contacts!G101)</f>
        <v/>
      </c>
      <c r="R101" t="str">
        <f t="shared" si="47"/>
        <v/>
      </c>
      <c r="S101" s="5">
        <f t="shared" si="48"/>
        <v>1</v>
      </c>
      <c r="T101" s="5">
        <f t="shared" si="49"/>
        <v>1</v>
      </c>
      <c r="U101" s="5" t="str">
        <f>CONCATENATE(+Contacts!H101)</f>
        <v/>
      </c>
      <c r="V101" t="str">
        <f t="shared" si="50"/>
        <v/>
      </c>
      <c r="W101" s="5">
        <f t="shared" si="51"/>
        <v>1</v>
      </c>
      <c r="X101" s="5">
        <f t="shared" si="52"/>
        <v>1</v>
      </c>
      <c r="Y101" s="5" t="str">
        <f>CONCATENATE(+Contacts!F101)</f>
        <v/>
      </c>
      <c r="Z101" s="2" t="str">
        <f t="shared" si="53"/>
        <v xml:space="preserve">Dierenarts    </v>
      </c>
      <c r="AA101" s="2" t="str">
        <f>CONCATENATE(+Contacts!C101)</f>
        <v>Dierenarts</v>
      </c>
      <c r="AB101" s="2" t="str">
        <f t="shared" si="54"/>
        <v xml:space="preserve"> </v>
      </c>
      <c r="AC101" s="2" t="str">
        <f>CONCATENATE(+Contacts!A101)</f>
        <v/>
      </c>
      <c r="AD101" s="3" t="str">
        <f>CONCATENATE(" ",+Contacts!B101)</f>
        <v xml:space="preserve"> </v>
      </c>
      <c r="AE101" s="2" t="str">
        <f t="shared" si="55"/>
        <v xml:space="preserve"> </v>
      </c>
      <c r="AF101" s="3" t="str">
        <f>CONCATENATE(+Contacts!D101)</f>
        <v/>
      </c>
      <c r="AG101" s="2" t="str">
        <f t="shared" si="56"/>
        <v xml:space="preserve"> </v>
      </c>
      <c r="AH101" t="str">
        <f>CONCATENATE(+Contacts!I101)</f>
        <v/>
      </c>
      <c r="AI101">
        <v>1500000010</v>
      </c>
      <c r="AJ101" s="5">
        <f t="shared" si="57"/>
        <v>1</v>
      </c>
    </row>
    <row r="102" spans="1:36" x14ac:dyDescent="0.35">
      <c r="A102" s="7" t="str">
        <f t="shared" si="32"/>
        <v/>
      </c>
      <c r="B102" s="7" t="str">
        <f t="shared" si="33"/>
        <v/>
      </c>
      <c r="C102" s="7" t="str">
        <f t="shared" si="34"/>
        <v/>
      </c>
      <c r="D102" t="str">
        <f t="shared" si="35"/>
        <v>&lt;contact&gt;&lt;category&gt;0&lt;/category&gt;&lt;person&gt;&lt;realName&gt;Dijk, Dan van  &lt;/realName&gt;&lt;/person&gt;</v>
      </c>
      <c r="E102" t="str">
        <f t="shared" si="36"/>
        <v>&lt;telephony nid="0"&gt;&lt;/telephony&gt;</v>
      </c>
      <c r="F102" t="str">
        <f t="shared" si="37"/>
        <v>&lt;telephony nid="0"&gt;</v>
      </c>
      <c r="G102" t="str">
        <f t="shared" si="38"/>
        <v/>
      </c>
      <c r="H102" t="str">
        <f t="shared" si="39"/>
        <v>&lt;services nid="1"&gt;&lt;email id="0" classifier="private"&gt;&lt;/email&gt;&lt;/services&gt;&lt;setup /&gt;&lt;mod_time&gt;1500000010&lt;/mod_time&gt;&lt;uniqueid&gt;0&lt;/uniqueid&gt;&lt;/contact&gt;</v>
      </c>
      <c r="I102" t="str">
        <f t="shared" si="40"/>
        <v>&lt;services /&gt;&lt;setup /&gt;&lt;mod_time&gt;1500000010&lt;/mod_time&gt;&lt;uniqueid&gt;0&lt;/uniqueid&gt;&lt;/contact&gt;</v>
      </c>
      <c r="J102" t="str">
        <f t="shared" si="41"/>
        <v>&lt;services /&gt;&lt;setup /&gt;&lt;mod_time&gt;1500000010&lt;/mod_time&gt;&lt;uniqueid&gt;0&lt;/uniqueid&gt;&lt;/contact&gt;</v>
      </c>
      <c r="K102" s="5">
        <f t="shared" si="42"/>
        <v>0</v>
      </c>
      <c r="L102" s="5">
        <f t="shared" si="43"/>
        <v>0</v>
      </c>
      <c r="M102" s="5" t="str">
        <f>CONCATENATE(+Contacts!E102)</f>
        <v/>
      </c>
      <c r="N102" t="str">
        <f t="shared" si="44"/>
        <v/>
      </c>
      <c r="O102" s="5">
        <f t="shared" si="45"/>
        <v>0</v>
      </c>
      <c r="P102" s="5">
        <f t="shared" si="46"/>
        <v>0</v>
      </c>
      <c r="Q102" s="5" t="str">
        <f>CONCATENATE(+Contacts!G102)</f>
        <v/>
      </c>
      <c r="R102" t="str">
        <f t="shared" si="47"/>
        <v/>
      </c>
      <c r="S102" s="5">
        <f t="shared" si="48"/>
        <v>0</v>
      </c>
      <c r="T102" s="5">
        <f t="shared" si="49"/>
        <v>0</v>
      </c>
      <c r="U102" s="5" t="str">
        <f>CONCATENATE(+Contacts!H102)</f>
        <v/>
      </c>
      <c r="V102" t="str">
        <f t="shared" si="50"/>
        <v/>
      </c>
      <c r="W102" s="5">
        <f t="shared" si="51"/>
        <v>0</v>
      </c>
      <c r="X102" s="5">
        <f t="shared" si="52"/>
        <v>0</v>
      </c>
      <c r="Y102" s="5" t="str">
        <f>CONCATENATE(+Contacts!F102)</f>
        <v/>
      </c>
      <c r="Z102" s="2" t="str">
        <f t="shared" si="53"/>
        <v xml:space="preserve">Dijk, Dan van  </v>
      </c>
      <c r="AA102" s="2" t="str">
        <f>CONCATENATE(+Contacts!C102)</f>
        <v>Dijk</v>
      </c>
      <c r="AB102" s="2" t="str">
        <f t="shared" si="54"/>
        <v xml:space="preserve">, </v>
      </c>
      <c r="AC102" s="2" t="str">
        <f>CONCATENATE(+Contacts!A102)</f>
        <v>Dan</v>
      </c>
      <c r="AD102" s="3" t="str">
        <f>CONCATENATE(" ",+Contacts!B102)</f>
        <v xml:space="preserve"> van</v>
      </c>
      <c r="AE102" s="2" t="str">
        <f t="shared" si="55"/>
        <v xml:space="preserve"> </v>
      </c>
      <c r="AF102" s="3" t="str">
        <f>CONCATENATE(+Contacts!D102)</f>
        <v/>
      </c>
      <c r="AG102" s="2" t="str">
        <f t="shared" si="56"/>
        <v xml:space="preserve"> </v>
      </c>
      <c r="AH102" t="str">
        <f>CONCATENATE(+Contacts!I102)</f>
        <v/>
      </c>
      <c r="AI102">
        <v>1500000010</v>
      </c>
      <c r="AJ102" s="5">
        <f t="shared" si="57"/>
        <v>0</v>
      </c>
    </row>
    <row r="103" spans="1:36" x14ac:dyDescent="0.35">
      <c r="A103" s="7" t="str">
        <f t="shared" si="32"/>
        <v>&lt;contact&gt;&lt;category&gt;0&lt;/category&gt;&lt;person&gt;&lt;realName&gt;Dijk, Hanna van  &lt;/realName&gt;&lt;/person&gt;</v>
      </c>
      <c r="B103" s="7" t="str">
        <f t="shared" si="33"/>
        <v>&lt;telephony nid="1"&gt;&lt;number id="0" prio="1" type="mobile"&gt;+31 627881403&lt;/number&gt;&lt;/telephony&gt;</v>
      </c>
      <c r="C103" s="7" t="str">
        <f t="shared" si="34"/>
        <v>&lt;services /&gt;&lt;setup /&gt;&lt;mod_time&gt;1500000010&lt;/mod_time&gt;&lt;uniqueid&gt;1&lt;/uniqueid&gt;&lt;/contact&gt;</v>
      </c>
      <c r="D103" t="str">
        <f t="shared" si="35"/>
        <v>&lt;contact&gt;&lt;category&gt;0&lt;/category&gt;&lt;person&gt;&lt;realName&gt;Dijk, Hanna van  &lt;/realName&gt;&lt;/person&gt;</v>
      </c>
      <c r="E103" t="str">
        <f t="shared" si="36"/>
        <v>&lt;telephony nid="1"&gt;&lt;number id="0" prio="1" type="mobile"&gt;+31 627881403&lt;/number&gt;&lt;/telephony&gt;</v>
      </c>
      <c r="F103" t="str">
        <f t="shared" si="37"/>
        <v>&lt;telephony nid="1"&gt;</v>
      </c>
      <c r="G103" t="str">
        <f t="shared" si="38"/>
        <v/>
      </c>
      <c r="H103" t="str">
        <f t="shared" si="39"/>
        <v>&lt;services nid="1"&gt;&lt;email id="0" classifier="private"&gt;&lt;/email&gt;&lt;/services&gt;&lt;setup /&gt;&lt;mod_time&gt;1500000010&lt;/mod_time&gt;&lt;uniqueid&gt;1&lt;/uniqueid&gt;&lt;/contact&gt;</v>
      </c>
      <c r="I103" t="str">
        <f t="shared" si="40"/>
        <v>&lt;services /&gt;&lt;setup /&gt;&lt;mod_time&gt;1500000010&lt;/mod_time&gt;&lt;uniqueid&gt;1&lt;/uniqueid&gt;&lt;/contact&gt;</v>
      </c>
      <c r="J103" t="str">
        <f t="shared" si="41"/>
        <v>&lt;services /&gt;&lt;setup /&gt;&lt;mod_time&gt;1500000010&lt;/mod_time&gt;&lt;uniqueid&gt;1&lt;/uniqueid&gt;&lt;/contact&gt;</v>
      </c>
      <c r="K103" s="5">
        <f t="shared" si="42"/>
        <v>0</v>
      </c>
      <c r="L103" s="5">
        <f t="shared" si="43"/>
        <v>0</v>
      </c>
      <c r="M103" s="5" t="str">
        <f>CONCATENATE(+Contacts!E103)</f>
        <v/>
      </c>
      <c r="N103" t="str">
        <f t="shared" si="44"/>
        <v/>
      </c>
      <c r="O103" s="5">
        <f t="shared" si="45"/>
        <v>0</v>
      </c>
      <c r="P103" s="5">
        <f t="shared" si="46"/>
        <v>0</v>
      </c>
      <c r="Q103" s="5" t="str">
        <f>CONCATENATE(+Contacts!G103)</f>
        <v/>
      </c>
      <c r="R103" t="str">
        <f t="shared" si="47"/>
        <v>&lt;number id="0" prio="1" type="mobile"&gt;+31 627881403&lt;/number&gt;</v>
      </c>
      <c r="S103" s="5">
        <f t="shared" si="48"/>
        <v>1</v>
      </c>
      <c r="T103" s="5">
        <f t="shared" si="49"/>
        <v>1</v>
      </c>
      <c r="U103" s="5" t="str">
        <f>CONCATENATE(+Contacts!H103)</f>
        <v>+31 627881403</v>
      </c>
      <c r="V103" t="str">
        <f t="shared" si="50"/>
        <v/>
      </c>
      <c r="W103" s="5">
        <f t="shared" si="51"/>
        <v>1</v>
      </c>
      <c r="X103" s="5">
        <f t="shared" si="52"/>
        <v>1</v>
      </c>
      <c r="Y103" s="5" t="str">
        <f>CONCATENATE(+Contacts!F103)</f>
        <v/>
      </c>
      <c r="Z103" s="2" t="str">
        <f t="shared" si="53"/>
        <v xml:space="preserve">Dijk, Hanna van  </v>
      </c>
      <c r="AA103" s="2" t="str">
        <f>CONCATENATE(+Contacts!C103)</f>
        <v>Dijk</v>
      </c>
      <c r="AB103" s="2" t="str">
        <f t="shared" si="54"/>
        <v xml:space="preserve">, </v>
      </c>
      <c r="AC103" s="2" t="str">
        <f>CONCATENATE(+Contacts!A103)</f>
        <v>Hanna</v>
      </c>
      <c r="AD103" s="3" t="str">
        <f>CONCATENATE(" ",+Contacts!B103)</f>
        <v xml:space="preserve"> van</v>
      </c>
      <c r="AE103" s="2" t="str">
        <f t="shared" si="55"/>
        <v xml:space="preserve"> </v>
      </c>
      <c r="AF103" s="3" t="str">
        <f>CONCATENATE(+Contacts!D103)</f>
        <v/>
      </c>
      <c r="AG103" s="2" t="str">
        <f t="shared" si="56"/>
        <v xml:space="preserve"> </v>
      </c>
      <c r="AH103" t="str">
        <f>CONCATENATE(+Contacts!I103)</f>
        <v/>
      </c>
      <c r="AI103">
        <v>1500000010</v>
      </c>
      <c r="AJ103" s="5">
        <f t="shared" si="57"/>
        <v>1</v>
      </c>
    </row>
    <row r="104" spans="1:36" x14ac:dyDescent="0.35">
      <c r="A104" s="7" t="str">
        <f t="shared" si="32"/>
        <v/>
      </c>
      <c r="B104" s="7" t="str">
        <f t="shared" si="33"/>
        <v/>
      </c>
      <c r="C104" s="7" t="str">
        <f t="shared" si="34"/>
        <v/>
      </c>
      <c r="D104" t="str">
        <f t="shared" si="35"/>
        <v>&lt;contact&gt;&lt;category&gt;0&lt;/category&gt;&lt;person&gt;&lt;realName&gt;Dijk, Ruth van  &lt;/realName&gt;&lt;/person&gt;</v>
      </c>
      <c r="E104" t="str">
        <f t="shared" si="36"/>
        <v>&lt;telephony nid="0"&gt;&lt;/telephony&gt;</v>
      </c>
      <c r="F104" t="str">
        <f t="shared" si="37"/>
        <v>&lt;telephony nid="0"&gt;</v>
      </c>
      <c r="G104" t="str">
        <f t="shared" si="38"/>
        <v/>
      </c>
      <c r="H104" t="str">
        <f t="shared" si="39"/>
        <v>&lt;services nid="1"&gt;&lt;email id="0" classifier="private"&gt;&lt;/email&gt;&lt;/services&gt;&lt;setup /&gt;&lt;mod_time&gt;1500000010&lt;/mod_time&gt;&lt;uniqueid&gt;0&lt;/uniqueid&gt;&lt;/contact&gt;</v>
      </c>
      <c r="I104" t="str">
        <f t="shared" si="40"/>
        <v>&lt;services /&gt;&lt;setup /&gt;&lt;mod_time&gt;1500000010&lt;/mod_time&gt;&lt;uniqueid&gt;0&lt;/uniqueid&gt;&lt;/contact&gt;</v>
      </c>
      <c r="J104" t="str">
        <f t="shared" si="41"/>
        <v>&lt;services /&gt;&lt;setup /&gt;&lt;mod_time&gt;1500000010&lt;/mod_time&gt;&lt;uniqueid&gt;0&lt;/uniqueid&gt;&lt;/contact&gt;</v>
      </c>
      <c r="K104" s="5">
        <f t="shared" si="42"/>
        <v>0</v>
      </c>
      <c r="L104" s="5">
        <f t="shared" si="43"/>
        <v>0</v>
      </c>
      <c r="M104" s="5" t="str">
        <f>CONCATENATE(+Contacts!E104)</f>
        <v/>
      </c>
      <c r="N104" t="str">
        <f t="shared" si="44"/>
        <v/>
      </c>
      <c r="O104" s="5">
        <f t="shared" si="45"/>
        <v>0</v>
      </c>
      <c r="P104" s="5">
        <f t="shared" si="46"/>
        <v>0</v>
      </c>
      <c r="Q104" s="5" t="str">
        <f>CONCATENATE(+Contacts!G104)</f>
        <v/>
      </c>
      <c r="R104" t="str">
        <f t="shared" si="47"/>
        <v/>
      </c>
      <c r="S104" s="5">
        <f t="shared" si="48"/>
        <v>0</v>
      </c>
      <c r="T104" s="5">
        <f t="shared" si="49"/>
        <v>0</v>
      </c>
      <c r="U104" s="5" t="str">
        <f>CONCATENATE(+Contacts!H104)</f>
        <v/>
      </c>
      <c r="V104" t="str">
        <f t="shared" si="50"/>
        <v/>
      </c>
      <c r="W104" s="5">
        <f t="shared" si="51"/>
        <v>0</v>
      </c>
      <c r="X104" s="5">
        <f t="shared" si="52"/>
        <v>0</v>
      </c>
      <c r="Y104" s="5" t="str">
        <f>CONCATENATE(+Contacts!F104)</f>
        <v/>
      </c>
      <c r="Z104" s="2" t="str">
        <f t="shared" si="53"/>
        <v xml:space="preserve">Dijk, Ruth van  </v>
      </c>
      <c r="AA104" s="2" t="str">
        <f>CONCATENATE(+Contacts!C104)</f>
        <v>Dijk</v>
      </c>
      <c r="AB104" s="2" t="str">
        <f t="shared" si="54"/>
        <v xml:space="preserve">, </v>
      </c>
      <c r="AC104" s="2" t="str">
        <f>CONCATENATE(+Contacts!A104)</f>
        <v>Ruth</v>
      </c>
      <c r="AD104" s="3" t="str">
        <f>CONCATENATE(" ",+Contacts!B104)</f>
        <v xml:space="preserve"> van</v>
      </c>
      <c r="AE104" s="2" t="str">
        <f t="shared" si="55"/>
        <v xml:space="preserve"> </v>
      </c>
      <c r="AF104" s="3" t="str">
        <f>CONCATENATE(+Contacts!D104)</f>
        <v/>
      </c>
      <c r="AG104" s="2" t="str">
        <f t="shared" si="56"/>
        <v xml:space="preserve"> </v>
      </c>
      <c r="AH104" t="str">
        <f>CONCATENATE(+Contacts!I104)</f>
        <v/>
      </c>
      <c r="AI104">
        <v>1500000010</v>
      </c>
      <c r="AJ104" s="5">
        <f t="shared" si="57"/>
        <v>0</v>
      </c>
    </row>
    <row r="105" spans="1:36" x14ac:dyDescent="0.35">
      <c r="A105" s="7" t="str">
        <f t="shared" si="32"/>
        <v/>
      </c>
      <c r="B105" s="7" t="str">
        <f t="shared" si="33"/>
        <v/>
      </c>
      <c r="C105" s="7" t="str">
        <f t="shared" si="34"/>
        <v/>
      </c>
      <c r="D105" t="str">
        <f t="shared" si="35"/>
        <v>&lt;contact&gt;&lt;category&gt;0&lt;/category&gt;&lt;person&gt;&lt;realName&gt;Dijkman, Fred van  &lt;/realName&gt;&lt;/person&gt;</v>
      </c>
      <c r="E105" t="str">
        <f t="shared" si="36"/>
        <v>&lt;telephony nid="0"&gt;&lt;/telephony&gt;</v>
      </c>
      <c r="F105" t="str">
        <f t="shared" si="37"/>
        <v>&lt;telephony nid="0"&gt;</v>
      </c>
      <c r="G105" t="str">
        <f t="shared" si="38"/>
        <v/>
      </c>
      <c r="H105" t="str">
        <f t="shared" si="39"/>
        <v>&lt;services nid="1"&gt;&lt;email id="0" classifier="private"&gt;&lt;/email&gt;&lt;/services&gt;&lt;setup /&gt;&lt;mod_time&gt;1500000010&lt;/mod_time&gt;&lt;uniqueid&gt;0&lt;/uniqueid&gt;&lt;/contact&gt;</v>
      </c>
      <c r="I105" t="str">
        <f t="shared" si="40"/>
        <v>&lt;services /&gt;&lt;setup /&gt;&lt;mod_time&gt;1500000010&lt;/mod_time&gt;&lt;uniqueid&gt;0&lt;/uniqueid&gt;&lt;/contact&gt;</v>
      </c>
      <c r="J105" t="str">
        <f t="shared" si="41"/>
        <v>&lt;services /&gt;&lt;setup /&gt;&lt;mod_time&gt;1500000010&lt;/mod_time&gt;&lt;uniqueid&gt;0&lt;/uniqueid&gt;&lt;/contact&gt;</v>
      </c>
      <c r="K105" s="5">
        <f t="shared" si="42"/>
        <v>0</v>
      </c>
      <c r="L105" s="5">
        <f t="shared" si="43"/>
        <v>0</v>
      </c>
      <c r="M105" s="5" t="str">
        <f>CONCATENATE(+Contacts!E105)</f>
        <v/>
      </c>
      <c r="N105" t="str">
        <f t="shared" si="44"/>
        <v/>
      </c>
      <c r="O105" s="5">
        <f t="shared" si="45"/>
        <v>0</v>
      </c>
      <c r="P105" s="5">
        <f t="shared" si="46"/>
        <v>0</v>
      </c>
      <c r="Q105" s="5" t="str">
        <f>CONCATENATE(+Contacts!G105)</f>
        <v/>
      </c>
      <c r="R105" t="str">
        <f t="shared" si="47"/>
        <v/>
      </c>
      <c r="S105" s="5">
        <f t="shared" si="48"/>
        <v>0</v>
      </c>
      <c r="T105" s="5">
        <f t="shared" si="49"/>
        <v>0</v>
      </c>
      <c r="U105" s="5" t="str">
        <f>CONCATENATE(+Contacts!H105)</f>
        <v/>
      </c>
      <c r="V105" t="str">
        <f t="shared" si="50"/>
        <v/>
      </c>
      <c r="W105" s="5">
        <f t="shared" si="51"/>
        <v>0</v>
      </c>
      <c r="X105" s="5">
        <f t="shared" si="52"/>
        <v>0</v>
      </c>
      <c r="Y105" s="5" t="str">
        <f>CONCATENATE(+Contacts!F105)</f>
        <v/>
      </c>
      <c r="Z105" s="2" t="str">
        <f t="shared" si="53"/>
        <v xml:space="preserve">Dijkman, Fred van  </v>
      </c>
      <c r="AA105" s="2" t="str">
        <f>CONCATENATE(+Contacts!C105)</f>
        <v>Dijkman</v>
      </c>
      <c r="AB105" s="2" t="str">
        <f t="shared" si="54"/>
        <v xml:space="preserve">, </v>
      </c>
      <c r="AC105" s="2" t="str">
        <f>CONCATENATE(+Contacts!A105)</f>
        <v>Fred</v>
      </c>
      <c r="AD105" s="3" t="str">
        <f>CONCATENATE(" ",+Contacts!B105)</f>
        <v xml:space="preserve"> van</v>
      </c>
      <c r="AE105" s="2" t="str">
        <f t="shared" si="55"/>
        <v xml:space="preserve"> </v>
      </c>
      <c r="AF105" s="3" t="str">
        <f>CONCATENATE(+Contacts!D105)</f>
        <v/>
      </c>
      <c r="AG105" s="2" t="str">
        <f t="shared" si="56"/>
        <v xml:space="preserve"> </v>
      </c>
      <c r="AH105" t="str">
        <f>CONCATENATE(+Contacts!I105)</f>
        <v/>
      </c>
      <c r="AI105">
        <v>1500000010</v>
      </c>
      <c r="AJ105" s="5">
        <f t="shared" si="57"/>
        <v>0</v>
      </c>
    </row>
    <row r="106" spans="1:36" x14ac:dyDescent="0.35">
      <c r="A106" s="7" t="str">
        <f t="shared" si="32"/>
        <v>&lt;contact&gt;&lt;category&gt;0&lt;/category&gt;&lt;person&gt;&lt;realName&gt;Dijkstra, Geert   &lt;/realName&gt;&lt;/person&gt;</v>
      </c>
      <c r="B106" s="7" t="str">
        <f t="shared" si="33"/>
        <v>&lt;telephony nid="1"&gt;&lt;number id="0" prio="1" type="mobile"&gt;+31 613246603&lt;/number&gt;&lt;/telephony&gt;</v>
      </c>
      <c r="C106" s="7" t="str">
        <f t="shared" si="34"/>
        <v>&lt;services /&gt;&lt;setup /&gt;&lt;mod_time&gt;1500000010&lt;/mod_time&gt;&lt;uniqueid&gt;1&lt;/uniqueid&gt;&lt;/contact&gt;</v>
      </c>
      <c r="D106" t="str">
        <f t="shared" si="35"/>
        <v>&lt;contact&gt;&lt;category&gt;0&lt;/category&gt;&lt;person&gt;&lt;realName&gt;Dijkstra, Geert   &lt;/realName&gt;&lt;/person&gt;</v>
      </c>
      <c r="E106" t="str">
        <f t="shared" si="36"/>
        <v>&lt;telephony nid="1"&gt;&lt;number id="0" prio="1" type="mobile"&gt;+31 613246603&lt;/number&gt;&lt;/telephony&gt;</v>
      </c>
      <c r="F106" t="str">
        <f t="shared" si="37"/>
        <v>&lt;telephony nid="1"&gt;</v>
      </c>
      <c r="G106" t="str">
        <f t="shared" si="38"/>
        <v/>
      </c>
      <c r="H106" t="str">
        <f t="shared" si="39"/>
        <v>&lt;services nid="1"&gt;&lt;email id="0" classifier="private"&gt;&lt;/email&gt;&lt;/services&gt;&lt;setup /&gt;&lt;mod_time&gt;1500000010&lt;/mod_time&gt;&lt;uniqueid&gt;1&lt;/uniqueid&gt;&lt;/contact&gt;</v>
      </c>
      <c r="I106" t="str">
        <f t="shared" si="40"/>
        <v>&lt;services /&gt;&lt;setup /&gt;&lt;mod_time&gt;1500000010&lt;/mod_time&gt;&lt;uniqueid&gt;1&lt;/uniqueid&gt;&lt;/contact&gt;</v>
      </c>
      <c r="J106" t="str">
        <f t="shared" si="41"/>
        <v>&lt;services /&gt;&lt;setup /&gt;&lt;mod_time&gt;1500000010&lt;/mod_time&gt;&lt;uniqueid&gt;1&lt;/uniqueid&gt;&lt;/contact&gt;</v>
      </c>
      <c r="K106" s="5">
        <f t="shared" si="42"/>
        <v>0</v>
      </c>
      <c r="L106" s="5">
        <f t="shared" si="43"/>
        <v>0</v>
      </c>
      <c r="M106" s="5" t="str">
        <f>CONCATENATE(+Contacts!E106)</f>
        <v/>
      </c>
      <c r="N106" t="str">
        <f t="shared" si="44"/>
        <v/>
      </c>
      <c r="O106" s="5">
        <f t="shared" si="45"/>
        <v>0</v>
      </c>
      <c r="P106" s="5">
        <f t="shared" si="46"/>
        <v>0</v>
      </c>
      <c r="Q106" s="5" t="str">
        <f>CONCATENATE(+Contacts!G106)</f>
        <v/>
      </c>
      <c r="R106" t="str">
        <f t="shared" si="47"/>
        <v>&lt;number id="0" prio="1" type="mobile"&gt;+31 613246603&lt;/number&gt;</v>
      </c>
      <c r="S106" s="5">
        <f t="shared" si="48"/>
        <v>1</v>
      </c>
      <c r="T106" s="5">
        <f t="shared" si="49"/>
        <v>1</v>
      </c>
      <c r="U106" s="5" t="str">
        <f>CONCATENATE(+Contacts!H106)</f>
        <v>+31 613246603</v>
      </c>
      <c r="V106" t="str">
        <f t="shared" si="50"/>
        <v/>
      </c>
      <c r="W106" s="5">
        <f t="shared" si="51"/>
        <v>1</v>
      </c>
      <c r="X106" s="5">
        <f t="shared" si="52"/>
        <v>1</v>
      </c>
      <c r="Y106" s="5" t="str">
        <f>CONCATENATE(+Contacts!F106)</f>
        <v/>
      </c>
      <c r="Z106" s="2" t="str">
        <f t="shared" si="53"/>
        <v xml:space="preserve">Dijkstra, Geert   </v>
      </c>
      <c r="AA106" s="2" t="str">
        <f>CONCATENATE(+Contacts!C106)</f>
        <v>Dijkstra</v>
      </c>
      <c r="AB106" s="2" t="str">
        <f t="shared" si="54"/>
        <v xml:space="preserve">, </v>
      </c>
      <c r="AC106" s="2" t="str">
        <f>CONCATENATE(+Contacts!A106)</f>
        <v>Geert</v>
      </c>
      <c r="AD106" s="3" t="str">
        <f>CONCATENATE(" ",+Contacts!B106)</f>
        <v xml:space="preserve"> </v>
      </c>
      <c r="AE106" s="2" t="str">
        <f t="shared" si="55"/>
        <v xml:space="preserve"> </v>
      </c>
      <c r="AF106" s="3" t="str">
        <f>CONCATENATE(+Contacts!D106)</f>
        <v/>
      </c>
      <c r="AG106" s="2" t="str">
        <f t="shared" si="56"/>
        <v xml:space="preserve"> </v>
      </c>
      <c r="AH106" t="str">
        <f>CONCATENATE(+Contacts!I106)</f>
        <v/>
      </c>
      <c r="AI106">
        <v>1500000010</v>
      </c>
      <c r="AJ106" s="5">
        <f t="shared" si="57"/>
        <v>1</v>
      </c>
    </row>
    <row r="107" spans="1:36" x14ac:dyDescent="0.35">
      <c r="A107" s="7" t="str">
        <f t="shared" si="32"/>
        <v/>
      </c>
      <c r="B107" s="7" t="str">
        <f t="shared" si="33"/>
        <v/>
      </c>
      <c r="C107" s="7" t="str">
        <f t="shared" si="34"/>
        <v/>
      </c>
      <c r="D107" t="str">
        <f t="shared" si="35"/>
        <v>&lt;contact&gt;&lt;category&gt;0&lt;/category&gt;&lt;person&gt;&lt;realName&gt;, Dinan   &lt;/realName&gt;&lt;/person&gt;</v>
      </c>
      <c r="E107" t="str">
        <f t="shared" si="36"/>
        <v>&lt;telephony nid="0"&gt;&lt;/telephony&gt;</v>
      </c>
      <c r="F107" t="str">
        <f t="shared" si="37"/>
        <v>&lt;telephony nid="0"&gt;</v>
      </c>
      <c r="G107" t="str">
        <f t="shared" si="38"/>
        <v/>
      </c>
      <c r="H107" t="str">
        <f t="shared" si="39"/>
        <v>&lt;services nid="1"&gt;&lt;email id="0" classifier="private"&gt;&lt;/email&gt;&lt;/services&gt;&lt;setup /&gt;&lt;mod_time&gt;1500000010&lt;/mod_time&gt;&lt;uniqueid&gt;0&lt;/uniqueid&gt;&lt;/contact&gt;</v>
      </c>
      <c r="I107" t="str">
        <f t="shared" si="40"/>
        <v>&lt;services /&gt;&lt;setup /&gt;&lt;mod_time&gt;1500000010&lt;/mod_time&gt;&lt;uniqueid&gt;0&lt;/uniqueid&gt;&lt;/contact&gt;</v>
      </c>
      <c r="J107" t="str">
        <f t="shared" si="41"/>
        <v>&lt;services /&gt;&lt;setup /&gt;&lt;mod_time&gt;1500000010&lt;/mod_time&gt;&lt;uniqueid&gt;0&lt;/uniqueid&gt;&lt;/contact&gt;</v>
      </c>
      <c r="K107" s="5">
        <f t="shared" si="42"/>
        <v>0</v>
      </c>
      <c r="L107" s="5">
        <f t="shared" si="43"/>
        <v>0</v>
      </c>
      <c r="M107" s="5" t="str">
        <f>CONCATENATE(+Contacts!E107)</f>
        <v/>
      </c>
      <c r="N107" t="str">
        <f t="shared" si="44"/>
        <v/>
      </c>
      <c r="O107" s="5">
        <f t="shared" si="45"/>
        <v>0</v>
      </c>
      <c r="P107" s="5">
        <f t="shared" si="46"/>
        <v>0</v>
      </c>
      <c r="Q107" s="5" t="str">
        <f>CONCATENATE(+Contacts!G107)</f>
        <v/>
      </c>
      <c r="R107" t="str">
        <f t="shared" si="47"/>
        <v/>
      </c>
      <c r="S107" s="5">
        <f t="shared" si="48"/>
        <v>0</v>
      </c>
      <c r="T107" s="5">
        <f t="shared" si="49"/>
        <v>0</v>
      </c>
      <c r="U107" s="5" t="str">
        <f>CONCATENATE(+Contacts!H107)</f>
        <v/>
      </c>
      <c r="V107" t="str">
        <f t="shared" si="50"/>
        <v/>
      </c>
      <c r="W107" s="5">
        <f t="shared" si="51"/>
        <v>0</v>
      </c>
      <c r="X107" s="5">
        <f t="shared" si="52"/>
        <v>0</v>
      </c>
      <c r="Y107" s="5" t="str">
        <f>CONCATENATE(+Contacts!F107)</f>
        <v/>
      </c>
      <c r="Z107" s="2" t="str">
        <f t="shared" si="53"/>
        <v xml:space="preserve">, Dinan   </v>
      </c>
      <c r="AA107" s="2" t="str">
        <f>CONCATENATE(+Contacts!C107)</f>
        <v/>
      </c>
      <c r="AB107" s="2" t="str">
        <f t="shared" si="54"/>
        <v xml:space="preserve">, </v>
      </c>
      <c r="AC107" s="2" t="str">
        <f>CONCATENATE(+Contacts!A107)</f>
        <v>Dinan</v>
      </c>
      <c r="AD107" s="3" t="str">
        <f>CONCATENATE(" ",+Contacts!B107)</f>
        <v xml:space="preserve"> </v>
      </c>
      <c r="AE107" s="2" t="str">
        <f t="shared" si="55"/>
        <v xml:space="preserve"> </v>
      </c>
      <c r="AF107" s="3" t="str">
        <f>CONCATENATE(+Contacts!D107)</f>
        <v/>
      </c>
      <c r="AG107" s="2" t="str">
        <f t="shared" si="56"/>
        <v xml:space="preserve"> </v>
      </c>
      <c r="AH107" t="str">
        <f>CONCATENATE(+Contacts!I107)</f>
        <v/>
      </c>
      <c r="AI107">
        <v>1500000010</v>
      </c>
      <c r="AJ107" s="5">
        <f t="shared" si="57"/>
        <v>0</v>
      </c>
    </row>
    <row r="108" spans="1:36" x14ac:dyDescent="0.35">
      <c r="A108" s="7" t="str">
        <f t="shared" si="32"/>
        <v>&lt;contact&gt;&lt;category&gt;0&lt;/category&gt;&lt;person&gt;&lt;realName&gt;Dols, Gemma   &lt;/realName&gt;&lt;/person&gt;</v>
      </c>
      <c r="B108" s="7" t="str">
        <f t="shared" si="33"/>
        <v>&lt;telephony nid="2"&gt;&lt;number id="0" prio="1" type="home"&gt;+31 534355158&lt;/number&gt;&lt;number id="1" prio="0" type="mobile"&gt;+31 646560577&lt;/number&gt;&lt;/telephony&gt;</v>
      </c>
      <c r="C108" s="7" t="str">
        <f t="shared" si="34"/>
        <v>&lt;services nid="1"&gt;&lt;email id="0" classifier="private"&gt;gamdols@kpnmail.nl&lt;/email&gt;&lt;/services&gt;&lt;setup /&gt;&lt;mod_time&gt;1500000010&lt;/mod_time&gt;&lt;uniqueid&gt;1&lt;/uniqueid&gt;&lt;/contact&gt;</v>
      </c>
      <c r="D108" t="str">
        <f t="shared" si="35"/>
        <v>&lt;contact&gt;&lt;category&gt;0&lt;/category&gt;&lt;person&gt;&lt;realName&gt;Dols, Gemma   &lt;/realName&gt;&lt;/person&gt;</v>
      </c>
      <c r="E108" t="str">
        <f t="shared" si="36"/>
        <v>&lt;telephony nid="2"&gt;&lt;number id="0" prio="1" type="home"&gt;+31 534355158&lt;/number&gt;&lt;number id="1" prio="0" type="mobile"&gt;+31 646560577&lt;/number&gt;&lt;/telephony&gt;</v>
      </c>
      <c r="F108" t="str">
        <f t="shared" si="37"/>
        <v>&lt;telephony nid="2"&gt;</v>
      </c>
      <c r="G108" t="str">
        <f t="shared" si="38"/>
        <v/>
      </c>
      <c r="H108" t="str">
        <f t="shared" si="39"/>
        <v>&lt;services nid="1"&gt;&lt;email id="0" classifier="private"&gt;gamdols@kpnmail.nl&lt;/email&gt;&lt;/services&gt;&lt;setup /&gt;&lt;mod_time&gt;1500000010&lt;/mod_time&gt;&lt;uniqueid&gt;1&lt;/uniqueid&gt;&lt;/contact&gt;</v>
      </c>
      <c r="I108" t="str">
        <f t="shared" si="40"/>
        <v>&lt;services /&gt;&lt;setup /&gt;&lt;mod_time&gt;1500000010&lt;/mod_time&gt;&lt;uniqueid&gt;1&lt;/uniqueid&gt;&lt;/contact&gt;</v>
      </c>
      <c r="J108" t="str">
        <f t="shared" si="41"/>
        <v>&lt;services nid="1"&gt;&lt;email id="0" classifier="private"&gt;gamdols@kpnmail.nl&lt;/email&gt;&lt;/services&gt;&lt;setup /&gt;&lt;mod_time&gt;1500000010&lt;/mod_time&gt;&lt;uniqueid&gt;1&lt;/uniqueid&gt;&lt;/contact&gt;</v>
      </c>
      <c r="K108" s="5">
        <f t="shared" si="42"/>
        <v>0</v>
      </c>
      <c r="L108" s="5">
        <f t="shared" si="43"/>
        <v>0</v>
      </c>
      <c r="M108" s="5" t="str">
        <f>CONCATENATE(+Contacts!E108)</f>
        <v/>
      </c>
      <c r="N108" t="str">
        <f t="shared" si="44"/>
        <v>&lt;number id="0" prio="1" type="home"&gt;+31 534355158&lt;/number&gt;</v>
      </c>
      <c r="O108" s="5">
        <f t="shared" si="45"/>
        <v>1</v>
      </c>
      <c r="P108" s="5">
        <f t="shared" si="46"/>
        <v>1</v>
      </c>
      <c r="Q108" s="5" t="str">
        <f>CONCATENATE(+Contacts!G108)</f>
        <v>+31 534355158</v>
      </c>
      <c r="R108" t="str">
        <f t="shared" si="47"/>
        <v>&lt;number id="1" prio="0" type="mobile"&gt;+31 646560577&lt;/number&gt;</v>
      </c>
      <c r="S108" s="5">
        <f t="shared" si="48"/>
        <v>2</v>
      </c>
      <c r="T108" s="5">
        <f t="shared" si="49"/>
        <v>0</v>
      </c>
      <c r="U108" s="5" t="str">
        <f>CONCATENATE(+Contacts!H108)</f>
        <v>+31 646560577</v>
      </c>
      <c r="V108" t="str">
        <f t="shared" si="50"/>
        <v/>
      </c>
      <c r="W108" s="5">
        <f t="shared" si="51"/>
        <v>2</v>
      </c>
      <c r="X108" s="5">
        <f t="shared" si="52"/>
        <v>0</v>
      </c>
      <c r="Y108" s="5" t="str">
        <f>CONCATENATE(+Contacts!F108)</f>
        <v/>
      </c>
      <c r="Z108" s="2" t="str">
        <f t="shared" si="53"/>
        <v xml:space="preserve">Dols, Gemma   </v>
      </c>
      <c r="AA108" s="2" t="str">
        <f>CONCATENATE(+Contacts!C108)</f>
        <v>Dols</v>
      </c>
      <c r="AB108" s="2" t="str">
        <f t="shared" si="54"/>
        <v xml:space="preserve">, </v>
      </c>
      <c r="AC108" s="2" t="str">
        <f>CONCATENATE(+Contacts!A108)</f>
        <v>Gemma</v>
      </c>
      <c r="AD108" s="3" t="str">
        <f>CONCATENATE(" ",+Contacts!B108)</f>
        <v xml:space="preserve"> </v>
      </c>
      <c r="AE108" s="2" t="str">
        <f t="shared" si="55"/>
        <v xml:space="preserve"> </v>
      </c>
      <c r="AF108" s="3" t="str">
        <f>CONCATENATE(+Contacts!D108)</f>
        <v/>
      </c>
      <c r="AG108" s="2" t="str">
        <f t="shared" si="56"/>
        <v xml:space="preserve"> </v>
      </c>
      <c r="AH108" t="str">
        <f>CONCATENATE(+Contacts!I108)</f>
        <v>gamdols@kpnmail.nl</v>
      </c>
      <c r="AI108">
        <v>1500000010</v>
      </c>
      <c r="AJ108" s="5">
        <f t="shared" si="57"/>
        <v>1</v>
      </c>
    </row>
    <row r="109" spans="1:36" x14ac:dyDescent="0.35">
      <c r="A109" s="7" t="str">
        <f t="shared" si="32"/>
        <v>&lt;contact&gt;&lt;category&gt;0&lt;/category&gt;&lt;person&gt;&lt;realName&gt;Dongelmans, Helene   &lt;/realName&gt;&lt;/person&gt;</v>
      </c>
      <c r="B109" s="7" t="str">
        <f t="shared" si="33"/>
        <v>&lt;telephony nid="1"&gt;&lt;number id="0" prio="1" type="mobile"&gt;31613979719&lt;/number&gt;&lt;/telephony&gt;</v>
      </c>
      <c r="C109" s="7" t="str">
        <f t="shared" si="34"/>
        <v>&lt;services /&gt;&lt;setup /&gt;&lt;mod_time&gt;1500000010&lt;/mod_time&gt;&lt;uniqueid&gt;1&lt;/uniqueid&gt;&lt;/contact&gt;</v>
      </c>
      <c r="D109" t="str">
        <f t="shared" si="35"/>
        <v>&lt;contact&gt;&lt;category&gt;0&lt;/category&gt;&lt;person&gt;&lt;realName&gt;Dongelmans, Helene   &lt;/realName&gt;&lt;/person&gt;</v>
      </c>
      <c r="E109" t="str">
        <f t="shared" si="36"/>
        <v>&lt;telephony nid="1"&gt;&lt;number id="0" prio="1" type="mobile"&gt;31613979719&lt;/number&gt;&lt;/telephony&gt;</v>
      </c>
      <c r="F109" t="str">
        <f t="shared" si="37"/>
        <v>&lt;telephony nid="1"&gt;</v>
      </c>
      <c r="G109" t="str">
        <f t="shared" si="38"/>
        <v/>
      </c>
      <c r="H109" t="str">
        <f t="shared" si="39"/>
        <v>&lt;services nid="1"&gt;&lt;email id="0" classifier="private"&gt;&lt;/email&gt;&lt;/services&gt;&lt;setup /&gt;&lt;mod_time&gt;1500000010&lt;/mod_time&gt;&lt;uniqueid&gt;1&lt;/uniqueid&gt;&lt;/contact&gt;</v>
      </c>
      <c r="I109" t="str">
        <f t="shared" si="40"/>
        <v>&lt;services /&gt;&lt;setup /&gt;&lt;mod_time&gt;1500000010&lt;/mod_time&gt;&lt;uniqueid&gt;1&lt;/uniqueid&gt;&lt;/contact&gt;</v>
      </c>
      <c r="J109" t="str">
        <f t="shared" si="41"/>
        <v>&lt;services /&gt;&lt;setup /&gt;&lt;mod_time&gt;1500000010&lt;/mod_time&gt;&lt;uniqueid&gt;1&lt;/uniqueid&gt;&lt;/contact&gt;</v>
      </c>
      <c r="K109" s="5">
        <f t="shared" si="42"/>
        <v>0</v>
      </c>
      <c r="L109" s="5">
        <f t="shared" si="43"/>
        <v>0</v>
      </c>
      <c r="M109" s="5" t="str">
        <f>CONCATENATE(+Contacts!E109)</f>
        <v/>
      </c>
      <c r="N109" t="str">
        <f t="shared" si="44"/>
        <v/>
      </c>
      <c r="O109" s="5">
        <f t="shared" si="45"/>
        <v>0</v>
      </c>
      <c r="P109" s="5">
        <f t="shared" si="46"/>
        <v>0</v>
      </c>
      <c r="Q109" s="5" t="str">
        <f>CONCATENATE(+Contacts!G109)</f>
        <v/>
      </c>
      <c r="R109" t="str">
        <f t="shared" si="47"/>
        <v>&lt;number id="0" prio="1" type="mobile"&gt;31613979719&lt;/number&gt;</v>
      </c>
      <c r="S109" s="5">
        <f t="shared" si="48"/>
        <v>1</v>
      </c>
      <c r="T109" s="5">
        <f t="shared" si="49"/>
        <v>1</v>
      </c>
      <c r="U109" s="5" t="str">
        <f>CONCATENATE(+Contacts!H109)</f>
        <v>31613979719</v>
      </c>
      <c r="V109" t="str">
        <f t="shared" si="50"/>
        <v/>
      </c>
      <c r="W109" s="5">
        <f t="shared" si="51"/>
        <v>1</v>
      </c>
      <c r="X109" s="5">
        <f t="shared" si="52"/>
        <v>1</v>
      </c>
      <c r="Y109" s="5" t="str">
        <f>CONCATENATE(+Contacts!F109)</f>
        <v/>
      </c>
      <c r="Z109" s="2" t="str">
        <f t="shared" si="53"/>
        <v xml:space="preserve">Dongelmans, Helene   </v>
      </c>
      <c r="AA109" s="2" t="str">
        <f>CONCATENATE(+Contacts!C109)</f>
        <v>Dongelmans</v>
      </c>
      <c r="AB109" s="2" t="str">
        <f t="shared" si="54"/>
        <v xml:space="preserve">, </v>
      </c>
      <c r="AC109" s="2" t="str">
        <f>CONCATENATE(+Contacts!A109)</f>
        <v>Helene</v>
      </c>
      <c r="AD109" s="3" t="str">
        <f>CONCATENATE(" ",+Contacts!B109)</f>
        <v xml:space="preserve"> </v>
      </c>
      <c r="AE109" s="2" t="str">
        <f t="shared" si="55"/>
        <v xml:space="preserve"> </v>
      </c>
      <c r="AF109" s="3" t="str">
        <f>CONCATENATE(+Contacts!D109)</f>
        <v/>
      </c>
      <c r="AG109" s="2" t="str">
        <f t="shared" si="56"/>
        <v xml:space="preserve"> </v>
      </c>
      <c r="AH109" t="str">
        <f>CONCATENATE(+Contacts!I109)</f>
        <v/>
      </c>
      <c r="AI109">
        <v>1500000010</v>
      </c>
      <c r="AJ109" s="5">
        <f t="shared" si="57"/>
        <v>1</v>
      </c>
    </row>
    <row r="110" spans="1:36" x14ac:dyDescent="0.35">
      <c r="A110" s="7" t="str">
        <f t="shared" si="32"/>
        <v>&lt;contact&gt;&lt;category&gt;0&lt;/category&gt;&lt;person&gt;&lt;realName&gt;Dorst, Marga &amp;amp; George van  &lt;/realName&gt;&lt;/person&gt;</v>
      </c>
      <c r="B110" s="7" t="str">
        <f t="shared" si="33"/>
        <v>&lt;telephony nid="1"&gt;&lt;number id="0" prio="1" type="home"&gt;+31 703943689&lt;/number&gt;&lt;/telephony&gt;</v>
      </c>
      <c r="C110" s="7" t="str">
        <f t="shared" si="34"/>
        <v>&lt;services /&gt;&lt;setup /&gt;&lt;mod_time&gt;1500000010&lt;/mod_time&gt;&lt;uniqueid&gt;1&lt;/uniqueid&gt;&lt;/contact&gt;</v>
      </c>
      <c r="D110" t="str">
        <f t="shared" si="35"/>
        <v>&lt;contact&gt;&lt;category&gt;0&lt;/category&gt;&lt;person&gt;&lt;realName&gt;Dorst, Marga &amp;amp; George van  &lt;/realName&gt;&lt;/person&gt;</v>
      </c>
      <c r="E110" t="str">
        <f t="shared" si="36"/>
        <v>&lt;telephony nid="1"&gt;&lt;number id="0" prio="1" type="home"&gt;+31 703943689&lt;/number&gt;&lt;/telephony&gt;</v>
      </c>
      <c r="F110" t="str">
        <f t="shared" si="37"/>
        <v>&lt;telephony nid="1"&gt;</v>
      </c>
      <c r="G110" t="str">
        <f t="shared" si="38"/>
        <v/>
      </c>
      <c r="H110" t="str">
        <f t="shared" si="39"/>
        <v>&lt;services nid="1"&gt;&lt;email id="0" classifier="private"&gt;&lt;/email&gt;&lt;/services&gt;&lt;setup /&gt;&lt;mod_time&gt;1500000010&lt;/mod_time&gt;&lt;uniqueid&gt;1&lt;/uniqueid&gt;&lt;/contact&gt;</v>
      </c>
      <c r="I110" t="str">
        <f t="shared" si="40"/>
        <v>&lt;services /&gt;&lt;setup /&gt;&lt;mod_time&gt;1500000010&lt;/mod_time&gt;&lt;uniqueid&gt;1&lt;/uniqueid&gt;&lt;/contact&gt;</v>
      </c>
      <c r="J110" t="str">
        <f t="shared" si="41"/>
        <v>&lt;services /&gt;&lt;setup /&gt;&lt;mod_time&gt;1500000010&lt;/mod_time&gt;&lt;uniqueid&gt;1&lt;/uniqueid&gt;&lt;/contact&gt;</v>
      </c>
      <c r="K110" s="5">
        <f t="shared" si="42"/>
        <v>0</v>
      </c>
      <c r="L110" s="5">
        <f t="shared" si="43"/>
        <v>0</v>
      </c>
      <c r="M110" s="5" t="str">
        <f>CONCATENATE(+Contacts!E110)</f>
        <v/>
      </c>
      <c r="N110" t="str">
        <f t="shared" si="44"/>
        <v>&lt;number id="0" prio="1" type="home"&gt;+31 703943689&lt;/number&gt;</v>
      </c>
      <c r="O110" s="5">
        <f t="shared" si="45"/>
        <v>1</v>
      </c>
      <c r="P110" s="5">
        <f t="shared" si="46"/>
        <v>1</v>
      </c>
      <c r="Q110" s="5" t="str">
        <f>CONCATENATE(+Contacts!G110)</f>
        <v>+31 703943689</v>
      </c>
      <c r="R110" t="str">
        <f t="shared" si="47"/>
        <v/>
      </c>
      <c r="S110" s="5">
        <f t="shared" si="48"/>
        <v>1</v>
      </c>
      <c r="T110" s="5">
        <f t="shared" si="49"/>
        <v>1</v>
      </c>
      <c r="U110" s="5" t="str">
        <f>CONCATENATE(+Contacts!H110)</f>
        <v/>
      </c>
      <c r="V110" t="str">
        <f t="shared" si="50"/>
        <v/>
      </c>
      <c r="W110" s="5">
        <f t="shared" si="51"/>
        <v>1</v>
      </c>
      <c r="X110" s="5">
        <f t="shared" si="52"/>
        <v>1</v>
      </c>
      <c r="Y110" s="5" t="str">
        <f>CONCATENATE(+Contacts!F110)</f>
        <v/>
      </c>
      <c r="Z110" s="2" t="str">
        <f t="shared" si="53"/>
        <v xml:space="preserve">Dorst, Marga &amp;amp; George van  </v>
      </c>
      <c r="AA110" s="2" t="str">
        <f>CONCATENATE(+Contacts!C110)</f>
        <v>Dorst</v>
      </c>
      <c r="AB110" s="2" t="str">
        <f t="shared" si="54"/>
        <v xml:space="preserve">, </v>
      </c>
      <c r="AC110" s="2" t="str">
        <f>CONCATENATE(+Contacts!A110)</f>
        <v>Marga &amp;amp; George</v>
      </c>
      <c r="AD110" s="3" t="str">
        <f>CONCATENATE(" ",+Contacts!B110)</f>
        <v xml:space="preserve"> van</v>
      </c>
      <c r="AE110" s="2" t="str">
        <f t="shared" si="55"/>
        <v xml:space="preserve"> </v>
      </c>
      <c r="AF110" s="3" t="str">
        <f>CONCATENATE(+Contacts!D110)</f>
        <v/>
      </c>
      <c r="AG110" s="2" t="str">
        <f t="shared" si="56"/>
        <v xml:space="preserve"> </v>
      </c>
      <c r="AH110" t="str">
        <f>CONCATENATE(+Contacts!I110)</f>
        <v/>
      </c>
      <c r="AI110">
        <v>1500000010</v>
      </c>
      <c r="AJ110" s="5">
        <f t="shared" si="57"/>
        <v>1</v>
      </c>
    </row>
    <row r="111" spans="1:36" x14ac:dyDescent="0.35">
      <c r="A111" s="7" t="str">
        <f t="shared" si="32"/>
        <v>&lt;contact&gt;&lt;category&gt;0&lt;/category&gt;&lt;person&gt;&lt;realName&gt;Drift, Maartje van der  &lt;/realName&gt;&lt;/person&gt;</v>
      </c>
      <c r="B111" s="7" t="str">
        <f t="shared" si="33"/>
        <v>&lt;telephony nid="1"&gt;&lt;number id="0" prio="1" type="home"&gt;+31 102469090&lt;/number&gt;&lt;/telephony&gt;</v>
      </c>
      <c r="C111" s="7" t="str">
        <f t="shared" si="34"/>
        <v>&lt;services nid="1"&gt;&lt;email id="0" classifier="private"&gt;ti006058@tiscali.nl&lt;/email&gt;&lt;/services&gt;&lt;setup /&gt;&lt;mod_time&gt;1500000010&lt;/mod_time&gt;&lt;uniqueid&gt;1&lt;/uniqueid&gt;&lt;/contact&gt;</v>
      </c>
      <c r="D111" t="str">
        <f t="shared" si="35"/>
        <v>&lt;contact&gt;&lt;category&gt;0&lt;/category&gt;&lt;person&gt;&lt;realName&gt;Drift, Maartje van der  &lt;/realName&gt;&lt;/person&gt;</v>
      </c>
      <c r="E111" t="str">
        <f t="shared" si="36"/>
        <v>&lt;telephony nid="1"&gt;&lt;number id="0" prio="1" type="home"&gt;+31 102469090&lt;/number&gt;&lt;/telephony&gt;</v>
      </c>
      <c r="F111" t="str">
        <f t="shared" si="37"/>
        <v>&lt;telephony nid="1"&gt;</v>
      </c>
      <c r="G111" t="str">
        <f t="shared" si="38"/>
        <v/>
      </c>
      <c r="H111" t="str">
        <f t="shared" si="39"/>
        <v>&lt;services nid="1"&gt;&lt;email id="0" classifier="private"&gt;ti006058@tiscali.nl&lt;/email&gt;&lt;/services&gt;&lt;setup /&gt;&lt;mod_time&gt;1500000010&lt;/mod_time&gt;&lt;uniqueid&gt;1&lt;/uniqueid&gt;&lt;/contact&gt;</v>
      </c>
      <c r="I111" t="str">
        <f t="shared" si="40"/>
        <v>&lt;services /&gt;&lt;setup /&gt;&lt;mod_time&gt;1500000010&lt;/mod_time&gt;&lt;uniqueid&gt;1&lt;/uniqueid&gt;&lt;/contact&gt;</v>
      </c>
      <c r="J111" t="str">
        <f t="shared" si="41"/>
        <v>&lt;services nid="1"&gt;&lt;email id="0" classifier="private"&gt;ti006058@tiscali.nl&lt;/email&gt;&lt;/services&gt;&lt;setup /&gt;&lt;mod_time&gt;1500000010&lt;/mod_time&gt;&lt;uniqueid&gt;1&lt;/uniqueid&gt;&lt;/contact&gt;</v>
      </c>
      <c r="K111" s="5">
        <f t="shared" si="42"/>
        <v>0</v>
      </c>
      <c r="L111" s="5">
        <f t="shared" si="43"/>
        <v>0</v>
      </c>
      <c r="M111" s="5" t="str">
        <f>CONCATENATE(+Contacts!E111)</f>
        <v/>
      </c>
      <c r="N111" t="str">
        <f t="shared" si="44"/>
        <v>&lt;number id="0" prio="1" type="home"&gt;+31 102469090&lt;/number&gt;</v>
      </c>
      <c r="O111" s="5">
        <f t="shared" si="45"/>
        <v>1</v>
      </c>
      <c r="P111" s="5">
        <f t="shared" si="46"/>
        <v>1</v>
      </c>
      <c r="Q111" s="5" t="str">
        <f>CONCATENATE(+Contacts!G111)</f>
        <v>+31 102469090</v>
      </c>
      <c r="R111" t="str">
        <f t="shared" si="47"/>
        <v/>
      </c>
      <c r="S111" s="5">
        <f t="shared" si="48"/>
        <v>1</v>
      </c>
      <c r="T111" s="5">
        <f t="shared" si="49"/>
        <v>1</v>
      </c>
      <c r="U111" s="5" t="str">
        <f>CONCATENATE(+Contacts!H111)</f>
        <v/>
      </c>
      <c r="V111" t="str">
        <f t="shared" si="50"/>
        <v/>
      </c>
      <c r="W111" s="5">
        <f t="shared" si="51"/>
        <v>1</v>
      </c>
      <c r="X111" s="5">
        <f t="shared" si="52"/>
        <v>1</v>
      </c>
      <c r="Y111" s="5" t="str">
        <f>CONCATENATE(+Contacts!F111)</f>
        <v/>
      </c>
      <c r="Z111" s="2" t="str">
        <f t="shared" si="53"/>
        <v xml:space="preserve">Drift, Maartje van der  </v>
      </c>
      <c r="AA111" s="2" t="str">
        <f>CONCATENATE(+Contacts!C111)</f>
        <v>Drift</v>
      </c>
      <c r="AB111" s="2" t="str">
        <f t="shared" si="54"/>
        <v xml:space="preserve">, </v>
      </c>
      <c r="AC111" s="2" t="str">
        <f>CONCATENATE(+Contacts!A111)</f>
        <v>Maartje</v>
      </c>
      <c r="AD111" s="3" t="str">
        <f>CONCATENATE(" ",+Contacts!B111)</f>
        <v xml:space="preserve"> van der</v>
      </c>
      <c r="AE111" s="2" t="str">
        <f t="shared" si="55"/>
        <v xml:space="preserve"> </v>
      </c>
      <c r="AF111" s="3" t="str">
        <f>CONCATENATE(+Contacts!D111)</f>
        <v/>
      </c>
      <c r="AG111" s="2" t="str">
        <f t="shared" si="56"/>
        <v xml:space="preserve"> </v>
      </c>
      <c r="AH111" t="str">
        <f>CONCATENATE(+Contacts!I111)</f>
        <v>ti006058@tiscali.nl</v>
      </c>
      <c r="AI111">
        <v>1500000010</v>
      </c>
      <c r="AJ111" s="5">
        <f t="shared" si="57"/>
        <v>1</v>
      </c>
    </row>
    <row r="112" spans="1:36" x14ac:dyDescent="0.35">
      <c r="A112" s="7" t="str">
        <f t="shared" si="32"/>
        <v>&lt;contact&gt;&lt;category&gt;0&lt;/category&gt;&lt;person&gt;&lt;realName&gt;Drouen, Ingrid   &lt;/realName&gt;&lt;/person&gt;</v>
      </c>
      <c r="B112" s="7" t="str">
        <f t="shared" si="33"/>
        <v>&lt;telephony nid="1"&gt;&lt;number id="0" prio="1" type="mobile"&gt;+31 625095015&lt;/number&gt;&lt;/telephony&gt;</v>
      </c>
      <c r="C112" s="7" t="str">
        <f t="shared" si="34"/>
        <v>&lt;services nid="1"&gt;&lt;email id="0" classifier="private"&gt;idrouen@wemanity.com&lt;/email&gt;&lt;/services&gt;&lt;setup /&gt;&lt;mod_time&gt;1500000010&lt;/mod_time&gt;&lt;uniqueid&gt;1&lt;/uniqueid&gt;&lt;/contact&gt;</v>
      </c>
      <c r="D112" t="str">
        <f t="shared" si="35"/>
        <v>&lt;contact&gt;&lt;category&gt;0&lt;/category&gt;&lt;person&gt;&lt;realName&gt;Drouen, Ingrid   &lt;/realName&gt;&lt;/person&gt;</v>
      </c>
      <c r="E112" t="str">
        <f t="shared" si="36"/>
        <v>&lt;telephony nid="1"&gt;&lt;number id="0" prio="1" type="mobile"&gt;+31 625095015&lt;/number&gt;&lt;/telephony&gt;</v>
      </c>
      <c r="F112" t="str">
        <f t="shared" si="37"/>
        <v>&lt;telephony nid="1"&gt;</v>
      </c>
      <c r="G112" t="str">
        <f t="shared" si="38"/>
        <v/>
      </c>
      <c r="H112" t="str">
        <f t="shared" si="39"/>
        <v>&lt;services nid="1"&gt;&lt;email id="0" classifier="private"&gt;idrouen@wemanity.com&lt;/email&gt;&lt;/services&gt;&lt;setup /&gt;&lt;mod_time&gt;1500000010&lt;/mod_time&gt;&lt;uniqueid&gt;1&lt;/uniqueid&gt;&lt;/contact&gt;</v>
      </c>
      <c r="I112" t="str">
        <f t="shared" si="40"/>
        <v>&lt;services /&gt;&lt;setup /&gt;&lt;mod_time&gt;1500000010&lt;/mod_time&gt;&lt;uniqueid&gt;1&lt;/uniqueid&gt;&lt;/contact&gt;</v>
      </c>
      <c r="J112" t="str">
        <f t="shared" si="41"/>
        <v>&lt;services nid="1"&gt;&lt;email id="0" classifier="private"&gt;idrouen@wemanity.com&lt;/email&gt;&lt;/services&gt;&lt;setup /&gt;&lt;mod_time&gt;1500000010&lt;/mod_time&gt;&lt;uniqueid&gt;1&lt;/uniqueid&gt;&lt;/contact&gt;</v>
      </c>
      <c r="K112" s="5">
        <f t="shared" si="42"/>
        <v>0</v>
      </c>
      <c r="L112" s="5">
        <f t="shared" si="43"/>
        <v>0</v>
      </c>
      <c r="M112" s="5" t="str">
        <f>CONCATENATE(+Contacts!E112)</f>
        <v/>
      </c>
      <c r="N112" t="str">
        <f t="shared" si="44"/>
        <v/>
      </c>
      <c r="O112" s="5">
        <f t="shared" si="45"/>
        <v>0</v>
      </c>
      <c r="P112" s="5">
        <f t="shared" si="46"/>
        <v>0</v>
      </c>
      <c r="Q112" s="5" t="str">
        <f>CONCATENATE(+Contacts!G112)</f>
        <v/>
      </c>
      <c r="R112" t="str">
        <f t="shared" si="47"/>
        <v>&lt;number id="0" prio="1" type="mobile"&gt;+31 625095015&lt;/number&gt;</v>
      </c>
      <c r="S112" s="5">
        <f t="shared" si="48"/>
        <v>1</v>
      </c>
      <c r="T112" s="5">
        <f t="shared" si="49"/>
        <v>1</v>
      </c>
      <c r="U112" s="5" t="str">
        <f>CONCATENATE(+Contacts!H112)</f>
        <v>+31 625095015</v>
      </c>
      <c r="V112" t="str">
        <f t="shared" si="50"/>
        <v/>
      </c>
      <c r="W112" s="5">
        <f t="shared" si="51"/>
        <v>1</v>
      </c>
      <c r="X112" s="5">
        <f t="shared" si="52"/>
        <v>1</v>
      </c>
      <c r="Y112" s="5" t="str">
        <f>CONCATENATE(+Contacts!F112)</f>
        <v/>
      </c>
      <c r="Z112" s="2" t="str">
        <f t="shared" si="53"/>
        <v xml:space="preserve">Drouen, Ingrid   </v>
      </c>
      <c r="AA112" s="2" t="str">
        <f>CONCATENATE(+Contacts!C112)</f>
        <v>Drouen</v>
      </c>
      <c r="AB112" s="2" t="str">
        <f t="shared" si="54"/>
        <v xml:space="preserve">, </v>
      </c>
      <c r="AC112" s="2" t="str">
        <f>CONCATENATE(+Contacts!A112)</f>
        <v>Ingrid</v>
      </c>
      <c r="AD112" s="3" t="str">
        <f>CONCATENATE(" ",+Contacts!B112)</f>
        <v xml:space="preserve"> </v>
      </c>
      <c r="AE112" s="2" t="str">
        <f t="shared" si="55"/>
        <v xml:space="preserve"> </v>
      </c>
      <c r="AF112" s="3" t="str">
        <f>CONCATENATE(+Contacts!D112)</f>
        <v/>
      </c>
      <c r="AG112" s="2" t="str">
        <f t="shared" si="56"/>
        <v xml:space="preserve"> </v>
      </c>
      <c r="AH112" t="str">
        <f>CONCATENATE(+Contacts!I112)</f>
        <v>idrouen@wemanity.com</v>
      </c>
      <c r="AI112">
        <v>1500000010</v>
      </c>
      <c r="AJ112" s="5">
        <f t="shared" si="57"/>
        <v>1</v>
      </c>
    </row>
    <row r="113" spans="1:36" x14ac:dyDescent="0.35">
      <c r="A113" s="7" t="str">
        <f t="shared" si="32"/>
        <v>&lt;contact&gt;&lt;category&gt;0&lt;/category&gt;&lt;person&gt;&lt;realName&gt;Duijne, John van  &lt;/realName&gt;&lt;/person&gt;</v>
      </c>
      <c r="B113" s="7" t="str">
        <f t="shared" si="33"/>
        <v>&lt;telephony nid="1"&gt;&lt;number id="0" prio="1" type="mobile"&gt;+31 6 51 685525&lt;/number&gt;&lt;/telephony&gt;</v>
      </c>
      <c r="C113" s="7" t="str">
        <f t="shared" si="34"/>
        <v>&lt;services nid="1"&gt;&lt;email id="0" classifier="private"&gt;cjvanduijne@live.nl&lt;/email&gt;&lt;/services&gt;&lt;setup /&gt;&lt;mod_time&gt;1500000010&lt;/mod_time&gt;&lt;uniqueid&gt;1&lt;/uniqueid&gt;&lt;/contact&gt;</v>
      </c>
      <c r="D113" t="str">
        <f t="shared" si="35"/>
        <v>&lt;contact&gt;&lt;category&gt;0&lt;/category&gt;&lt;person&gt;&lt;realName&gt;Duijne, John van  &lt;/realName&gt;&lt;/person&gt;</v>
      </c>
      <c r="E113" t="str">
        <f t="shared" si="36"/>
        <v>&lt;telephony nid="1"&gt;&lt;number id="0" prio="1" type="mobile"&gt;+31 6 51 685525&lt;/number&gt;&lt;/telephony&gt;</v>
      </c>
      <c r="F113" t="str">
        <f t="shared" si="37"/>
        <v>&lt;telephony nid="1"&gt;</v>
      </c>
      <c r="G113" t="str">
        <f t="shared" si="38"/>
        <v/>
      </c>
      <c r="H113" t="str">
        <f t="shared" si="39"/>
        <v>&lt;services nid="1"&gt;&lt;email id="0" classifier="private"&gt;cjvanduijne@live.nl&lt;/email&gt;&lt;/services&gt;&lt;setup /&gt;&lt;mod_time&gt;1500000010&lt;/mod_time&gt;&lt;uniqueid&gt;1&lt;/uniqueid&gt;&lt;/contact&gt;</v>
      </c>
      <c r="I113" t="str">
        <f t="shared" si="40"/>
        <v>&lt;services /&gt;&lt;setup /&gt;&lt;mod_time&gt;1500000010&lt;/mod_time&gt;&lt;uniqueid&gt;1&lt;/uniqueid&gt;&lt;/contact&gt;</v>
      </c>
      <c r="J113" t="str">
        <f t="shared" si="41"/>
        <v>&lt;services nid="1"&gt;&lt;email id="0" classifier="private"&gt;cjvanduijne@live.nl&lt;/email&gt;&lt;/services&gt;&lt;setup /&gt;&lt;mod_time&gt;1500000010&lt;/mod_time&gt;&lt;uniqueid&gt;1&lt;/uniqueid&gt;&lt;/contact&gt;</v>
      </c>
      <c r="K113" s="5">
        <f t="shared" si="42"/>
        <v>0</v>
      </c>
      <c r="L113" s="5">
        <f t="shared" si="43"/>
        <v>0</v>
      </c>
      <c r="M113" s="5" t="str">
        <f>CONCATENATE(+Contacts!E113)</f>
        <v/>
      </c>
      <c r="N113" t="str">
        <f t="shared" si="44"/>
        <v/>
      </c>
      <c r="O113" s="5">
        <f t="shared" si="45"/>
        <v>0</v>
      </c>
      <c r="P113" s="5">
        <f t="shared" si="46"/>
        <v>0</v>
      </c>
      <c r="Q113" s="5" t="str">
        <f>CONCATENATE(+Contacts!G113)</f>
        <v/>
      </c>
      <c r="R113" t="str">
        <f t="shared" si="47"/>
        <v>&lt;number id="0" prio="1" type="mobile"&gt;+31 6 51 685525&lt;/number&gt;</v>
      </c>
      <c r="S113" s="5">
        <f t="shared" si="48"/>
        <v>1</v>
      </c>
      <c r="T113" s="5">
        <f t="shared" si="49"/>
        <v>1</v>
      </c>
      <c r="U113" s="5" t="str">
        <f>CONCATENATE(+Contacts!H113)</f>
        <v>+31 6 51 685525</v>
      </c>
      <c r="V113" t="str">
        <f t="shared" si="50"/>
        <v/>
      </c>
      <c r="W113" s="5">
        <f t="shared" si="51"/>
        <v>1</v>
      </c>
      <c r="X113" s="5">
        <f t="shared" si="52"/>
        <v>1</v>
      </c>
      <c r="Y113" s="5" t="str">
        <f>CONCATENATE(+Contacts!F113)</f>
        <v/>
      </c>
      <c r="Z113" s="2" t="str">
        <f t="shared" si="53"/>
        <v xml:space="preserve">Duijne, John van  </v>
      </c>
      <c r="AA113" s="2" t="str">
        <f>CONCATENATE(+Contacts!C113)</f>
        <v>Duijne</v>
      </c>
      <c r="AB113" s="2" t="str">
        <f t="shared" si="54"/>
        <v xml:space="preserve">, </v>
      </c>
      <c r="AC113" s="2" t="str">
        <f>CONCATENATE(+Contacts!A113)</f>
        <v>John</v>
      </c>
      <c r="AD113" s="3" t="str">
        <f>CONCATENATE(" ",+Contacts!B113)</f>
        <v xml:space="preserve"> van</v>
      </c>
      <c r="AE113" s="2" t="str">
        <f t="shared" si="55"/>
        <v xml:space="preserve"> </v>
      </c>
      <c r="AF113" s="3" t="str">
        <f>CONCATENATE(+Contacts!D113)</f>
        <v/>
      </c>
      <c r="AG113" s="2" t="str">
        <f t="shared" si="56"/>
        <v xml:space="preserve"> </v>
      </c>
      <c r="AH113" t="str">
        <f>CONCATENATE(+Contacts!I113)</f>
        <v>cjvanduijne@live.nl</v>
      </c>
      <c r="AI113">
        <v>1500000010</v>
      </c>
      <c r="AJ113" s="5">
        <f t="shared" si="57"/>
        <v>1</v>
      </c>
    </row>
    <row r="114" spans="1:36" x14ac:dyDescent="0.35">
      <c r="A114" s="7" t="str">
        <f t="shared" si="32"/>
        <v/>
      </c>
      <c r="B114" s="7" t="str">
        <f t="shared" si="33"/>
        <v/>
      </c>
      <c r="C114" s="7" t="str">
        <f t="shared" si="34"/>
        <v/>
      </c>
      <c r="D114" t="str">
        <f t="shared" si="35"/>
        <v>&lt;contact&gt;&lt;category&gt;0&lt;/category&gt;&lt;person&gt;&lt;realName&gt;Eerdmans, Femke   &lt;/realName&gt;&lt;/person&gt;</v>
      </c>
      <c r="E114" t="str">
        <f t="shared" si="36"/>
        <v>&lt;telephony nid="0"&gt;&lt;/telephony&gt;</v>
      </c>
      <c r="F114" t="str">
        <f t="shared" si="37"/>
        <v>&lt;telephony nid="0"&gt;</v>
      </c>
      <c r="G114" t="str">
        <f t="shared" si="38"/>
        <v/>
      </c>
      <c r="H114" t="str">
        <f t="shared" si="39"/>
        <v>&lt;services nid="1"&gt;&lt;email id="0" classifier="private"&gt;lovefemke@hotmail.com&lt;/email&gt;&lt;/services&gt;&lt;setup /&gt;&lt;mod_time&gt;1500000010&lt;/mod_time&gt;&lt;uniqueid&gt;0&lt;/uniqueid&gt;&lt;/contact&gt;</v>
      </c>
      <c r="I114" t="str">
        <f t="shared" si="40"/>
        <v>&lt;services /&gt;&lt;setup /&gt;&lt;mod_time&gt;1500000010&lt;/mod_time&gt;&lt;uniqueid&gt;0&lt;/uniqueid&gt;&lt;/contact&gt;</v>
      </c>
      <c r="J114" t="str">
        <f t="shared" si="41"/>
        <v>&lt;services nid="1"&gt;&lt;email id="0" classifier="private"&gt;lovefemke@hotmail.com&lt;/email&gt;&lt;/services&gt;&lt;setup /&gt;&lt;mod_time&gt;1500000010&lt;/mod_time&gt;&lt;uniqueid&gt;0&lt;/uniqueid&gt;&lt;/contact&gt;</v>
      </c>
      <c r="K114" s="5">
        <f t="shared" si="42"/>
        <v>0</v>
      </c>
      <c r="L114" s="5">
        <f t="shared" si="43"/>
        <v>0</v>
      </c>
      <c r="M114" s="5" t="str">
        <f>CONCATENATE(+Contacts!E114)</f>
        <v/>
      </c>
      <c r="N114" t="str">
        <f t="shared" si="44"/>
        <v/>
      </c>
      <c r="O114" s="5">
        <f t="shared" si="45"/>
        <v>0</v>
      </c>
      <c r="P114" s="5">
        <f t="shared" si="46"/>
        <v>0</v>
      </c>
      <c r="Q114" s="5" t="str">
        <f>CONCATENATE(+Contacts!G114)</f>
        <v/>
      </c>
      <c r="R114" t="str">
        <f t="shared" si="47"/>
        <v/>
      </c>
      <c r="S114" s="5">
        <f t="shared" si="48"/>
        <v>0</v>
      </c>
      <c r="T114" s="5">
        <f t="shared" si="49"/>
        <v>0</v>
      </c>
      <c r="U114" s="5" t="str">
        <f>CONCATENATE(+Contacts!H114)</f>
        <v/>
      </c>
      <c r="V114" t="str">
        <f t="shared" si="50"/>
        <v/>
      </c>
      <c r="W114" s="5">
        <f t="shared" si="51"/>
        <v>0</v>
      </c>
      <c r="X114" s="5">
        <f t="shared" si="52"/>
        <v>0</v>
      </c>
      <c r="Y114" s="5" t="str">
        <f>CONCATENATE(+Contacts!F114)</f>
        <v/>
      </c>
      <c r="Z114" s="2" t="str">
        <f t="shared" si="53"/>
        <v xml:space="preserve">Eerdmans, Femke   </v>
      </c>
      <c r="AA114" s="2" t="str">
        <f>CONCATENATE(+Contacts!C114)</f>
        <v>Eerdmans</v>
      </c>
      <c r="AB114" s="2" t="str">
        <f t="shared" si="54"/>
        <v xml:space="preserve">, </v>
      </c>
      <c r="AC114" s="2" t="str">
        <f>CONCATENATE(+Contacts!A114)</f>
        <v>Femke</v>
      </c>
      <c r="AD114" s="3" t="str">
        <f>CONCATENATE(" ",+Contacts!B114)</f>
        <v xml:space="preserve"> </v>
      </c>
      <c r="AE114" s="2" t="str">
        <f t="shared" si="55"/>
        <v xml:space="preserve"> </v>
      </c>
      <c r="AF114" s="3" t="str">
        <f>CONCATENATE(+Contacts!D114)</f>
        <v/>
      </c>
      <c r="AG114" s="2" t="str">
        <f t="shared" si="56"/>
        <v xml:space="preserve"> </v>
      </c>
      <c r="AH114" t="str">
        <f>CONCATENATE(+Contacts!I114)</f>
        <v>lovefemke@hotmail.com</v>
      </c>
      <c r="AI114">
        <v>1500000010</v>
      </c>
      <c r="AJ114" s="5">
        <f t="shared" si="57"/>
        <v>0</v>
      </c>
    </row>
    <row r="115" spans="1:36" x14ac:dyDescent="0.35">
      <c r="A115" s="7" t="str">
        <f t="shared" si="32"/>
        <v/>
      </c>
      <c r="B115" s="7" t="str">
        <f t="shared" si="33"/>
        <v/>
      </c>
      <c r="C115" s="7" t="str">
        <f t="shared" si="34"/>
        <v/>
      </c>
      <c r="D115" t="str">
        <f t="shared" si="35"/>
        <v>&lt;contact&gt;&lt;category&gt;0&lt;/category&gt;&lt;person&gt;&lt;realName&gt;Eijk, Olivier van  &lt;/realName&gt;&lt;/person&gt;</v>
      </c>
      <c r="E115" t="str">
        <f t="shared" si="36"/>
        <v>&lt;telephony nid="0"&gt;&lt;/telephony&gt;</v>
      </c>
      <c r="F115" t="str">
        <f t="shared" si="37"/>
        <v>&lt;telephony nid="0"&gt;</v>
      </c>
      <c r="G115" t="str">
        <f t="shared" si="38"/>
        <v/>
      </c>
      <c r="H115" t="str">
        <f t="shared" si="39"/>
        <v>&lt;services nid="1"&gt;&lt;email id="0" classifier="private"&gt;&lt;/email&gt;&lt;/services&gt;&lt;setup /&gt;&lt;mod_time&gt;1500000010&lt;/mod_time&gt;&lt;uniqueid&gt;0&lt;/uniqueid&gt;&lt;/contact&gt;</v>
      </c>
      <c r="I115" t="str">
        <f t="shared" si="40"/>
        <v>&lt;services /&gt;&lt;setup /&gt;&lt;mod_time&gt;1500000010&lt;/mod_time&gt;&lt;uniqueid&gt;0&lt;/uniqueid&gt;&lt;/contact&gt;</v>
      </c>
      <c r="J115" t="str">
        <f t="shared" si="41"/>
        <v>&lt;services /&gt;&lt;setup /&gt;&lt;mod_time&gt;1500000010&lt;/mod_time&gt;&lt;uniqueid&gt;0&lt;/uniqueid&gt;&lt;/contact&gt;</v>
      </c>
      <c r="K115" s="5">
        <f t="shared" si="42"/>
        <v>0</v>
      </c>
      <c r="L115" s="5">
        <f t="shared" si="43"/>
        <v>0</v>
      </c>
      <c r="M115" s="5" t="str">
        <f>CONCATENATE(+Contacts!E115)</f>
        <v/>
      </c>
      <c r="N115" t="str">
        <f t="shared" si="44"/>
        <v/>
      </c>
      <c r="O115" s="5">
        <f t="shared" si="45"/>
        <v>0</v>
      </c>
      <c r="P115" s="5">
        <f t="shared" si="46"/>
        <v>0</v>
      </c>
      <c r="Q115" s="5" t="str">
        <f>CONCATENATE(+Contacts!G115)</f>
        <v/>
      </c>
      <c r="R115" t="str">
        <f t="shared" si="47"/>
        <v/>
      </c>
      <c r="S115" s="5">
        <f t="shared" si="48"/>
        <v>0</v>
      </c>
      <c r="T115" s="5">
        <f t="shared" si="49"/>
        <v>0</v>
      </c>
      <c r="U115" s="5" t="str">
        <f>CONCATENATE(+Contacts!H115)</f>
        <v/>
      </c>
      <c r="V115" t="str">
        <f t="shared" si="50"/>
        <v/>
      </c>
      <c r="W115" s="5">
        <f t="shared" si="51"/>
        <v>0</v>
      </c>
      <c r="X115" s="5">
        <f t="shared" si="52"/>
        <v>0</v>
      </c>
      <c r="Y115" s="5" t="str">
        <f>CONCATENATE(+Contacts!F115)</f>
        <v/>
      </c>
      <c r="Z115" s="2" t="str">
        <f t="shared" si="53"/>
        <v xml:space="preserve">Eijk, Olivier van  </v>
      </c>
      <c r="AA115" s="2" t="str">
        <f>CONCATENATE(+Contacts!C115)</f>
        <v>Eijk</v>
      </c>
      <c r="AB115" s="2" t="str">
        <f t="shared" si="54"/>
        <v xml:space="preserve">, </v>
      </c>
      <c r="AC115" s="2" t="str">
        <f>CONCATENATE(+Contacts!A115)</f>
        <v>Olivier</v>
      </c>
      <c r="AD115" s="3" t="str">
        <f>CONCATENATE(" ",+Contacts!B115)</f>
        <v xml:space="preserve"> van</v>
      </c>
      <c r="AE115" s="2" t="str">
        <f t="shared" si="55"/>
        <v xml:space="preserve"> </v>
      </c>
      <c r="AF115" s="3" t="str">
        <f>CONCATENATE(+Contacts!D115)</f>
        <v/>
      </c>
      <c r="AG115" s="2" t="str">
        <f t="shared" si="56"/>
        <v xml:space="preserve"> </v>
      </c>
      <c r="AH115" t="str">
        <f>CONCATENATE(+Contacts!I115)</f>
        <v/>
      </c>
      <c r="AI115">
        <v>1500000010</v>
      </c>
      <c r="AJ115" s="5">
        <f t="shared" si="57"/>
        <v>0</v>
      </c>
    </row>
    <row r="116" spans="1:36" x14ac:dyDescent="0.35">
      <c r="A116" s="7" t="str">
        <f t="shared" si="32"/>
        <v>&lt;contact&gt;&lt;category&gt;0&lt;/category&gt;&lt;person&gt;&lt;realName&gt;Eijk, Paul van  &lt;/realName&gt;&lt;/person&gt;</v>
      </c>
      <c r="B116" s="7" t="str">
        <f t="shared" si="33"/>
        <v>&lt;telephony nid="1"&gt;&lt;number id="0" prio="1" type="home"&gt;+31 102204801&lt;/number&gt;&lt;/telephony&gt;</v>
      </c>
      <c r="C116" s="7" t="str">
        <f t="shared" si="34"/>
        <v>&lt;services nid="1"&gt;&lt;email id="0" classifier="private"&gt;P.Eyk1@upcmail.nl&lt;/email&gt;&lt;/services&gt;&lt;setup /&gt;&lt;mod_time&gt;1500000010&lt;/mod_time&gt;&lt;uniqueid&gt;1&lt;/uniqueid&gt;&lt;/contact&gt;</v>
      </c>
      <c r="D116" t="str">
        <f t="shared" si="35"/>
        <v>&lt;contact&gt;&lt;category&gt;0&lt;/category&gt;&lt;person&gt;&lt;realName&gt;Eijk, Paul van  &lt;/realName&gt;&lt;/person&gt;</v>
      </c>
      <c r="E116" t="str">
        <f t="shared" si="36"/>
        <v>&lt;telephony nid="1"&gt;&lt;number id="0" prio="1" type="home"&gt;+31 102204801&lt;/number&gt;&lt;/telephony&gt;</v>
      </c>
      <c r="F116" t="str">
        <f t="shared" si="37"/>
        <v>&lt;telephony nid="1"&gt;</v>
      </c>
      <c r="G116" t="str">
        <f t="shared" si="38"/>
        <v/>
      </c>
      <c r="H116" t="str">
        <f t="shared" si="39"/>
        <v>&lt;services nid="1"&gt;&lt;email id="0" classifier="private"&gt;P.Eyk1@upcmail.nl&lt;/email&gt;&lt;/services&gt;&lt;setup /&gt;&lt;mod_time&gt;1500000010&lt;/mod_time&gt;&lt;uniqueid&gt;1&lt;/uniqueid&gt;&lt;/contact&gt;</v>
      </c>
      <c r="I116" t="str">
        <f t="shared" si="40"/>
        <v>&lt;services /&gt;&lt;setup /&gt;&lt;mod_time&gt;1500000010&lt;/mod_time&gt;&lt;uniqueid&gt;1&lt;/uniqueid&gt;&lt;/contact&gt;</v>
      </c>
      <c r="J116" t="str">
        <f t="shared" si="41"/>
        <v>&lt;services nid="1"&gt;&lt;email id="0" classifier="private"&gt;P.Eyk1@upcmail.nl&lt;/email&gt;&lt;/services&gt;&lt;setup /&gt;&lt;mod_time&gt;1500000010&lt;/mod_time&gt;&lt;uniqueid&gt;1&lt;/uniqueid&gt;&lt;/contact&gt;</v>
      </c>
      <c r="K116" s="5">
        <f t="shared" si="42"/>
        <v>0</v>
      </c>
      <c r="L116" s="5">
        <f t="shared" si="43"/>
        <v>0</v>
      </c>
      <c r="M116" s="5" t="str">
        <f>CONCATENATE(+Contacts!E116)</f>
        <v/>
      </c>
      <c r="N116" t="str">
        <f t="shared" si="44"/>
        <v>&lt;number id="0" prio="1" type="home"&gt;+31 102204801&lt;/number&gt;</v>
      </c>
      <c r="O116" s="5">
        <f t="shared" si="45"/>
        <v>1</v>
      </c>
      <c r="P116" s="5">
        <f t="shared" si="46"/>
        <v>1</v>
      </c>
      <c r="Q116" s="5" t="str">
        <f>CONCATENATE(+Contacts!G116)</f>
        <v>+31 102204801</v>
      </c>
      <c r="R116" t="str">
        <f t="shared" si="47"/>
        <v/>
      </c>
      <c r="S116" s="5">
        <f t="shared" si="48"/>
        <v>1</v>
      </c>
      <c r="T116" s="5">
        <f t="shared" si="49"/>
        <v>1</v>
      </c>
      <c r="U116" s="5" t="str">
        <f>CONCATENATE(+Contacts!H116)</f>
        <v/>
      </c>
      <c r="V116" t="str">
        <f t="shared" si="50"/>
        <v/>
      </c>
      <c r="W116" s="5">
        <f t="shared" si="51"/>
        <v>1</v>
      </c>
      <c r="X116" s="5">
        <f t="shared" si="52"/>
        <v>1</v>
      </c>
      <c r="Y116" s="5" t="str">
        <f>CONCATENATE(+Contacts!F116)</f>
        <v/>
      </c>
      <c r="Z116" s="2" t="str">
        <f t="shared" si="53"/>
        <v xml:space="preserve">Eijk, Paul van  </v>
      </c>
      <c r="AA116" s="2" t="str">
        <f>CONCATENATE(+Contacts!C116)</f>
        <v>Eijk</v>
      </c>
      <c r="AB116" s="2" t="str">
        <f t="shared" si="54"/>
        <v xml:space="preserve">, </v>
      </c>
      <c r="AC116" s="2" t="str">
        <f>CONCATENATE(+Contacts!A116)</f>
        <v>Paul</v>
      </c>
      <c r="AD116" s="3" t="str">
        <f>CONCATENATE(" ",+Contacts!B116)</f>
        <v xml:space="preserve"> van</v>
      </c>
      <c r="AE116" s="2" t="str">
        <f t="shared" si="55"/>
        <v xml:space="preserve"> </v>
      </c>
      <c r="AF116" s="3" t="str">
        <f>CONCATENATE(+Contacts!D116)</f>
        <v/>
      </c>
      <c r="AG116" s="2" t="str">
        <f t="shared" si="56"/>
        <v xml:space="preserve"> </v>
      </c>
      <c r="AH116" t="str">
        <f>CONCATENATE(+Contacts!I116)</f>
        <v>P.Eyk1@upcmail.nl</v>
      </c>
      <c r="AI116">
        <v>1500000010</v>
      </c>
      <c r="AJ116" s="5">
        <f t="shared" si="57"/>
        <v>1</v>
      </c>
    </row>
    <row r="117" spans="1:36" x14ac:dyDescent="0.35">
      <c r="A117" s="7" t="str">
        <f t="shared" si="32"/>
        <v>&lt;contact&gt;&lt;category&gt;0&lt;/category&gt;&lt;person&gt;&lt;realName&gt;Eimers, Hans   &lt;/realName&gt;&lt;/person&gt;</v>
      </c>
      <c r="B117" s="7" t="str">
        <f t="shared" si="33"/>
        <v>&lt;telephony nid="1"&gt;&lt;number id="0" prio="1" type="mobile"&gt;+31 615863015&lt;/number&gt;&lt;/telephony&gt;</v>
      </c>
      <c r="C117" s="7" t="str">
        <f t="shared" si="34"/>
        <v>&lt;services nid="1"&gt;&lt;email id="0" classifier="private"&gt;heimers@chello.nl&lt;/email&gt;&lt;/services&gt;&lt;setup /&gt;&lt;mod_time&gt;1500000010&lt;/mod_time&gt;&lt;uniqueid&gt;1&lt;/uniqueid&gt;&lt;/contact&gt;</v>
      </c>
      <c r="D117" t="str">
        <f t="shared" si="35"/>
        <v>&lt;contact&gt;&lt;category&gt;0&lt;/category&gt;&lt;person&gt;&lt;realName&gt;Eimers, Hans   &lt;/realName&gt;&lt;/person&gt;</v>
      </c>
      <c r="E117" t="str">
        <f t="shared" si="36"/>
        <v>&lt;telephony nid="1"&gt;&lt;number id="0" prio="1" type="mobile"&gt;+31 615863015&lt;/number&gt;&lt;/telephony&gt;</v>
      </c>
      <c r="F117" t="str">
        <f t="shared" si="37"/>
        <v>&lt;telephony nid="1"&gt;</v>
      </c>
      <c r="G117" t="str">
        <f t="shared" si="38"/>
        <v/>
      </c>
      <c r="H117" t="str">
        <f t="shared" si="39"/>
        <v>&lt;services nid="1"&gt;&lt;email id="0" classifier="private"&gt;heimers@chello.nl&lt;/email&gt;&lt;/services&gt;&lt;setup /&gt;&lt;mod_time&gt;1500000010&lt;/mod_time&gt;&lt;uniqueid&gt;1&lt;/uniqueid&gt;&lt;/contact&gt;</v>
      </c>
      <c r="I117" t="str">
        <f t="shared" si="40"/>
        <v>&lt;services /&gt;&lt;setup /&gt;&lt;mod_time&gt;1500000010&lt;/mod_time&gt;&lt;uniqueid&gt;1&lt;/uniqueid&gt;&lt;/contact&gt;</v>
      </c>
      <c r="J117" t="str">
        <f t="shared" si="41"/>
        <v>&lt;services nid="1"&gt;&lt;email id="0" classifier="private"&gt;heimers@chello.nl&lt;/email&gt;&lt;/services&gt;&lt;setup /&gt;&lt;mod_time&gt;1500000010&lt;/mod_time&gt;&lt;uniqueid&gt;1&lt;/uniqueid&gt;&lt;/contact&gt;</v>
      </c>
      <c r="K117" s="5">
        <f t="shared" si="42"/>
        <v>0</v>
      </c>
      <c r="L117" s="5">
        <f t="shared" si="43"/>
        <v>0</v>
      </c>
      <c r="M117" s="5" t="str">
        <f>CONCATENATE(+Contacts!E117)</f>
        <v/>
      </c>
      <c r="N117" t="str">
        <f t="shared" si="44"/>
        <v/>
      </c>
      <c r="O117" s="5">
        <f t="shared" si="45"/>
        <v>0</v>
      </c>
      <c r="P117" s="5">
        <f t="shared" si="46"/>
        <v>0</v>
      </c>
      <c r="Q117" s="5" t="str">
        <f>CONCATENATE(+Contacts!G117)</f>
        <v/>
      </c>
      <c r="R117" t="str">
        <f t="shared" si="47"/>
        <v>&lt;number id="0" prio="1" type="mobile"&gt;+31 615863015&lt;/number&gt;</v>
      </c>
      <c r="S117" s="5">
        <f t="shared" si="48"/>
        <v>1</v>
      </c>
      <c r="T117" s="5">
        <f t="shared" si="49"/>
        <v>1</v>
      </c>
      <c r="U117" s="5" t="str">
        <f>CONCATENATE(+Contacts!H117)</f>
        <v>+31 615863015</v>
      </c>
      <c r="V117" t="str">
        <f t="shared" si="50"/>
        <v/>
      </c>
      <c r="W117" s="5">
        <f t="shared" si="51"/>
        <v>1</v>
      </c>
      <c r="X117" s="5">
        <f t="shared" si="52"/>
        <v>1</v>
      </c>
      <c r="Y117" s="5" t="str">
        <f>CONCATENATE(+Contacts!F117)</f>
        <v/>
      </c>
      <c r="Z117" s="2" t="str">
        <f t="shared" si="53"/>
        <v xml:space="preserve">Eimers, Hans   </v>
      </c>
      <c r="AA117" s="2" t="str">
        <f>CONCATENATE(+Contacts!C117)</f>
        <v>Eimers</v>
      </c>
      <c r="AB117" s="2" t="str">
        <f t="shared" si="54"/>
        <v xml:space="preserve">, </v>
      </c>
      <c r="AC117" s="2" t="str">
        <f>CONCATENATE(+Contacts!A117)</f>
        <v>Hans</v>
      </c>
      <c r="AD117" s="3" t="str">
        <f>CONCATENATE(" ",+Contacts!B117)</f>
        <v xml:space="preserve"> </v>
      </c>
      <c r="AE117" s="2" t="str">
        <f t="shared" si="55"/>
        <v xml:space="preserve"> </v>
      </c>
      <c r="AF117" s="3" t="str">
        <f>CONCATENATE(+Contacts!D117)</f>
        <v/>
      </c>
      <c r="AG117" s="2" t="str">
        <f t="shared" si="56"/>
        <v xml:space="preserve"> </v>
      </c>
      <c r="AH117" t="str">
        <f>CONCATENATE(+Contacts!I117)</f>
        <v>heimers@chello.nl</v>
      </c>
      <c r="AI117">
        <v>1500000010</v>
      </c>
      <c r="AJ117" s="5">
        <f t="shared" si="57"/>
        <v>1</v>
      </c>
    </row>
    <row r="118" spans="1:36" x14ac:dyDescent="0.35">
      <c r="A118" s="7" t="str">
        <f t="shared" si="32"/>
        <v>&lt;contact&gt;&lt;category&gt;0&lt;/category&gt;&lt;person&gt;&lt;realName&gt;Eimers, Marjolein   &lt;/realName&gt;&lt;/person&gt;</v>
      </c>
      <c r="B118" s="7" t="str">
        <f t="shared" si="33"/>
        <v>&lt;telephony nid="1"&gt;&lt;number id="0" prio="1" type="mobile"&gt;+31 645739685&lt;/number&gt;&lt;/telephony&gt;</v>
      </c>
      <c r="C118" s="7" t="str">
        <f t="shared" si="34"/>
        <v>&lt;services nid="1"&gt;&lt;email id="0" classifier="private"&gt;marjoleineimers@gmail.com&lt;/email&gt;&lt;/services&gt;&lt;setup /&gt;&lt;mod_time&gt;1500000010&lt;/mod_time&gt;&lt;uniqueid&gt;1&lt;/uniqueid&gt;&lt;/contact&gt;</v>
      </c>
      <c r="D118" t="str">
        <f t="shared" si="35"/>
        <v>&lt;contact&gt;&lt;category&gt;0&lt;/category&gt;&lt;person&gt;&lt;realName&gt;Eimers, Marjolein   &lt;/realName&gt;&lt;/person&gt;</v>
      </c>
      <c r="E118" t="str">
        <f t="shared" si="36"/>
        <v>&lt;telephony nid="1"&gt;&lt;number id="0" prio="1" type="mobile"&gt;+31 645739685&lt;/number&gt;&lt;/telephony&gt;</v>
      </c>
      <c r="F118" t="str">
        <f t="shared" si="37"/>
        <v>&lt;telephony nid="1"&gt;</v>
      </c>
      <c r="G118" t="str">
        <f t="shared" si="38"/>
        <v/>
      </c>
      <c r="H118" t="str">
        <f t="shared" si="39"/>
        <v>&lt;services nid="1"&gt;&lt;email id="0" classifier="private"&gt;marjoleineimers@gmail.com&lt;/email&gt;&lt;/services&gt;&lt;setup /&gt;&lt;mod_time&gt;1500000010&lt;/mod_time&gt;&lt;uniqueid&gt;1&lt;/uniqueid&gt;&lt;/contact&gt;</v>
      </c>
      <c r="I118" t="str">
        <f t="shared" si="40"/>
        <v>&lt;services /&gt;&lt;setup /&gt;&lt;mod_time&gt;1500000010&lt;/mod_time&gt;&lt;uniqueid&gt;1&lt;/uniqueid&gt;&lt;/contact&gt;</v>
      </c>
      <c r="J118" t="str">
        <f t="shared" si="41"/>
        <v>&lt;services nid="1"&gt;&lt;email id="0" classifier="private"&gt;marjoleineimers@gmail.com&lt;/email&gt;&lt;/services&gt;&lt;setup /&gt;&lt;mod_time&gt;1500000010&lt;/mod_time&gt;&lt;uniqueid&gt;1&lt;/uniqueid&gt;&lt;/contact&gt;</v>
      </c>
      <c r="K118" s="5">
        <f t="shared" si="42"/>
        <v>0</v>
      </c>
      <c r="L118" s="5">
        <f t="shared" si="43"/>
        <v>0</v>
      </c>
      <c r="M118" s="5" t="str">
        <f>CONCATENATE(+Contacts!E118)</f>
        <v/>
      </c>
      <c r="N118" t="str">
        <f t="shared" si="44"/>
        <v/>
      </c>
      <c r="O118" s="5">
        <f t="shared" si="45"/>
        <v>0</v>
      </c>
      <c r="P118" s="5">
        <f t="shared" si="46"/>
        <v>0</v>
      </c>
      <c r="Q118" s="5" t="str">
        <f>CONCATENATE(+Contacts!G118)</f>
        <v/>
      </c>
      <c r="R118" t="str">
        <f t="shared" si="47"/>
        <v>&lt;number id="0" prio="1" type="mobile"&gt;+31 645739685&lt;/number&gt;</v>
      </c>
      <c r="S118" s="5">
        <f t="shared" si="48"/>
        <v>1</v>
      </c>
      <c r="T118" s="5">
        <f t="shared" si="49"/>
        <v>1</v>
      </c>
      <c r="U118" s="5" t="str">
        <f>CONCATENATE(+Contacts!H118)</f>
        <v>+31 645739685</v>
      </c>
      <c r="V118" t="str">
        <f t="shared" si="50"/>
        <v/>
      </c>
      <c r="W118" s="5">
        <f t="shared" si="51"/>
        <v>1</v>
      </c>
      <c r="X118" s="5">
        <f t="shared" si="52"/>
        <v>1</v>
      </c>
      <c r="Y118" s="5" t="str">
        <f>CONCATENATE(+Contacts!F118)</f>
        <v/>
      </c>
      <c r="Z118" s="2" t="str">
        <f t="shared" si="53"/>
        <v xml:space="preserve">Eimers, Marjolein   </v>
      </c>
      <c r="AA118" s="2" t="str">
        <f>CONCATENATE(+Contacts!C118)</f>
        <v>Eimers</v>
      </c>
      <c r="AB118" s="2" t="str">
        <f t="shared" si="54"/>
        <v xml:space="preserve">, </v>
      </c>
      <c r="AC118" s="2" t="str">
        <f>CONCATENATE(+Contacts!A118)</f>
        <v>Marjolein</v>
      </c>
      <c r="AD118" s="3" t="str">
        <f>CONCATENATE(" ",+Contacts!B118)</f>
        <v xml:space="preserve"> </v>
      </c>
      <c r="AE118" s="2" t="str">
        <f t="shared" si="55"/>
        <v xml:space="preserve"> </v>
      </c>
      <c r="AF118" s="3" t="str">
        <f>CONCATENATE(+Contacts!D118)</f>
        <v/>
      </c>
      <c r="AG118" s="2" t="str">
        <f t="shared" si="56"/>
        <v xml:space="preserve"> </v>
      </c>
      <c r="AH118" t="str">
        <f>CONCATENATE(+Contacts!I118)</f>
        <v>marjoleineimers@gmail.com</v>
      </c>
      <c r="AI118">
        <v>1500000010</v>
      </c>
      <c r="AJ118" s="5">
        <f t="shared" si="57"/>
        <v>1</v>
      </c>
    </row>
    <row r="119" spans="1:36" x14ac:dyDescent="0.35">
      <c r="A119" s="7" t="str">
        <f t="shared" si="32"/>
        <v>&lt;contact&gt;&lt;category&gt;0&lt;/category&gt;&lt;person&gt;&lt;realName&gt;Elst, Jaco van der  &lt;/realName&gt;&lt;/person&gt;</v>
      </c>
      <c r="B119" s="7" t="str">
        <f t="shared" si="33"/>
        <v>&lt;telephony nid="1"&gt;&lt;number id="0" prio="1" type="home"&gt;+31 105218691&lt;/number&gt;&lt;/telephony&gt;</v>
      </c>
      <c r="C119" s="7" t="str">
        <f t="shared" si="34"/>
        <v>&lt;services nid="1"&gt;&lt;email id="0" classifier="private"&gt;elst.breugem@casema.nl&lt;/email&gt;&lt;/services&gt;&lt;setup /&gt;&lt;mod_time&gt;1500000010&lt;/mod_time&gt;&lt;uniqueid&gt;1&lt;/uniqueid&gt;&lt;/contact&gt;</v>
      </c>
      <c r="D119" t="str">
        <f t="shared" si="35"/>
        <v>&lt;contact&gt;&lt;category&gt;0&lt;/category&gt;&lt;person&gt;&lt;realName&gt;Elst, Jaco van der  &lt;/realName&gt;&lt;/person&gt;</v>
      </c>
      <c r="E119" t="str">
        <f t="shared" si="36"/>
        <v>&lt;telephony nid="1"&gt;&lt;number id="0" prio="1" type="home"&gt;+31 105218691&lt;/number&gt;&lt;/telephony&gt;</v>
      </c>
      <c r="F119" t="str">
        <f t="shared" si="37"/>
        <v>&lt;telephony nid="1"&gt;</v>
      </c>
      <c r="G119" t="str">
        <f t="shared" si="38"/>
        <v/>
      </c>
      <c r="H119" t="str">
        <f t="shared" si="39"/>
        <v>&lt;services nid="1"&gt;&lt;email id="0" classifier="private"&gt;elst.breugem@casema.nl&lt;/email&gt;&lt;/services&gt;&lt;setup /&gt;&lt;mod_time&gt;1500000010&lt;/mod_time&gt;&lt;uniqueid&gt;1&lt;/uniqueid&gt;&lt;/contact&gt;</v>
      </c>
      <c r="I119" t="str">
        <f t="shared" si="40"/>
        <v>&lt;services /&gt;&lt;setup /&gt;&lt;mod_time&gt;1500000010&lt;/mod_time&gt;&lt;uniqueid&gt;1&lt;/uniqueid&gt;&lt;/contact&gt;</v>
      </c>
      <c r="J119" t="str">
        <f t="shared" si="41"/>
        <v>&lt;services nid="1"&gt;&lt;email id="0" classifier="private"&gt;elst.breugem@casema.nl&lt;/email&gt;&lt;/services&gt;&lt;setup /&gt;&lt;mod_time&gt;1500000010&lt;/mod_time&gt;&lt;uniqueid&gt;1&lt;/uniqueid&gt;&lt;/contact&gt;</v>
      </c>
      <c r="K119" s="5">
        <f t="shared" si="42"/>
        <v>0</v>
      </c>
      <c r="L119" s="5">
        <f t="shared" si="43"/>
        <v>0</v>
      </c>
      <c r="M119" s="5" t="str">
        <f>CONCATENATE(+Contacts!E119)</f>
        <v/>
      </c>
      <c r="N119" t="str">
        <f t="shared" si="44"/>
        <v>&lt;number id="0" prio="1" type="home"&gt;+31 105218691&lt;/number&gt;</v>
      </c>
      <c r="O119" s="5">
        <f t="shared" si="45"/>
        <v>1</v>
      </c>
      <c r="P119" s="5">
        <f t="shared" si="46"/>
        <v>1</v>
      </c>
      <c r="Q119" s="5" t="str">
        <f>CONCATENATE(+Contacts!G119)</f>
        <v>+31 105218691</v>
      </c>
      <c r="R119" t="str">
        <f t="shared" si="47"/>
        <v/>
      </c>
      <c r="S119" s="5">
        <f t="shared" si="48"/>
        <v>1</v>
      </c>
      <c r="T119" s="5">
        <f t="shared" si="49"/>
        <v>1</v>
      </c>
      <c r="U119" s="5" t="str">
        <f>CONCATENATE(+Contacts!H119)</f>
        <v/>
      </c>
      <c r="V119" t="str">
        <f t="shared" si="50"/>
        <v/>
      </c>
      <c r="W119" s="5">
        <f t="shared" si="51"/>
        <v>1</v>
      </c>
      <c r="X119" s="5">
        <f t="shared" si="52"/>
        <v>1</v>
      </c>
      <c r="Y119" s="5" t="str">
        <f>CONCATENATE(+Contacts!F119)</f>
        <v/>
      </c>
      <c r="Z119" s="2" t="str">
        <f t="shared" si="53"/>
        <v xml:space="preserve">Elst, Jaco van der  </v>
      </c>
      <c r="AA119" s="2" t="str">
        <f>CONCATENATE(+Contacts!C119)</f>
        <v>Elst</v>
      </c>
      <c r="AB119" s="2" t="str">
        <f t="shared" si="54"/>
        <v xml:space="preserve">, </v>
      </c>
      <c r="AC119" s="2" t="str">
        <f>CONCATENATE(+Contacts!A119)</f>
        <v>Jaco</v>
      </c>
      <c r="AD119" s="3" t="str">
        <f>CONCATENATE(" ",+Contacts!B119)</f>
        <v xml:space="preserve"> van der</v>
      </c>
      <c r="AE119" s="2" t="str">
        <f t="shared" si="55"/>
        <v xml:space="preserve"> </v>
      </c>
      <c r="AF119" s="3" t="str">
        <f>CONCATENATE(+Contacts!D119)</f>
        <v/>
      </c>
      <c r="AG119" s="2" t="str">
        <f t="shared" si="56"/>
        <v xml:space="preserve"> </v>
      </c>
      <c r="AH119" t="str">
        <f>CONCATENATE(+Contacts!I119)</f>
        <v>elst.breugem@casema.nl</v>
      </c>
      <c r="AI119">
        <v>1500000010</v>
      </c>
      <c r="AJ119" s="5">
        <f t="shared" si="57"/>
        <v>1</v>
      </c>
    </row>
    <row r="120" spans="1:36" x14ac:dyDescent="0.35">
      <c r="A120" s="7" t="str">
        <f t="shared" si="32"/>
        <v>&lt;contact&gt;&lt;category&gt;0&lt;/category&gt;&lt;person&gt;&lt;realName&gt;Elzerman, Agnes   &lt;/realName&gt;&lt;/person&gt;</v>
      </c>
      <c r="B120" s="7" t="str">
        <f t="shared" si="33"/>
        <v>&lt;telephony nid="2"&gt;&lt;number id="0" prio="1" type="home"&gt;+31 102231871&lt;/number&gt;&lt;number id="1" prio="0" type="mobile"&gt;+31 624633435&lt;/number&gt;&lt;/telephony&gt;</v>
      </c>
      <c r="C120" s="7" t="str">
        <f t="shared" si="34"/>
        <v>&lt;services nid="1"&gt;&lt;email id="0" classifier="private"&gt;agelzerman@hotmail.com&lt;/email&gt;&lt;/services&gt;&lt;setup /&gt;&lt;mod_time&gt;1500000010&lt;/mod_time&gt;&lt;uniqueid&gt;1&lt;/uniqueid&gt;&lt;/contact&gt;</v>
      </c>
      <c r="D120" t="str">
        <f t="shared" si="35"/>
        <v>&lt;contact&gt;&lt;category&gt;0&lt;/category&gt;&lt;person&gt;&lt;realName&gt;Elzerman, Agnes   &lt;/realName&gt;&lt;/person&gt;</v>
      </c>
      <c r="E120" t="str">
        <f t="shared" si="36"/>
        <v>&lt;telephony nid="2"&gt;&lt;number id="0" prio="1" type="home"&gt;+31 102231871&lt;/number&gt;&lt;number id="1" prio="0" type="mobile"&gt;+31 624633435&lt;/number&gt;&lt;/telephony&gt;</v>
      </c>
      <c r="F120" t="str">
        <f t="shared" si="37"/>
        <v>&lt;telephony nid="2"&gt;</v>
      </c>
      <c r="G120" t="str">
        <f t="shared" si="38"/>
        <v/>
      </c>
      <c r="H120" t="str">
        <f t="shared" si="39"/>
        <v>&lt;services nid="1"&gt;&lt;email id="0" classifier="private"&gt;agelzerman@hotmail.com&lt;/email&gt;&lt;/services&gt;&lt;setup /&gt;&lt;mod_time&gt;1500000010&lt;/mod_time&gt;&lt;uniqueid&gt;1&lt;/uniqueid&gt;&lt;/contact&gt;</v>
      </c>
      <c r="I120" t="str">
        <f t="shared" si="40"/>
        <v>&lt;services /&gt;&lt;setup /&gt;&lt;mod_time&gt;1500000010&lt;/mod_time&gt;&lt;uniqueid&gt;1&lt;/uniqueid&gt;&lt;/contact&gt;</v>
      </c>
      <c r="J120" t="str">
        <f t="shared" si="41"/>
        <v>&lt;services nid="1"&gt;&lt;email id="0" classifier="private"&gt;agelzerman@hotmail.com&lt;/email&gt;&lt;/services&gt;&lt;setup /&gt;&lt;mod_time&gt;1500000010&lt;/mod_time&gt;&lt;uniqueid&gt;1&lt;/uniqueid&gt;&lt;/contact&gt;</v>
      </c>
      <c r="K120" s="5">
        <f t="shared" si="42"/>
        <v>0</v>
      </c>
      <c r="L120" s="5">
        <f t="shared" si="43"/>
        <v>0</v>
      </c>
      <c r="M120" s="5" t="str">
        <f>CONCATENATE(+Contacts!E120)</f>
        <v/>
      </c>
      <c r="N120" t="str">
        <f t="shared" si="44"/>
        <v>&lt;number id="0" prio="1" type="home"&gt;+31 102231871&lt;/number&gt;</v>
      </c>
      <c r="O120" s="5">
        <f t="shared" si="45"/>
        <v>1</v>
      </c>
      <c r="P120" s="5">
        <f t="shared" si="46"/>
        <v>1</v>
      </c>
      <c r="Q120" s="5" t="str">
        <f>CONCATENATE(+Contacts!G120)</f>
        <v>+31 102231871</v>
      </c>
      <c r="R120" t="str">
        <f t="shared" si="47"/>
        <v>&lt;number id="1" prio="0" type="mobile"&gt;+31 624633435&lt;/number&gt;</v>
      </c>
      <c r="S120" s="5">
        <f t="shared" si="48"/>
        <v>2</v>
      </c>
      <c r="T120" s="5">
        <f t="shared" si="49"/>
        <v>0</v>
      </c>
      <c r="U120" s="5" t="str">
        <f>CONCATENATE(+Contacts!H120)</f>
        <v>+31 624633435</v>
      </c>
      <c r="V120" t="str">
        <f t="shared" si="50"/>
        <v/>
      </c>
      <c r="W120" s="5">
        <f t="shared" si="51"/>
        <v>2</v>
      </c>
      <c r="X120" s="5">
        <f t="shared" si="52"/>
        <v>0</v>
      </c>
      <c r="Y120" s="5" t="str">
        <f>CONCATENATE(+Contacts!F120)</f>
        <v/>
      </c>
      <c r="Z120" s="2" t="str">
        <f t="shared" si="53"/>
        <v xml:space="preserve">Elzerman, Agnes   </v>
      </c>
      <c r="AA120" s="2" t="str">
        <f>CONCATENATE(+Contacts!C120)</f>
        <v>Elzerman</v>
      </c>
      <c r="AB120" s="2" t="str">
        <f t="shared" si="54"/>
        <v xml:space="preserve">, </v>
      </c>
      <c r="AC120" s="2" t="str">
        <f>CONCATENATE(+Contacts!A120)</f>
        <v>Agnes</v>
      </c>
      <c r="AD120" s="3" t="str">
        <f>CONCATENATE(" ",+Contacts!B120)</f>
        <v xml:space="preserve"> </v>
      </c>
      <c r="AE120" s="2" t="str">
        <f t="shared" si="55"/>
        <v xml:space="preserve"> </v>
      </c>
      <c r="AF120" s="3" t="str">
        <f>CONCATENATE(+Contacts!D120)</f>
        <v/>
      </c>
      <c r="AG120" s="2" t="str">
        <f t="shared" si="56"/>
        <v xml:space="preserve"> </v>
      </c>
      <c r="AH120" t="str">
        <f>CONCATENATE(+Contacts!I120)</f>
        <v>agelzerman@hotmail.com</v>
      </c>
      <c r="AI120">
        <v>1500000010</v>
      </c>
      <c r="AJ120" s="5">
        <f t="shared" si="57"/>
        <v>1</v>
      </c>
    </row>
    <row r="121" spans="1:36" x14ac:dyDescent="0.35">
      <c r="A121" s="7" t="str">
        <f t="shared" si="32"/>
        <v>&lt;contact&gt;&lt;category&gt;0&lt;/category&gt;&lt;person&gt;&lt;realName&gt;Emmerich, Kees   &lt;/realName&gt;&lt;/person&gt;</v>
      </c>
      <c r="B121" s="7" t="str">
        <f t="shared" si="33"/>
        <v>&lt;telephony nid="1"&gt;&lt;number id="0" prio="1" type="home"&gt;+31 104674795&lt;/number&gt;&lt;/telephony&gt;</v>
      </c>
      <c r="C121" s="7" t="str">
        <f t="shared" si="34"/>
        <v>&lt;services /&gt;&lt;setup /&gt;&lt;mod_time&gt;1500000010&lt;/mod_time&gt;&lt;uniqueid&gt;1&lt;/uniqueid&gt;&lt;/contact&gt;</v>
      </c>
      <c r="D121" t="str">
        <f t="shared" si="35"/>
        <v>&lt;contact&gt;&lt;category&gt;0&lt;/category&gt;&lt;person&gt;&lt;realName&gt;Emmerich, Kees   &lt;/realName&gt;&lt;/person&gt;</v>
      </c>
      <c r="E121" t="str">
        <f t="shared" si="36"/>
        <v>&lt;telephony nid="1"&gt;&lt;number id="0" prio="1" type="home"&gt;+31 104674795&lt;/number&gt;&lt;/telephony&gt;</v>
      </c>
      <c r="F121" t="str">
        <f t="shared" si="37"/>
        <v>&lt;telephony nid="1"&gt;</v>
      </c>
      <c r="G121" t="str">
        <f t="shared" si="38"/>
        <v/>
      </c>
      <c r="H121" t="str">
        <f t="shared" si="39"/>
        <v>&lt;services nid="1"&gt;&lt;email id="0" classifier="private"&gt;&lt;/email&gt;&lt;/services&gt;&lt;setup /&gt;&lt;mod_time&gt;1500000010&lt;/mod_time&gt;&lt;uniqueid&gt;1&lt;/uniqueid&gt;&lt;/contact&gt;</v>
      </c>
      <c r="I121" t="str">
        <f t="shared" si="40"/>
        <v>&lt;services /&gt;&lt;setup /&gt;&lt;mod_time&gt;1500000010&lt;/mod_time&gt;&lt;uniqueid&gt;1&lt;/uniqueid&gt;&lt;/contact&gt;</v>
      </c>
      <c r="J121" t="str">
        <f t="shared" si="41"/>
        <v>&lt;services /&gt;&lt;setup /&gt;&lt;mod_time&gt;1500000010&lt;/mod_time&gt;&lt;uniqueid&gt;1&lt;/uniqueid&gt;&lt;/contact&gt;</v>
      </c>
      <c r="K121" s="5">
        <f t="shared" si="42"/>
        <v>0</v>
      </c>
      <c r="L121" s="5">
        <f t="shared" si="43"/>
        <v>0</v>
      </c>
      <c r="M121" s="5" t="str">
        <f>CONCATENATE(+Contacts!E121)</f>
        <v/>
      </c>
      <c r="N121" t="str">
        <f t="shared" si="44"/>
        <v>&lt;number id="0" prio="1" type="home"&gt;+31 104674795&lt;/number&gt;</v>
      </c>
      <c r="O121" s="5">
        <f t="shared" si="45"/>
        <v>1</v>
      </c>
      <c r="P121" s="5">
        <f t="shared" si="46"/>
        <v>1</v>
      </c>
      <c r="Q121" s="5" t="str">
        <f>CONCATENATE(+Contacts!G121)</f>
        <v>+31 104674795</v>
      </c>
      <c r="R121" t="str">
        <f t="shared" si="47"/>
        <v/>
      </c>
      <c r="S121" s="5">
        <f t="shared" si="48"/>
        <v>1</v>
      </c>
      <c r="T121" s="5">
        <f t="shared" si="49"/>
        <v>1</v>
      </c>
      <c r="U121" s="5" t="str">
        <f>CONCATENATE(+Contacts!H121)</f>
        <v/>
      </c>
      <c r="V121" t="str">
        <f t="shared" si="50"/>
        <v/>
      </c>
      <c r="W121" s="5">
        <f t="shared" si="51"/>
        <v>1</v>
      </c>
      <c r="X121" s="5">
        <f t="shared" si="52"/>
        <v>1</v>
      </c>
      <c r="Y121" s="5" t="str">
        <f>CONCATENATE(+Contacts!F121)</f>
        <v/>
      </c>
      <c r="Z121" s="2" t="str">
        <f t="shared" si="53"/>
        <v xml:space="preserve">Emmerich, Kees   </v>
      </c>
      <c r="AA121" s="2" t="str">
        <f>CONCATENATE(+Contacts!C121)</f>
        <v>Emmerich</v>
      </c>
      <c r="AB121" s="2" t="str">
        <f t="shared" si="54"/>
        <v xml:space="preserve">, </v>
      </c>
      <c r="AC121" s="2" t="str">
        <f>CONCATENATE(+Contacts!A121)</f>
        <v>Kees</v>
      </c>
      <c r="AD121" s="3" t="str">
        <f>CONCATENATE(" ",+Contacts!B121)</f>
        <v xml:space="preserve"> </v>
      </c>
      <c r="AE121" s="2" t="str">
        <f t="shared" si="55"/>
        <v xml:space="preserve"> </v>
      </c>
      <c r="AF121" s="3" t="str">
        <f>CONCATENATE(+Contacts!D121)</f>
        <v/>
      </c>
      <c r="AG121" s="2" t="str">
        <f t="shared" si="56"/>
        <v xml:space="preserve"> </v>
      </c>
      <c r="AH121" t="str">
        <f>CONCATENATE(+Contacts!I121)</f>
        <v/>
      </c>
      <c r="AI121">
        <v>1500000010</v>
      </c>
      <c r="AJ121" s="5">
        <f t="shared" si="57"/>
        <v>1</v>
      </c>
    </row>
    <row r="122" spans="1:36" x14ac:dyDescent="0.35">
      <c r="A122" s="7" t="str">
        <f t="shared" si="32"/>
        <v>&lt;contact&gt;&lt;category&gt;0&lt;/category&gt;&lt;person&gt;&lt;realName&gt;Erkan, Aylin   &lt;/realName&gt;&lt;/person&gt;</v>
      </c>
      <c r="B122" s="7" t="str">
        <f t="shared" si="33"/>
        <v>&lt;telephony nid="1"&gt;&lt;number id="0" prio="1" type="home"&gt;+31 6 39 08 95 10&lt;/number&gt;&lt;/telephony&gt;</v>
      </c>
      <c r="C122" s="7" t="str">
        <f t="shared" si="34"/>
        <v>&lt;services /&gt;&lt;setup /&gt;&lt;mod_time&gt;1500000010&lt;/mod_time&gt;&lt;uniqueid&gt;1&lt;/uniqueid&gt;&lt;/contact&gt;</v>
      </c>
      <c r="D122" t="str">
        <f t="shared" si="35"/>
        <v>&lt;contact&gt;&lt;category&gt;0&lt;/category&gt;&lt;person&gt;&lt;realName&gt;Erkan, Aylin   &lt;/realName&gt;&lt;/person&gt;</v>
      </c>
      <c r="E122" t="str">
        <f t="shared" si="36"/>
        <v>&lt;telephony nid="1"&gt;&lt;number id="0" prio="1" type="home"&gt;+31 6 39 08 95 10&lt;/number&gt;&lt;/telephony&gt;</v>
      </c>
      <c r="F122" t="str">
        <f t="shared" si="37"/>
        <v>&lt;telephony nid="1"&gt;</v>
      </c>
      <c r="G122" t="str">
        <f t="shared" si="38"/>
        <v/>
      </c>
      <c r="H122" t="str">
        <f t="shared" si="39"/>
        <v>&lt;services nid="1"&gt;&lt;email id="0" classifier="private"&gt;&lt;/email&gt;&lt;/services&gt;&lt;setup /&gt;&lt;mod_time&gt;1500000010&lt;/mod_time&gt;&lt;uniqueid&gt;1&lt;/uniqueid&gt;&lt;/contact&gt;</v>
      </c>
      <c r="I122" t="str">
        <f t="shared" si="40"/>
        <v>&lt;services /&gt;&lt;setup /&gt;&lt;mod_time&gt;1500000010&lt;/mod_time&gt;&lt;uniqueid&gt;1&lt;/uniqueid&gt;&lt;/contact&gt;</v>
      </c>
      <c r="J122" t="str">
        <f t="shared" si="41"/>
        <v>&lt;services /&gt;&lt;setup /&gt;&lt;mod_time&gt;1500000010&lt;/mod_time&gt;&lt;uniqueid&gt;1&lt;/uniqueid&gt;&lt;/contact&gt;</v>
      </c>
      <c r="K122" s="5">
        <f t="shared" si="42"/>
        <v>0</v>
      </c>
      <c r="L122" s="5">
        <f t="shared" si="43"/>
        <v>0</v>
      </c>
      <c r="M122" s="5" t="str">
        <f>CONCATENATE(+Contacts!E122)</f>
        <v/>
      </c>
      <c r="N122" t="str">
        <f t="shared" si="44"/>
        <v>&lt;number id="0" prio="1" type="home"&gt;+31 6 39 08 95 10&lt;/number&gt;</v>
      </c>
      <c r="O122" s="5">
        <f t="shared" si="45"/>
        <v>1</v>
      </c>
      <c r="P122" s="5">
        <f t="shared" si="46"/>
        <v>1</v>
      </c>
      <c r="Q122" s="5" t="str">
        <f>CONCATENATE(+Contacts!G122)</f>
        <v>+31 6 39 08 95 10</v>
      </c>
      <c r="R122" t="str">
        <f t="shared" si="47"/>
        <v/>
      </c>
      <c r="S122" s="5">
        <f t="shared" si="48"/>
        <v>1</v>
      </c>
      <c r="T122" s="5">
        <f t="shared" si="49"/>
        <v>1</v>
      </c>
      <c r="U122" s="5" t="str">
        <f>CONCATENATE(+Contacts!H122)</f>
        <v/>
      </c>
      <c r="V122" t="str">
        <f t="shared" si="50"/>
        <v/>
      </c>
      <c r="W122" s="5">
        <f t="shared" si="51"/>
        <v>1</v>
      </c>
      <c r="X122" s="5">
        <f t="shared" si="52"/>
        <v>1</v>
      </c>
      <c r="Y122" s="5" t="str">
        <f>CONCATENATE(+Contacts!F122)</f>
        <v/>
      </c>
      <c r="Z122" s="2" t="str">
        <f t="shared" si="53"/>
        <v xml:space="preserve">Erkan, Aylin   </v>
      </c>
      <c r="AA122" s="2" t="str">
        <f>CONCATENATE(+Contacts!C122)</f>
        <v>Erkan</v>
      </c>
      <c r="AB122" s="2" t="str">
        <f t="shared" si="54"/>
        <v xml:space="preserve">, </v>
      </c>
      <c r="AC122" s="2" t="str">
        <f>CONCATENATE(+Contacts!A122)</f>
        <v>Aylin</v>
      </c>
      <c r="AD122" s="3" t="str">
        <f>CONCATENATE(" ",+Contacts!B122)</f>
        <v xml:space="preserve"> </v>
      </c>
      <c r="AE122" s="2" t="str">
        <f t="shared" si="55"/>
        <v xml:space="preserve"> </v>
      </c>
      <c r="AF122" s="3" t="str">
        <f>CONCATENATE(+Contacts!D122)</f>
        <v/>
      </c>
      <c r="AG122" s="2" t="str">
        <f t="shared" si="56"/>
        <v xml:space="preserve"> </v>
      </c>
      <c r="AH122" t="str">
        <f>CONCATENATE(+Contacts!I122)</f>
        <v/>
      </c>
      <c r="AI122">
        <v>1500000010</v>
      </c>
      <c r="AJ122" s="5">
        <f t="shared" si="57"/>
        <v>1</v>
      </c>
    </row>
    <row r="123" spans="1:36" x14ac:dyDescent="0.35">
      <c r="A123" s="7" t="str">
        <f t="shared" si="32"/>
        <v>&lt;contact&gt;&lt;category&gt;0&lt;/category&gt;&lt;person&gt;&lt;realName&gt;Erkan, Kadir    &lt;/realName&gt;&lt;/person&gt;</v>
      </c>
      <c r="B123" s="7" t="str">
        <f t="shared" si="33"/>
        <v>&lt;telephony nid="1"&gt;&lt;number id="0" prio="1" type="home"&gt;+31 6 14 78 57 45&lt;/number&gt;&lt;/telephony&gt;</v>
      </c>
      <c r="C123" s="7" t="str">
        <f t="shared" si="34"/>
        <v>&lt;services /&gt;&lt;setup /&gt;&lt;mod_time&gt;1500000010&lt;/mod_time&gt;&lt;uniqueid&gt;1&lt;/uniqueid&gt;&lt;/contact&gt;</v>
      </c>
      <c r="D123" t="str">
        <f t="shared" si="35"/>
        <v>&lt;contact&gt;&lt;category&gt;0&lt;/category&gt;&lt;person&gt;&lt;realName&gt;Erkan, Kadir    &lt;/realName&gt;&lt;/person&gt;</v>
      </c>
      <c r="E123" t="str">
        <f t="shared" si="36"/>
        <v>&lt;telephony nid="1"&gt;&lt;number id="0" prio="1" type="home"&gt;+31 6 14 78 57 45&lt;/number&gt;&lt;/telephony&gt;</v>
      </c>
      <c r="F123" t="str">
        <f t="shared" si="37"/>
        <v>&lt;telephony nid="1"&gt;</v>
      </c>
      <c r="G123" t="str">
        <f t="shared" si="38"/>
        <v/>
      </c>
      <c r="H123" t="str">
        <f t="shared" si="39"/>
        <v>&lt;services nid="1"&gt;&lt;email id="0" classifier="private"&gt;&lt;/email&gt;&lt;/services&gt;&lt;setup /&gt;&lt;mod_time&gt;1500000010&lt;/mod_time&gt;&lt;uniqueid&gt;1&lt;/uniqueid&gt;&lt;/contact&gt;</v>
      </c>
      <c r="I123" t="str">
        <f t="shared" si="40"/>
        <v>&lt;services /&gt;&lt;setup /&gt;&lt;mod_time&gt;1500000010&lt;/mod_time&gt;&lt;uniqueid&gt;1&lt;/uniqueid&gt;&lt;/contact&gt;</v>
      </c>
      <c r="J123" t="str">
        <f t="shared" si="41"/>
        <v>&lt;services /&gt;&lt;setup /&gt;&lt;mod_time&gt;1500000010&lt;/mod_time&gt;&lt;uniqueid&gt;1&lt;/uniqueid&gt;&lt;/contact&gt;</v>
      </c>
      <c r="K123" s="5">
        <f t="shared" si="42"/>
        <v>0</v>
      </c>
      <c r="L123" s="5">
        <f t="shared" si="43"/>
        <v>0</v>
      </c>
      <c r="M123" s="5" t="str">
        <f>CONCATENATE(+Contacts!E123)</f>
        <v/>
      </c>
      <c r="N123" t="str">
        <f t="shared" si="44"/>
        <v>&lt;number id="0" prio="1" type="home"&gt;+31 6 14 78 57 45&lt;/number&gt;</v>
      </c>
      <c r="O123" s="5">
        <f t="shared" si="45"/>
        <v>1</v>
      </c>
      <c r="P123" s="5">
        <f t="shared" si="46"/>
        <v>1</v>
      </c>
      <c r="Q123" s="5" t="str">
        <f>CONCATENATE(+Contacts!G123)</f>
        <v>+31 6 14 78 57 45</v>
      </c>
      <c r="R123" t="str">
        <f t="shared" si="47"/>
        <v/>
      </c>
      <c r="S123" s="5">
        <f t="shared" si="48"/>
        <v>1</v>
      </c>
      <c r="T123" s="5">
        <f t="shared" si="49"/>
        <v>1</v>
      </c>
      <c r="U123" s="5" t="str">
        <f>CONCATENATE(+Contacts!H123)</f>
        <v/>
      </c>
      <c r="V123" t="str">
        <f t="shared" si="50"/>
        <v/>
      </c>
      <c r="W123" s="5">
        <f t="shared" si="51"/>
        <v>1</v>
      </c>
      <c r="X123" s="5">
        <f t="shared" si="52"/>
        <v>1</v>
      </c>
      <c r="Y123" s="5" t="str">
        <f>CONCATENATE(+Contacts!F123)</f>
        <v/>
      </c>
      <c r="Z123" s="2" t="str">
        <f t="shared" si="53"/>
        <v xml:space="preserve">Erkan, Kadir    </v>
      </c>
      <c r="AA123" s="2" t="str">
        <f>CONCATENATE(+Contacts!C123)</f>
        <v>Erkan</v>
      </c>
      <c r="AB123" s="2" t="str">
        <f t="shared" si="54"/>
        <v xml:space="preserve">, </v>
      </c>
      <c r="AC123" s="2" t="str">
        <f>CONCATENATE(+Contacts!A123)</f>
        <v xml:space="preserve">Kadir </v>
      </c>
      <c r="AD123" s="3" t="str">
        <f>CONCATENATE(" ",+Contacts!B123)</f>
        <v xml:space="preserve"> </v>
      </c>
      <c r="AE123" s="2" t="str">
        <f t="shared" si="55"/>
        <v xml:space="preserve"> </v>
      </c>
      <c r="AF123" s="3" t="str">
        <f>CONCATENATE(+Contacts!D123)</f>
        <v/>
      </c>
      <c r="AG123" s="2" t="str">
        <f t="shared" si="56"/>
        <v xml:space="preserve"> </v>
      </c>
      <c r="AH123" t="str">
        <f>CONCATENATE(+Contacts!I123)</f>
        <v/>
      </c>
      <c r="AI123">
        <v>1500000010</v>
      </c>
      <c r="AJ123" s="5">
        <f t="shared" si="57"/>
        <v>1</v>
      </c>
    </row>
    <row r="124" spans="1:36" x14ac:dyDescent="0.35">
      <c r="A124" s="7" t="str">
        <f t="shared" si="32"/>
        <v>&lt;contact&gt;&lt;category&gt;0&lt;/category&gt;&lt;person&gt;&lt;realName&gt;Es, Bas van  &lt;/realName&gt;&lt;/person&gt;</v>
      </c>
      <c r="B124" s="7" t="str">
        <f t="shared" si="33"/>
        <v>&lt;telephony nid="1"&gt;&lt;number id="0" prio="1" type="home"&gt;+31 104667901&lt;/number&gt;&lt;/telephony&gt;</v>
      </c>
      <c r="C124" s="7" t="str">
        <f t="shared" si="34"/>
        <v>&lt;services /&gt;&lt;setup /&gt;&lt;mod_time&gt;1500000010&lt;/mod_time&gt;&lt;uniqueid&gt;1&lt;/uniqueid&gt;&lt;/contact&gt;</v>
      </c>
      <c r="D124" t="str">
        <f t="shared" si="35"/>
        <v>&lt;contact&gt;&lt;category&gt;0&lt;/category&gt;&lt;person&gt;&lt;realName&gt;Es, Bas van  &lt;/realName&gt;&lt;/person&gt;</v>
      </c>
      <c r="E124" t="str">
        <f t="shared" si="36"/>
        <v>&lt;telephony nid="1"&gt;&lt;number id="0" prio="1" type="home"&gt;+31 104667901&lt;/number&gt;&lt;/telephony&gt;</v>
      </c>
      <c r="F124" t="str">
        <f t="shared" si="37"/>
        <v>&lt;telephony nid="1"&gt;</v>
      </c>
      <c r="G124" t="str">
        <f t="shared" si="38"/>
        <v/>
      </c>
      <c r="H124" t="str">
        <f t="shared" si="39"/>
        <v>&lt;services nid="1"&gt;&lt;email id="0" classifier="private"&gt;&lt;/email&gt;&lt;/services&gt;&lt;setup /&gt;&lt;mod_time&gt;1500000010&lt;/mod_time&gt;&lt;uniqueid&gt;1&lt;/uniqueid&gt;&lt;/contact&gt;</v>
      </c>
      <c r="I124" t="str">
        <f t="shared" si="40"/>
        <v>&lt;services /&gt;&lt;setup /&gt;&lt;mod_time&gt;1500000010&lt;/mod_time&gt;&lt;uniqueid&gt;1&lt;/uniqueid&gt;&lt;/contact&gt;</v>
      </c>
      <c r="J124" t="str">
        <f t="shared" si="41"/>
        <v>&lt;services /&gt;&lt;setup /&gt;&lt;mod_time&gt;1500000010&lt;/mod_time&gt;&lt;uniqueid&gt;1&lt;/uniqueid&gt;&lt;/contact&gt;</v>
      </c>
      <c r="K124" s="5">
        <f t="shared" si="42"/>
        <v>0</v>
      </c>
      <c r="L124" s="5">
        <f t="shared" si="43"/>
        <v>0</v>
      </c>
      <c r="M124" s="5" t="str">
        <f>CONCATENATE(+Contacts!E124)</f>
        <v/>
      </c>
      <c r="N124" t="str">
        <f t="shared" si="44"/>
        <v>&lt;number id="0" prio="1" type="home"&gt;+31 104667901&lt;/number&gt;</v>
      </c>
      <c r="O124" s="5">
        <f t="shared" si="45"/>
        <v>1</v>
      </c>
      <c r="P124" s="5">
        <f t="shared" si="46"/>
        <v>1</v>
      </c>
      <c r="Q124" s="5" t="str">
        <f>CONCATENATE(+Contacts!G124)</f>
        <v>+31 104667901</v>
      </c>
      <c r="R124" t="str">
        <f t="shared" si="47"/>
        <v/>
      </c>
      <c r="S124" s="5">
        <f t="shared" si="48"/>
        <v>1</v>
      </c>
      <c r="T124" s="5">
        <f t="shared" si="49"/>
        <v>1</v>
      </c>
      <c r="U124" s="5" t="str">
        <f>CONCATENATE(+Contacts!H124)</f>
        <v/>
      </c>
      <c r="V124" t="str">
        <f t="shared" si="50"/>
        <v/>
      </c>
      <c r="W124" s="5">
        <f t="shared" si="51"/>
        <v>1</v>
      </c>
      <c r="X124" s="5">
        <f t="shared" si="52"/>
        <v>1</v>
      </c>
      <c r="Y124" s="5" t="str">
        <f>CONCATENATE(+Contacts!F124)</f>
        <v/>
      </c>
      <c r="Z124" s="2" t="str">
        <f t="shared" si="53"/>
        <v xml:space="preserve">Es, Bas van  </v>
      </c>
      <c r="AA124" s="2" t="str">
        <f>CONCATENATE(+Contacts!C124)</f>
        <v>Es</v>
      </c>
      <c r="AB124" s="2" t="str">
        <f t="shared" si="54"/>
        <v xml:space="preserve">, </v>
      </c>
      <c r="AC124" s="2" t="str">
        <f>CONCATENATE(+Contacts!A124)</f>
        <v>Bas</v>
      </c>
      <c r="AD124" s="3" t="str">
        <f>CONCATENATE(" ",+Contacts!B124)</f>
        <v xml:space="preserve"> van</v>
      </c>
      <c r="AE124" s="2" t="str">
        <f t="shared" si="55"/>
        <v xml:space="preserve"> </v>
      </c>
      <c r="AF124" s="3" t="str">
        <f>CONCATENATE(+Contacts!D124)</f>
        <v/>
      </c>
      <c r="AG124" s="2" t="str">
        <f t="shared" si="56"/>
        <v xml:space="preserve"> </v>
      </c>
      <c r="AH124" t="str">
        <f>CONCATENATE(+Contacts!I124)</f>
        <v/>
      </c>
      <c r="AI124">
        <v>1500000010</v>
      </c>
      <c r="AJ124" s="5">
        <f t="shared" si="57"/>
        <v>1</v>
      </c>
    </row>
    <row r="125" spans="1:36" x14ac:dyDescent="0.35">
      <c r="A125" s="7" t="str">
        <f t="shared" si="32"/>
        <v>&lt;contact&gt;&lt;category&gt;0&lt;/category&gt;&lt;person&gt;&lt;realName&gt;Es, Cobie van  &lt;/realName&gt;&lt;/person&gt;</v>
      </c>
      <c r="B125" s="7" t="str">
        <f t="shared" si="33"/>
        <v>&lt;telephony nid="1"&gt;&lt;number id="0" prio="1" type="home"&gt;+31 104667901&lt;/number&gt;&lt;/telephony&gt;</v>
      </c>
      <c r="C125" s="7" t="str">
        <f t="shared" si="34"/>
        <v>&lt;services /&gt;&lt;setup /&gt;&lt;mod_time&gt;1500000010&lt;/mod_time&gt;&lt;uniqueid&gt;1&lt;/uniqueid&gt;&lt;/contact&gt;</v>
      </c>
      <c r="D125" t="str">
        <f t="shared" si="35"/>
        <v>&lt;contact&gt;&lt;category&gt;0&lt;/category&gt;&lt;person&gt;&lt;realName&gt;Es, Cobie van  &lt;/realName&gt;&lt;/person&gt;</v>
      </c>
      <c r="E125" t="str">
        <f t="shared" si="36"/>
        <v>&lt;telephony nid="1"&gt;&lt;number id="0" prio="1" type="home"&gt;+31 104667901&lt;/number&gt;&lt;/telephony&gt;</v>
      </c>
      <c r="F125" t="str">
        <f t="shared" si="37"/>
        <v>&lt;telephony nid="1"&gt;</v>
      </c>
      <c r="G125" t="str">
        <f t="shared" si="38"/>
        <v/>
      </c>
      <c r="H125" t="str">
        <f t="shared" si="39"/>
        <v>&lt;services nid="1"&gt;&lt;email id="0" classifier="private"&gt;&lt;/email&gt;&lt;/services&gt;&lt;setup /&gt;&lt;mod_time&gt;1500000010&lt;/mod_time&gt;&lt;uniqueid&gt;1&lt;/uniqueid&gt;&lt;/contact&gt;</v>
      </c>
      <c r="I125" t="str">
        <f t="shared" si="40"/>
        <v>&lt;services /&gt;&lt;setup /&gt;&lt;mod_time&gt;1500000010&lt;/mod_time&gt;&lt;uniqueid&gt;1&lt;/uniqueid&gt;&lt;/contact&gt;</v>
      </c>
      <c r="J125" t="str">
        <f t="shared" si="41"/>
        <v>&lt;services /&gt;&lt;setup /&gt;&lt;mod_time&gt;1500000010&lt;/mod_time&gt;&lt;uniqueid&gt;1&lt;/uniqueid&gt;&lt;/contact&gt;</v>
      </c>
      <c r="K125" s="5">
        <f t="shared" si="42"/>
        <v>0</v>
      </c>
      <c r="L125" s="5">
        <f t="shared" si="43"/>
        <v>0</v>
      </c>
      <c r="M125" s="5" t="str">
        <f>CONCATENATE(+Contacts!E125)</f>
        <v/>
      </c>
      <c r="N125" t="str">
        <f t="shared" si="44"/>
        <v>&lt;number id="0" prio="1" type="home"&gt;+31 104667901&lt;/number&gt;</v>
      </c>
      <c r="O125" s="5">
        <f t="shared" si="45"/>
        <v>1</v>
      </c>
      <c r="P125" s="5">
        <f t="shared" si="46"/>
        <v>1</v>
      </c>
      <c r="Q125" s="5" t="str">
        <f>CONCATENATE(+Contacts!G125)</f>
        <v>+31 104667901</v>
      </c>
      <c r="R125" t="str">
        <f t="shared" si="47"/>
        <v/>
      </c>
      <c r="S125" s="5">
        <f t="shared" si="48"/>
        <v>1</v>
      </c>
      <c r="T125" s="5">
        <f t="shared" si="49"/>
        <v>1</v>
      </c>
      <c r="U125" s="5" t="str">
        <f>CONCATENATE(+Contacts!H125)</f>
        <v/>
      </c>
      <c r="V125" t="str">
        <f t="shared" si="50"/>
        <v/>
      </c>
      <c r="W125" s="5">
        <f t="shared" si="51"/>
        <v>1</v>
      </c>
      <c r="X125" s="5">
        <f t="shared" si="52"/>
        <v>1</v>
      </c>
      <c r="Y125" s="5" t="str">
        <f>CONCATENATE(+Contacts!F125)</f>
        <v/>
      </c>
      <c r="Z125" s="2" t="str">
        <f t="shared" si="53"/>
        <v xml:space="preserve">Es, Cobie van  </v>
      </c>
      <c r="AA125" s="2" t="str">
        <f>CONCATENATE(+Contacts!C125)</f>
        <v>Es</v>
      </c>
      <c r="AB125" s="2" t="str">
        <f t="shared" si="54"/>
        <v xml:space="preserve">, </v>
      </c>
      <c r="AC125" s="2" t="str">
        <f>CONCATENATE(+Contacts!A125)</f>
        <v>Cobie</v>
      </c>
      <c r="AD125" s="3" t="str">
        <f>CONCATENATE(" ",+Contacts!B125)</f>
        <v xml:space="preserve"> van</v>
      </c>
      <c r="AE125" s="2" t="str">
        <f t="shared" si="55"/>
        <v xml:space="preserve"> </v>
      </c>
      <c r="AF125" s="3" t="str">
        <f>CONCATENATE(+Contacts!D125)</f>
        <v/>
      </c>
      <c r="AG125" s="2" t="str">
        <f t="shared" si="56"/>
        <v xml:space="preserve"> </v>
      </c>
      <c r="AH125" t="str">
        <f>CONCATENATE(+Contacts!I125)</f>
        <v/>
      </c>
      <c r="AI125">
        <v>1500000010</v>
      </c>
      <c r="AJ125" s="5">
        <f t="shared" si="57"/>
        <v>1</v>
      </c>
    </row>
    <row r="126" spans="1:36" x14ac:dyDescent="0.35">
      <c r="A126" s="7" t="str">
        <f t="shared" si="32"/>
        <v>&lt;contact&gt;&lt;category&gt;0&lt;/category&gt;&lt;person&gt;&lt;realName&gt;Etman, Saskia   &lt;/realName&gt;&lt;/person&gt;</v>
      </c>
      <c r="B126" s="7" t="str">
        <f t="shared" si="33"/>
        <v>&lt;telephony nid="2"&gt;&lt;number id="0" prio="1" type="home"&gt;+31 104183360&lt;/number&gt;&lt;number id="1" prio="0" type="mobile"&gt;+31 638038770&lt;/number&gt;&lt;/telephony&gt;</v>
      </c>
      <c r="C126" s="7" t="str">
        <f t="shared" si="34"/>
        <v>&lt;services nid="1"&gt;&lt;email id="0" classifier="private"&gt;s.etman@hotmail.com&lt;/email&gt;&lt;/services&gt;&lt;setup /&gt;&lt;mod_time&gt;1500000010&lt;/mod_time&gt;&lt;uniqueid&gt;1&lt;/uniqueid&gt;&lt;/contact&gt;</v>
      </c>
      <c r="D126" t="str">
        <f t="shared" si="35"/>
        <v>&lt;contact&gt;&lt;category&gt;0&lt;/category&gt;&lt;person&gt;&lt;realName&gt;Etman, Saskia   &lt;/realName&gt;&lt;/person&gt;</v>
      </c>
      <c r="E126" t="str">
        <f t="shared" si="36"/>
        <v>&lt;telephony nid="2"&gt;&lt;number id="0" prio="1" type="home"&gt;+31 104183360&lt;/number&gt;&lt;number id="1" prio="0" type="mobile"&gt;+31 638038770&lt;/number&gt;&lt;/telephony&gt;</v>
      </c>
      <c r="F126" t="str">
        <f t="shared" si="37"/>
        <v>&lt;telephony nid="2"&gt;</v>
      </c>
      <c r="G126" t="str">
        <f t="shared" si="38"/>
        <v/>
      </c>
      <c r="H126" t="str">
        <f t="shared" si="39"/>
        <v>&lt;services nid="1"&gt;&lt;email id="0" classifier="private"&gt;s.etman@hotmail.com&lt;/email&gt;&lt;/services&gt;&lt;setup /&gt;&lt;mod_time&gt;1500000010&lt;/mod_time&gt;&lt;uniqueid&gt;1&lt;/uniqueid&gt;&lt;/contact&gt;</v>
      </c>
      <c r="I126" t="str">
        <f t="shared" si="40"/>
        <v>&lt;services /&gt;&lt;setup /&gt;&lt;mod_time&gt;1500000010&lt;/mod_time&gt;&lt;uniqueid&gt;1&lt;/uniqueid&gt;&lt;/contact&gt;</v>
      </c>
      <c r="J126" t="str">
        <f t="shared" si="41"/>
        <v>&lt;services nid="1"&gt;&lt;email id="0" classifier="private"&gt;s.etman@hotmail.com&lt;/email&gt;&lt;/services&gt;&lt;setup /&gt;&lt;mod_time&gt;1500000010&lt;/mod_time&gt;&lt;uniqueid&gt;1&lt;/uniqueid&gt;&lt;/contact&gt;</v>
      </c>
      <c r="K126" s="5">
        <f t="shared" si="42"/>
        <v>0</v>
      </c>
      <c r="L126" s="5">
        <f t="shared" si="43"/>
        <v>0</v>
      </c>
      <c r="M126" s="5" t="str">
        <f>CONCATENATE(+Contacts!E126)</f>
        <v/>
      </c>
      <c r="N126" t="str">
        <f t="shared" si="44"/>
        <v>&lt;number id="0" prio="1" type="home"&gt;+31 104183360&lt;/number&gt;</v>
      </c>
      <c r="O126" s="5">
        <f t="shared" si="45"/>
        <v>1</v>
      </c>
      <c r="P126" s="5">
        <f t="shared" si="46"/>
        <v>1</v>
      </c>
      <c r="Q126" s="5" t="str">
        <f>CONCATENATE(+Contacts!G126)</f>
        <v>+31 104183360</v>
      </c>
      <c r="R126" t="str">
        <f t="shared" si="47"/>
        <v>&lt;number id="1" prio="0" type="mobile"&gt;+31 638038770&lt;/number&gt;</v>
      </c>
      <c r="S126" s="5">
        <f t="shared" si="48"/>
        <v>2</v>
      </c>
      <c r="T126" s="5">
        <f t="shared" si="49"/>
        <v>0</v>
      </c>
      <c r="U126" s="5" t="str">
        <f>CONCATENATE(+Contacts!H126)</f>
        <v>+31 638038770</v>
      </c>
      <c r="V126" t="str">
        <f t="shared" si="50"/>
        <v/>
      </c>
      <c r="W126" s="5">
        <f t="shared" si="51"/>
        <v>2</v>
      </c>
      <c r="X126" s="5">
        <f t="shared" si="52"/>
        <v>0</v>
      </c>
      <c r="Y126" s="5" t="str">
        <f>CONCATENATE(+Contacts!F126)</f>
        <v/>
      </c>
      <c r="Z126" s="2" t="str">
        <f t="shared" si="53"/>
        <v xml:space="preserve">Etman, Saskia   </v>
      </c>
      <c r="AA126" s="2" t="str">
        <f>CONCATENATE(+Contacts!C126)</f>
        <v>Etman</v>
      </c>
      <c r="AB126" s="2" t="str">
        <f t="shared" si="54"/>
        <v xml:space="preserve">, </v>
      </c>
      <c r="AC126" s="2" t="str">
        <f>CONCATENATE(+Contacts!A126)</f>
        <v>Saskia</v>
      </c>
      <c r="AD126" s="3" t="str">
        <f>CONCATENATE(" ",+Contacts!B126)</f>
        <v xml:space="preserve"> </v>
      </c>
      <c r="AE126" s="2" t="str">
        <f t="shared" si="55"/>
        <v xml:space="preserve"> </v>
      </c>
      <c r="AF126" s="3" t="str">
        <f>CONCATENATE(+Contacts!D126)</f>
        <v/>
      </c>
      <c r="AG126" s="2" t="str">
        <f t="shared" si="56"/>
        <v xml:space="preserve"> </v>
      </c>
      <c r="AH126" t="str">
        <f>CONCATENATE(+Contacts!I126)</f>
        <v>s.etman@hotmail.com</v>
      </c>
      <c r="AI126">
        <v>1500000010</v>
      </c>
      <c r="AJ126" s="5">
        <f t="shared" si="57"/>
        <v>1</v>
      </c>
    </row>
    <row r="127" spans="1:36" x14ac:dyDescent="0.35">
      <c r="A127" s="7" t="str">
        <f t="shared" si="32"/>
        <v/>
      </c>
      <c r="B127" s="7" t="str">
        <f t="shared" si="33"/>
        <v/>
      </c>
      <c r="C127" s="7" t="str">
        <f t="shared" si="34"/>
        <v/>
      </c>
      <c r="D127" t="str">
        <f t="shared" si="35"/>
        <v>&lt;contact&gt;&lt;category&gt;0&lt;/category&gt;&lt;person&gt;&lt;realName&gt;, Fatima   &lt;/realName&gt;&lt;/person&gt;</v>
      </c>
      <c r="E127" t="str">
        <f t="shared" si="36"/>
        <v>&lt;telephony nid="0"&gt;&lt;/telephony&gt;</v>
      </c>
      <c r="F127" t="str">
        <f t="shared" si="37"/>
        <v>&lt;telephony nid="0"&gt;</v>
      </c>
      <c r="G127" t="str">
        <f t="shared" si="38"/>
        <v/>
      </c>
      <c r="H127" t="str">
        <f t="shared" si="39"/>
        <v>&lt;services nid="1"&gt;&lt;email id="0" classifier="private"&gt;&lt;/email&gt;&lt;/services&gt;&lt;setup /&gt;&lt;mod_time&gt;1500000010&lt;/mod_time&gt;&lt;uniqueid&gt;0&lt;/uniqueid&gt;&lt;/contact&gt;</v>
      </c>
      <c r="I127" t="str">
        <f t="shared" si="40"/>
        <v>&lt;services /&gt;&lt;setup /&gt;&lt;mod_time&gt;1500000010&lt;/mod_time&gt;&lt;uniqueid&gt;0&lt;/uniqueid&gt;&lt;/contact&gt;</v>
      </c>
      <c r="J127" t="str">
        <f t="shared" si="41"/>
        <v>&lt;services /&gt;&lt;setup /&gt;&lt;mod_time&gt;1500000010&lt;/mod_time&gt;&lt;uniqueid&gt;0&lt;/uniqueid&gt;&lt;/contact&gt;</v>
      </c>
      <c r="K127" s="5">
        <f t="shared" si="42"/>
        <v>0</v>
      </c>
      <c r="L127" s="5">
        <f t="shared" si="43"/>
        <v>0</v>
      </c>
      <c r="M127" s="5" t="str">
        <f>CONCATENATE(+Contacts!E127)</f>
        <v/>
      </c>
      <c r="N127" t="str">
        <f t="shared" si="44"/>
        <v/>
      </c>
      <c r="O127" s="5">
        <f t="shared" si="45"/>
        <v>0</v>
      </c>
      <c r="P127" s="5">
        <f t="shared" si="46"/>
        <v>0</v>
      </c>
      <c r="Q127" s="5" t="str">
        <f>CONCATENATE(+Contacts!G127)</f>
        <v/>
      </c>
      <c r="R127" t="str">
        <f t="shared" si="47"/>
        <v/>
      </c>
      <c r="S127" s="5">
        <f t="shared" si="48"/>
        <v>0</v>
      </c>
      <c r="T127" s="5">
        <f t="shared" si="49"/>
        <v>0</v>
      </c>
      <c r="U127" s="5" t="str">
        <f>CONCATENATE(+Contacts!H127)</f>
        <v/>
      </c>
      <c r="V127" t="str">
        <f t="shared" si="50"/>
        <v/>
      </c>
      <c r="W127" s="5">
        <f t="shared" si="51"/>
        <v>0</v>
      </c>
      <c r="X127" s="5">
        <f t="shared" si="52"/>
        <v>0</v>
      </c>
      <c r="Y127" s="5" t="str">
        <f>CONCATENATE(+Contacts!F127)</f>
        <v/>
      </c>
      <c r="Z127" s="2" t="str">
        <f t="shared" si="53"/>
        <v xml:space="preserve">, Fatima   </v>
      </c>
      <c r="AA127" s="2" t="str">
        <f>CONCATENATE(+Contacts!C127)</f>
        <v/>
      </c>
      <c r="AB127" s="2" t="str">
        <f t="shared" si="54"/>
        <v xml:space="preserve">, </v>
      </c>
      <c r="AC127" s="2" t="str">
        <f>CONCATENATE(+Contacts!A127)</f>
        <v>Fatima</v>
      </c>
      <c r="AD127" s="3" t="str">
        <f>CONCATENATE(" ",+Contacts!B127)</f>
        <v xml:space="preserve"> </v>
      </c>
      <c r="AE127" s="2" t="str">
        <f t="shared" si="55"/>
        <v xml:space="preserve"> </v>
      </c>
      <c r="AF127" s="3" t="str">
        <f>CONCATENATE(+Contacts!D127)</f>
        <v/>
      </c>
      <c r="AG127" s="2" t="str">
        <f t="shared" si="56"/>
        <v xml:space="preserve"> </v>
      </c>
      <c r="AH127" t="str">
        <f>CONCATENATE(+Contacts!I127)</f>
        <v/>
      </c>
      <c r="AI127">
        <v>1500000010</v>
      </c>
      <c r="AJ127" s="5">
        <f t="shared" si="57"/>
        <v>0</v>
      </c>
    </row>
    <row r="128" spans="1:36" x14ac:dyDescent="0.35">
      <c r="A128" s="7" t="str">
        <f t="shared" si="32"/>
        <v>&lt;contact&gt;&lt;category&gt;0&lt;/category&gt;&lt;person&gt;&lt;realName&gt;Floor, Ros   &lt;/realName&gt;&lt;/person&gt;</v>
      </c>
      <c r="B128" s="7" t="str">
        <f t="shared" si="33"/>
        <v>&lt;telephony nid="1"&gt;&lt;number id="0" prio="1" type="home"&gt;+31 30676107&lt;/number&gt;&lt;/telephony&gt;</v>
      </c>
      <c r="C128" s="7" t="str">
        <f t="shared" si="34"/>
        <v>&lt;services /&gt;&lt;setup /&gt;&lt;mod_time&gt;1500000010&lt;/mod_time&gt;&lt;uniqueid&gt;1&lt;/uniqueid&gt;&lt;/contact&gt;</v>
      </c>
      <c r="D128" t="str">
        <f t="shared" si="35"/>
        <v>&lt;contact&gt;&lt;category&gt;0&lt;/category&gt;&lt;person&gt;&lt;realName&gt;Floor, Ros   &lt;/realName&gt;&lt;/person&gt;</v>
      </c>
      <c r="E128" t="str">
        <f t="shared" si="36"/>
        <v>&lt;telephony nid="1"&gt;&lt;number id="0" prio="1" type="home"&gt;+31 30676107&lt;/number&gt;&lt;/telephony&gt;</v>
      </c>
      <c r="F128" t="str">
        <f t="shared" si="37"/>
        <v>&lt;telephony nid="1"&gt;</v>
      </c>
      <c r="G128" t="str">
        <f t="shared" si="38"/>
        <v/>
      </c>
      <c r="H128" t="str">
        <f t="shared" si="39"/>
        <v>&lt;services nid="1"&gt;&lt;email id="0" classifier="private"&gt;&lt;/email&gt;&lt;/services&gt;&lt;setup /&gt;&lt;mod_time&gt;1500000010&lt;/mod_time&gt;&lt;uniqueid&gt;1&lt;/uniqueid&gt;&lt;/contact&gt;</v>
      </c>
      <c r="I128" t="str">
        <f t="shared" si="40"/>
        <v>&lt;services /&gt;&lt;setup /&gt;&lt;mod_time&gt;1500000010&lt;/mod_time&gt;&lt;uniqueid&gt;1&lt;/uniqueid&gt;&lt;/contact&gt;</v>
      </c>
      <c r="J128" t="str">
        <f t="shared" si="41"/>
        <v>&lt;services /&gt;&lt;setup /&gt;&lt;mod_time&gt;1500000010&lt;/mod_time&gt;&lt;uniqueid&gt;1&lt;/uniqueid&gt;&lt;/contact&gt;</v>
      </c>
      <c r="K128" s="5">
        <f t="shared" si="42"/>
        <v>0</v>
      </c>
      <c r="L128" s="5">
        <f t="shared" si="43"/>
        <v>0</v>
      </c>
      <c r="M128" s="5" t="str">
        <f>CONCATENATE(+Contacts!E128)</f>
        <v/>
      </c>
      <c r="N128" t="str">
        <f t="shared" si="44"/>
        <v>&lt;number id="0" prio="1" type="home"&gt;+31 30676107&lt;/number&gt;</v>
      </c>
      <c r="O128" s="5">
        <f t="shared" si="45"/>
        <v>1</v>
      </c>
      <c r="P128" s="5">
        <f t="shared" si="46"/>
        <v>1</v>
      </c>
      <c r="Q128" s="5" t="str">
        <f>CONCATENATE(+Contacts!G128)</f>
        <v>+31 30676107</v>
      </c>
      <c r="R128" t="str">
        <f t="shared" si="47"/>
        <v/>
      </c>
      <c r="S128" s="5">
        <f t="shared" si="48"/>
        <v>1</v>
      </c>
      <c r="T128" s="5">
        <f t="shared" si="49"/>
        <v>1</v>
      </c>
      <c r="U128" s="5" t="str">
        <f>CONCATENATE(+Contacts!H128)</f>
        <v/>
      </c>
      <c r="V128" t="str">
        <f t="shared" si="50"/>
        <v/>
      </c>
      <c r="W128" s="5">
        <f t="shared" si="51"/>
        <v>1</v>
      </c>
      <c r="X128" s="5">
        <f t="shared" si="52"/>
        <v>1</v>
      </c>
      <c r="Y128" s="5" t="str">
        <f>CONCATENATE(+Contacts!F128)</f>
        <v/>
      </c>
      <c r="Z128" s="2" t="str">
        <f t="shared" si="53"/>
        <v xml:space="preserve">Floor, Ros   </v>
      </c>
      <c r="AA128" s="2" t="str">
        <f>CONCATENATE(+Contacts!C128)</f>
        <v>Floor</v>
      </c>
      <c r="AB128" s="2" t="str">
        <f t="shared" si="54"/>
        <v xml:space="preserve">, </v>
      </c>
      <c r="AC128" s="2" t="str">
        <f>CONCATENATE(+Contacts!A128)</f>
        <v>Ros</v>
      </c>
      <c r="AD128" s="3" t="str">
        <f>CONCATENATE(" ",+Contacts!B128)</f>
        <v xml:space="preserve"> </v>
      </c>
      <c r="AE128" s="2" t="str">
        <f t="shared" si="55"/>
        <v xml:space="preserve"> </v>
      </c>
      <c r="AF128" s="3" t="str">
        <f>CONCATENATE(+Contacts!D128)</f>
        <v/>
      </c>
      <c r="AG128" s="2" t="str">
        <f t="shared" si="56"/>
        <v xml:space="preserve"> </v>
      </c>
      <c r="AH128" t="str">
        <f>CONCATENATE(+Contacts!I128)</f>
        <v/>
      </c>
      <c r="AI128">
        <v>1500000010</v>
      </c>
      <c r="AJ128" s="5">
        <f t="shared" si="57"/>
        <v>1</v>
      </c>
    </row>
    <row r="129" spans="1:36" x14ac:dyDescent="0.35">
      <c r="A129" s="7" t="str">
        <f t="shared" si="32"/>
        <v>&lt;contact&gt;&lt;category&gt;0&lt;/category&gt;&lt;person&gt;&lt;realName&gt;Foot Wellness Joyce  (Pedicure)&lt;/realName&gt;&lt;/person&gt;</v>
      </c>
      <c r="B129" s="7" t="str">
        <f t="shared" si="33"/>
        <v>&lt;telephony nid="1"&gt;&lt;number id="0" prio="1" type="work"&gt;+31 650635284&lt;/number&gt;&lt;/telephony&gt;</v>
      </c>
      <c r="C129" s="7" t="str">
        <f t="shared" si="34"/>
        <v>&lt;services /&gt;&lt;setup /&gt;&lt;mod_time&gt;1500000010&lt;/mod_time&gt;&lt;uniqueid&gt;1&lt;/uniqueid&gt;&lt;/contact&gt;</v>
      </c>
      <c r="D129" t="str">
        <f t="shared" si="35"/>
        <v>&lt;contact&gt;&lt;category&gt;0&lt;/category&gt;&lt;person&gt;&lt;realName&gt;Foot Wellness Joyce  (Pedicure)&lt;/realName&gt;&lt;/person&gt;</v>
      </c>
      <c r="E129" t="str">
        <f t="shared" si="36"/>
        <v>&lt;telephony nid="1"&gt;&lt;number id="0" prio="1" type="work"&gt;+31 650635284&lt;/number&gt;&lt;/telephony&gt;</v>
      </c>
      <c r="F129" t="str">
        <f t="shared" si="37"/>
        <v>&lt;telephony nid="1"&gt;</v>
      </c>
      <c r="G129" t="str">
        <f t="shared" si="38"/>
        <v>&lt;number id="0" prio="1" type="work"&gt;+31 650635284&lt;/number&gt;</v>
      </c>
      <c r="H129" t="str">
        <f t="shared" si="39"/>
        <v>&lt;services nid="1"&gt;&lt;email id="0" classifier="private"&gt;&lt;/email&gt;&lt;/services&gt;&lt;setup /&gt;&lt;mod_time&gt;1500000010&lt;/mod_time&gt;&lt;uniqueid&gt;1&lt;/uniqueid&gt;&lt;/contact&gt;</v>
      </c>
      <c r="I129" t="str">
        <f t="shared" si="40"/>
        <v>&lt;services /&gt;&lt;setup /&gt;&lt;mod_time&gt;1500000010&lt;/mod_time&gt;&lt;uniqueid&gt;1&lt;/uniqueid&gt;&lt;/contact&gt;</v>
      </c>
      <c r="J129" t="str">
        <f t="shared" si="41"/>
        <v>&lt;services /&gt;&lt;setup /&gt;&lt;mod_time&gt;1500000010&lt;/mod_time&gt;&lt;uniqueid&gt;1&lt;/uniqueid&gt;&lt;/contact&gt;</v>
      </c>
      <c r="K129" s="5">
        <f t="shared" si="42"/>
        <v>1</v>
      </c>
      <c r="L129" s="5">
        <f t="shared" si="43"/>
        <v>1</v>
      </c>
      <c r="M129" s="5" t="str">
        <f>CONCATENATE(+Contacts!E129)</f>
        <v>+31 650635284</v>
      </c>
      <c r="N129" t="str">
        <f t="shared" si="44"/>
        <v/>
      </c>
      <c r="O129" s="5">
        <f t="shared" si="45"/>
        <v>1</v>
      </c>
      <c r="P129" s="5">
        <f t="shared" si="46"/>
        <v>1</v>
      </c>
      <c r="Q129" s="5" t="str">
        <f>CONCATENATE(+Contacts!G129)</f>
        <v/>
      </c>
      <c r="R129" t="str">
        <f t="shared" si="47"/>
        <v/>
      </c>
      <c r="S129" s="5">
        <f t="shared" si="48"/>
        <v>1</v>
      </c>
      <c r="T129" s="5">
        <f t="shared" si="49"/>
        <v>1</v>
      </c>
      <c r="U129" s="5" t="str">
        <f>CONCATENATE(+Contacts!H129)</f>
        <v/>
      </c>
      <c r="V129" t="str">
        <f t="shared" si="50"/>
        <v/>
      </c>
      <c r="W129" s="5">
        <f t="shared" si="51"/>
        <v>1</v>
      </c>
      <c r="X129" s="5">
        <f t="shared" si="52"/>
        <v>1</v>
      </c>
      <c r="Y129" s="5" t="str">
        <f>CONCATENATE(+Contacts!F129)</f>
        <v/>
      </c>
      <c r="Z129" s="2" t="str">
        <f t="shared" si="53"/>
        <v>Foot Wellness Joyce  (Pedicure)</v>
      </c>
      <c r="AA129" s="2" t="str">
        <f>CONCATENATE(+Contacts!C129)</f>
        <v>Foot Wellness Joyce</v>
      </c>
      <c r="AB129" s="2" t="str">
        <f t="shared" si="54"/>
        <v xml:space="preserve"> </v>
      </c>
      <c r="AC129" s="2" t="str">
        <f>CONCATENATE(+Contacts!A129)</f>
        <v/>
      </c>
      <c r="AD129" s="3" t="str">
        <f>CONCATENATE(" ",+Contacts!B129)</f>
        <v xml:space="preserve"> </v>
      </c>
      <c r="AE129" s="2" t="str">
        <f t="shared" si="55"/>
        <v>(</v>
      </c>
      <c r="AF129" s="3" t="str">
        <f>CONCATENATE(+Contacts!D129)</f>
        <v>Pedicure</v>
      </c>
      <c r="AG129" s="2" t="str">
        <f t="shared" si="56"/>
        <v>)</v>
      </c>
      <c r="AH129" t="str">
        <f>CONCATENATE(+Contacts!I129)</f>
        <v/>
      </c>
      <c r="AI129">
        <v>1500000010</v>
      </c>
      <c r="AJ129" s="5">
        <f t="shared" si="57"/>
        <v>1</v>
      </c>
    </row>
    <row r="130" spans="1:36" x14ac:dyDescent="0.35">
      <c r="A130" s="7" t="str">
        <f t="shared" si="32"/>
        <v/>
      </c>
      <c r="B130" s="7" t="str">
        <f t="shared" si="33"/>
        <v/>
      </c>
      <c r="C130" s="7" t="str">
        <f t="shared" si="34"/>
        <v/>
      </c>
      <c r="D130" t="str">
        <f t="shared" si="35"/>
        <v>&lt;contact&gt;&lt;category&gt;0&lt;/category&gt;&lt;person&gt;&lt;realName&gt;Fox, Paul   &lt;/realName&gt;&lt;/person&gt;</v>
      </c>
      <c r="E130" t="str">
        <f t="shared" si="36"/>
        <v>&lt;telephony nid="0"&gt;&lt;/telephony&gt;</v>
      </c>
      <c r="F130" t="str">
        <f t="shared" si="37"/>
        <v>&lt;telephony nid="0"&gt;</v>
      </c>
      <c r="G130" t="str">
        <f t="shared" si="38"/>
        <v/>
      </c>
      <c r="H130" t="str">
        <f t="shared" si="39"/>
        <v>&lt;services nid="1"&gt;&lt;email id="0" classifier="private"&gt;Paul.fox@fennec.nl&lt;/email&gt;&lt;/services&gt;&lt;setup /&gt;&lt;mod_time&gt;1500000010&lt;/mod_time&gt;&lt;uniqueid&gt;0&lt;/uniqueid&gt;&lt;/contact&gt;</v>
      </c>
      <c r="I130" t="str">
        <f t="shared" si="40"/>
        <v>&lt;services /&gt;&lt;setup /&gt;&lt;mod_time&gt;1500000010&lt;/mod_time&gt;&lt;uniqueid&gt;0&lt;/uniqueid&gt;&lt;/contact&gt;</v>
      </c>
      <c r="J130" t="str">
        <f t="shared" si="41"/>
        <v>&lt;services nid="1"&gt;&lt;email id="0" classifier="private"&gt;Paul.fox@fennec.nl&lt;/email&gt;&lt;/services&gt;&lt;setup /&gt;&lt;mod_time&gt;1500000010&lt;/mod_time&gt;&lt;uniqueid&gt;0&lt;/uniqueid&gt;&lt;/contact&gt;</v>
      </c>
      <c r="K130" s="5">
        <f t="shared" si="42"/>
        <v>0</v>
      </c>
      <c r="L130" s="5">
        <f t="shared" si="43"/>
        <v>0</v>
      </c>
      <c r="M130" s="5" t="str">
        <f>CONCATENATE(+Contacts!E130)</f>
        <v/>
      </c>
      <c r="N130" t="str">
        <f t="shared" si="44"/>
        <v/>
      </c>
      <c r="O130" s="5">
        <f t="shared" si="45"/>
        <v>0</v>
      </c>
      <c r="P130" s="5">
        <f t="shared" si="46"/>
        <v>0</v>
      </c>
      <c r="Q130" s="5" t="str">
        <f>CONCATENATE(+Contacts!G130)</f>
        <v/>
      </c>
      <c r="R130" t="str">
        <f t="shared" si="47"/>
        <v/>
      </c>
      <c r="S130" s="5">
        <f t="shared" si="48"/>
        <v>0</v>
      </c>
      <c r="T130" s="5">
        <f t="shared" si="49"/>
        <v>0</v>
      </c>
      <c r="U130" s="5" t="str">
        <f>CONCATENATE(+Contacts!H130)</f>
        <v/>
      </c>
      <c r="V130" t="str">
        <f t="shared" si="50"/>
        <v/>
      </c>
      <c r="W130" s="5">
        <f t="shared" si="51"/>
        <v>0</v>
      </c>
      <c r="X130" s="5">
        <f t="shared" si="52"/>
        <v>0</v>
      </c>
      <c r="Y130" s="5" t="str">
        <f>CONCATENATE(+Contacts!F130)</f>
        <v/>
      </c>
      <c r="Z130" s="2" t="str">
        <f t="shared" si="53"/>
        <v xml:space="preserve">Fox, Paul   </v>
      </c>
      <c r="AA130" s="2" t="str">
        <f>CONCATENATE(+Contacts!C130)</f>
        <v>Fox</v>
      </c>
      <c r="AB130" s="2" t="str">
        <f t="shared" si="54"/>
        <v xml:space="preserve">, </v>
      </c>
      <c r="AC130" s="2" t="str">
        <f>CONCATENATE(+Contacts!A130)</f>
        <v>Paul</v>
      </c>
      <c r="AD130" s="3" t="str">
        <f>CONCATENATE(" ",+Contacts!B130)</f>
        <v xml:space="preserve"> </v>
      </c>
      <c r="AE130" s="2" t="str">
        <f t="shared" si="55"/>
        <v xml:space="preserve"> </v>
      </c>
      <c r="AF130" s="3" t="str">
        <f>CONCATENATE(+Contacts!D130)</f>
        <v/>
      </c>
      <c r="AG130" s="2" t="str">
        <f t="shared" si="56"/>
        <v xml:space="preserve"> </v>
      </c>
      <c r="AH130" t="str">
        <f>CONCATENATE(+Contacts!I130)</f>
        <v>Paul.fox@fennec.nl</v>
      </c>
      <c r="AI130">
        <v>1500000010</v>
      </c>
      <c r="AJ130" s="5">
        <f t="shared" si="57"/>
        <v>0</v>
      </c>
    </row>
    <row r="131" spans="1:36" x14ac:dyDescent="0.35">
      <c r="A131" s="7" t="str">
        <f t="shared" ref="A131:A194" si="58">IF(+W131 = 0,"",+D131)</f>
        <v>&lt;contact&gt;&lt;category&gt;0&lt;/category&gt;&lt;person&gt;&lt;realName&gt;Franken, Wil   &lt;/realName&gt;&lt;/person&gt;</v>
      </c>
      <c r="B131" s="7" t="str">
        <f t="shared" ref="B131:B194" si="59">IF(+W131 = 0,"",+E131)</f>
        <v>&lt;telephony nid="1"&gt;&lt;number id="0" prio="1" type="home"&gt;(06) 34 03 84 47&lt;/number&gt;&lt;/telephony&gt;</v>
      </c>
      <c r="C131" s="7" t="str">
        <f t="shared" ref="C131:C194" si="60">IF(+W131 = 0,"",+J131)</f>
        <v>&lt;services /&gt;&lt;setup /&gt;&lt;mod_time&gt;1500000010&lt;/mod_time&gt;&lt;uniqueid&gt;1&lt;/uniqueid&gt;&lt;/contact&gt;</v>
      </c>
      <c r="D131" t="str">
        <f t="shared" ref="D131:D194" si="61">CONCATENATE("&lt;contact&gt;&lt;category&gt;0&lt;/category&gt;&lt;person&gt;&lt;realName&gt;",+Z131,"&lt;/realName&gt;&lt;/person&gt;")</f>
        <v>&lt;contact&gt;&lt;category&gt;0&lt;/category&gt;&lt;person&gt;&lt;realName&gt;Franken, Wil   &lt;/realName&gt;&lt;/person&gt;</v>
      </c>
      <c r="E131" t="str">
        <f t="shared" ref="E131:E194" si="62">CONCATENATE(+F131,+G131,+N131,+R131,+V131,"&lt;/telephony&gt;")</f>
        <v>&lt;telephony nid="1"&gt;&lt;number id="0" prio="1" type="home"&gt;(06) 34 03 84 47&lt;/number&gt;&lt;/telephony&gt;</v>
      </c>
      <c r="F131" t="str">
        <f t="shared" ref="F131:F194" si="63">CONCATENATE("&lt;telephony nid=""",+W131,"""&gt;")</f>
        <v>&lt;telephony nid="1"&gt;</v>
      </c>
      <c r="G131" t="str">
        <f t="shared" ref="G131:G194" si="64">IF(+K131 &gt; 0,+CONCATENATE("&lt;number id=""",+K131-1,""" prio=""",+L131,""" type=""work""&gt;",+M131,"&lt;/number&gt;"),"")</f>
        <v/>
      </c>
      <c r="H131" t="str">
        <f t="shared" ref="H131:H194" si="65">CONCATENATE("&lt;services nid=""1""&gt;&lt;email id=""0"" classifier=""private""&gt;",+AH131,"&lt;/email&gt;&lt;/services&gt;&lt;setup /&gt;&lt;mod_time&gt;",+AI131,"&lt;/mod_time&gt;&lt;uniqueid&gt;",+AJ131,"&lt;/uniqueid&gt;&lt;/contact&gt;")</f>
        <v>&lt;services nid="1"&gt;&lt;email id="0" classifier="private"&gt;&lt;/email&gt;&lt;/services&gt;&lt;setup /&gt;&lt;mod_time&gt;1500000010&lt;/mod_time&gt;&lt;uniqueid&gt;1&lt;/uniqueid&gt;&lt;/contact&gt;</v>
      </c>
      <c r="I131" t="str">
        <f t="shared" ref="I131:I194" si="66">CONCATENATE("&lt;services /&gt;&lt;setup /&gt;&lt;mod_time&gt;",+AI131,"&lt;/mod_time&gt;&lt;uniqueid&gt;",+AJ131,"&lt;/uniqueid&gt;&lt;/contact&gt;")</f>
        <v>&lt;services /&gt;&lt;setup /&gt;&lt;mod_time&gt;1500000010&lt;/mod_time&gt;&lt;uniqueid&gt;1&lt;/uniqueid&gt;&lt;/contact&gt;</v>
      </c>
      <c r="J131" t="str">
        <f t="shared" ref="J131:J194" si="67">+IF(+AH131 = "",+I131,+H131)</f>
        <v>&lt;services /&gt;&lt;setup /&gt;&lt;mod_time&gt;1500000010&lt;/mod_time&gt;&lt;uniqueid&gt;1&lt;/uniqueid&gt;&lt;/contact&gt;</v>
      </c>
      <c r="K131" s="5">
        <f t="shared" ref="K131:K194" si="68">IF(+M131 = "",0,1)</f>
        <v>0</v>
      </c>
      <c r="L131" s="5">
        <f t="shared" ref="L131:L194" si="69">IF(+K131 = 1,1,0)</f>
        <v>0</v>
      </c>
      <c r="M131" s="5" t="str">
        <f>CONCATENATE(+Contacts!E131)</f>
        <v/>
      </c>
      <c r="N131" t="str">
        <f t="shared" ref="N131:N194" si="70">IF(+O131 &gt; +K131,+CONCATENATE("&lt;number id=""",+O131-1,""" prio=""",+P131,""" type=""home""&gt;",+Q131,"&lt;/number&gt;"),"")</f>
        <v>&lt;number id="0" prio="1" type="home"&gt;(06) 34 03 84 47&lt;/number&gt;</v>
      </c>
      <c r="O131" s="5">
        <f t="shared" ref="O131:O194" si="71">IF(+Q131 = "",+K131,+K131+1)</f>
        <v>1</v>
      </c>
      <c r="P131" s="5">
        <f t="shared" ref="P131:P194" si="72">IF(+O131 = 1,1,0)</f>
        <v>1</v>
      </c>
      <c r="Q131" s="5" t="str">
        <f>CONCATENATE(+Contacts!G131)</f>
        <v>(06) 34 03 84 47</v>
      </c>
      <c r="R131" t="str">
        <f t="shared" ref="R131:R194" si="73">IF(+S131 &gt; +O131,+CONCATENATE("&lt;number id=""",+S131-1,""" prio=""",+T131,""" type=""mobile""&gt;",+U131,"&lt;/number&gt;"),"")</f>
        <v/>
      </c>
      <c r="S131" s="5">
        <f t="shared" ref="S131:S194" si="74">IF(+U131 = "",+O131,+O131+1)</f>
        <v>1</v>
      </c>
      <c r="T131" s="5">
        <f t="shared" ref="T131:T194" si="75">IF(+S131 = 1,1,0)</f>
        <v>1</v>
      </c>
      <c r="U131" s="5" t="str">
        <f>CONCATENATE(+Contacts!H131)</f>
        <v/>
      </c>
      <c r="V131" t="str">
        <f t="shared" ref="V131:V194" si="76">IF(+W131 &gt; +S131,+CONCATENATE("&lt;number id=""",+W131-1,""" prio=""",+X131,""" type=""work""&gt;",+Y131,"&lt;/number&gt;"),"")</f>
        <v/>
      </c>
      <c r="W131" s="5">
        <f t="shared" ref="W131:W194" si="77">IF(+Y131 = "",+S131,+S131+1)</f>
        <v>1</v>
      </c>
      <c r="X131" s="5">
        <f t="shared" ref="X131:X194" si="78">IF(+W131 = 1,1,0)</f>
        <v>1</v>
      </c>
      <c r="Y131" s="5" t="str">
        <f>CONCATENATE(+Contacts!F131)</f>
        <v/>
      </c>
      <c r="Z131" s="2" t="str">
        <f t="shared" ref="Z131:Z194" si="79">CONCATENATE(+AA131,+AB131,+AC131,+AD131,+AE131,+AF131,+AG131)</f>
        <v xml:space="preserve">Franken, Wil   </v>
      </c>
      <c r="AA131" s="2" t="str">
        <f>CONCATENATE(+Contacts!C131)</f>
        <v>Franken</v>
      </c>
      <c r="AB131" s="2" t="str">
        <f t="shared" ref="AB131:AB194" si="80">IF(+AC131 = ""," ",", ")</f>
        <v xml:space="preserve">, </v>
      </c>
      <c r="AC131" s="2" t="str">
        <f>CONCATENATE(+Contacts!A131)</f>
        <v>Wil</v>
      </c>
      <c r="AD131" s="3" t="str">
        <f>CONCATENATE(" ",+Contacts!B131)</f>
        <v xml:space="preserve"> </v>
      </c>
      <c r="AE131" s="2" t="str">
        <f t="shared" ref="AE131:AE194" si="81">IF(+AF131 = ""," ","(")</f>
        <v xml:space="preserve"> </v>
      </c>
      <c r="AF131" s="3" t="str">
        <f>CONCATENATE(+Contacts!D131)</f>
        <v/>
      </c>
      <c r="AG131" s="2" t="str">
        <f t="shared" ref="AG131:AG194" si="82">IF(+AF131 = ""," ",")")</f>
        <v xml:space="preserve"> </v>
      </c>
      <c r="AH131" t="str">
        <f>CONCATENATE(+Contacts!I131)</f>
        <v/>
      </c>
      <c r="AI131">
        <v>1500000010</v>
      </c>
      <c r="AJ131" s="5">
        <f t="shared" ref="AJ131:AJ194" si="83">IF(+W131 = 0,0,1)</f>
        <v>1</v>
      </c>
    </row>
    <row r="132" spans="1:36" x14ac:dyDescent="0.35">
      <c r="A132" s="7" t="str">
        <f t="shared" si="58"/>
        <v>&lt;contact&gt;&lt;category&gt;0&lt;/category&gt;&lt;person&gt;&lt;realName&gt;Fränzel, Marieke   &lt;/realName&gt;&lt;/person&gt;</v>
      </c>
      <c r="B132" s="7" t="str">
        <f t="shared" si="59"/>
        <v>&lt;telephony nid="1"&gt;&lt;number id="0" prio="1" type="mobile"&gt;+31 6 51585674&lt;/number&gt;&lt;/telephony&gt;</v>
      </c>
      <c r="C132" s="7" t="str">
        <f t="shared" si="60"/>
        <v>&lt;services /&gt;&lt;setup /&gt;&lt;mod_time&gt;1500000010&lt;/mod_time&gt;&lt;uniqueid&gt;1&lt;/uniqueid&gt;&lt;/contact&gt;</v>
      </c>
      <c r="D132" t="str">
        <f t="shared" si="61"/>
        <v>&lt;contact&gt;&lt;category&gt;0&lt;/category&gt;&lt;person&gt;&lt;realName&gt;Fränzel, Marieke   &lt;/realName&gt;&lt;/person&gt;</v>
      </c>
      <c r="E132" t="str">
        <f t="shared" si="62"/>
        <v>&lt;telephony nid="1"&gt;&lt;number id="0" prio="1" type="mobile"&gt;+31 6 51585674&lt;/number&gt;&lt;/telephony&gt;</v>
      </c>
      <c r="F132" t="str">
        <f t="shared" si="63"/>
        <v>&lt;telephony nid="1"&gt;</v>
      </c>
      <c r="G132" t="str">
        <f t="shared" si="64"/>
        <v/>
      </c>
      <c r="H132" t="str">
        <f t="shared" si="65"/>
        <v>&lt;services nid="1"&gt;&lt;email id="0" classifier="private"&gt;&lt;/email&gt;&lt;/services&gt;&lt;setup /&gt;&lt;mod_time&gt;1500000010&lt;/mod_time&gt;&lt;uniqueid&gt;1&lt;/uniqueid&gt;&lt;/contact&gt;</v>
      </c>
      <c r="I132" t="str">
        <f t="shared" si="66"/>
        <v>&lt;services /&gt;&lt;setup /&gt;&lt;mod_time&gt;1500000010&lt;/mod_time&gt;&lt;uniqueid&gt;1&lt;/uniqueid&gt;&lt;/contact&gt;</v>
      </c>
      <c r="J132" t="str">
        <f t="shared" si="67"/>
        <v>&lt;services /&gt;&lt;setup /&gt;&lt;mod_time&gt;1500000010&lt;/mod_time&gt;&lt;uniqueid&gt;1&lt;/uniqueid&gt;&lt;/contact&gt;</v>
      </c>
      <c r="K132" s="5">
        <f t="shared" si="68"/>
        <v>0</v>
      </c>
      <c r="L132" s="5">
        <f t="shared" si="69"/>
        <v>0</v>
      </c>
      <c r="M132" s="5" t="str">
        <f>CONCATENATE(+Contacts!E132)</f>
        <v/>
      </c>
      <c r="N132" t="str">
        <f t="shared" si="70"/>
        <v/>
      </c>
      <c r="O132" s="5">
        <f t="shared" si="71"/>
        <v>0</v>
      </c>
      <c r="P132" s="5">
        <f t="shared" si="72"/>
        <v>0</v>
      </c>
      <c r="Q132" s="5" t="str">
        <f>CONCATENATE(+Contacts!G132)</f>
        <v/>
      </c>
      <c r="R132" t="str">
        <f t="shared" si="73"/>
        <v>&lt;number id="0" prio="1" type="mobile"&gt;+31 6 51585674&lt;/number&gt;</v>
      </c>
      <c r="S132" s="5">
        <f t="shared" si="74"/>
        <v>1</v>
      </c>
      <c r="T132" s="5">
        <f t="shared" si="75"/>
        <v>1</v>
      </c>
      <c r="U132" s="5" t="str">
        <f>CONCATENATE(+Contacts!H132)</f>
        <v>+31 6 51585674</v>
      </c>
      <c r="V132" t="str">
        <f t="shared" si="76"/>
        <v/>
      </c>
      <c r="W132" s="5">
        <f t="shared" si="77"/>
        <v>1</v>
      </c>
      <c r="X132" s="5">
        <f t="shared" si="78"/>
        <v>1</v>
      </c>
      <c r="Y132" s="5" t="str">
        <f>CONCATENATE(+Contacts!F132)</f>
        <v/>
      </c>
      <c r="Z132" s="2" t="str">
        <f t="shared" si="79"/>
        <v xml:space="preserve">Fränzel, Marieke   </v>
      </c>
      <c r="AA132" s="2" t="str">
        <f>CONCATENATE(+Contacts!C132)</f>
        <v>Fränzel</v>
      </c>
      <c r="AB132" s="2" t="str">
        <f t="shared" si="80"/>
        <v xml:space="preserve">, </v>
      </c>
      <c r="AC132" s="2" t="str">
        <f>CONCATENATE(+Contacts!A132)</f>
        <v>Marieke</v>
      </c>
      <c r="AD132" s="3" t="str">
        <f>CONCATENATE(" ",+Contacts!B132)</f>
        <v xml:space="preserve"> </v>
      </c>
      <c r="AE132" s="2" t="str">
        <f t="shared" si="81"/>
        <v xml:space="preserve"> </v>
      </c>
      <c r="AF132" s="3" t="str">
        <f>CONCATENATE(+Contacts!D132)</f>
        <v/>
      </c>
      <c r="AG132" s="2" t="str">
        <f t="shared" si="82"/>
        <v xml:space="preserve"> </v>
      </c>
      <c r="AH132" t="str">
        <f>CONCATENATE(+Contacts!I132)</f>
        <v/>
      </c>
      <c r="AI132">
        <v>1500000010</v>
      </c>
      <c r="AJ132" s="5">
        <f t="shared" si="83"/>
        <v>1</v>
      </c>
    </row>
    <row r="133" spans="1:36" x14ac:dyDescent="0.35">
      <c r="A133" s="7" t="str">
        <f t="shared" si="58"/>
        <v>&lt;contact&gt;&lt;category&gt;0&lt;/category&gt;&lt;person&gt;&lt;realName&gt;Fysio4you  (Fysiotherapie)&lt;/realName&gt;&lt;/person&gt;</v>
      </c>
      <c r="B133" s="7" t="str">
        <f t="shared" si="59"/>
        <v>&lt;telephony nid="1"&gt;&lt;number id="0" prio="1" type="work"&gt;+31 104200408&lt;/number&gt;&lt;/telephony&gt;</v>
      </c>
      <c r="C133" s="7" t="str">
        <f t="shared" si="60"/>
        <v>&lt;services /&gt;&lt;setup /&gt;&lt;mod_time&gt;1500000010&lt;/mod_time&gt;&lt;uniqueid&gt;1&lt;/uniqueid&gt;&lt;/contact&gt;</v>
      </c>
      <c r="D133" t="str">
        <f t="shared" si="61"/>
        <v>&lt;contact&gt;&lt;category&gt;0&lt;/category&gt;&lt;person&gt;&lt;realName&gt;Fysio4you  (Fysiotherapie)&lt;/realName&gt;&lt;/person&gt;</v>
      </c>
      <c r="E133" t="str">
        <f t="shared" si="62"/>
        <v>&lt;telephony nid="1"&gt;&lt;number id="0" prio="1" type="work"&gt;+31 104200408&lt;/number&gt;&lt;/telephony&gt;</v>
      </c>
      <c r="F133" t="str">
        <f t="shared" si="63"/>
        <v>&lt;telephony nid="1"&gt;</v>
      </c>
      <c r="G133" t="str">
        <f t="shared" si="64"/>
        <v>&lt;number id="0" prio="1" type="work"&gt;+31 104200408&lt;/number&gt;</v>
      </c>
      <c r="H133" t="str">
        <f t="shared" si="65"/>
        <v>&lt;services nid="1"&gt;&lt;email id="0" classifier="private"&gt;&lt;/email&gt;&lt;/services&gt;&lt;setup /&gt;&lt;mod_time&gt;1500000010&lt;/mod_time&gt;&lt;uniqueid&gt;1&lt;/uniqueid&gt;&lt;/contact&gt;</v>
      </c>
      <c r="I133" t="str">
        <f t="shared" si="66"/>
        <v>&lt;services /&gt;&lt;setup /&gt;&lt;mod_time&gt;1500000010&lt;/mod_time&gt;&lt;uniqueid&gt;1&lt;/uniqueid&gt;&lt;/contact&gt;</v>
      </c>
      <c r="J133" t="str">
        <f t="shared" si="67"/>
        <v>&lt;services /&gt;&lt;setup /&gt;&lt;mod_time&gt;1500000010&lt;/mod_time&gt;&lt;uniqueid&gt;1&lt;/uniqueid&gt;&lt;/contact&gt;</v>
      </c>
      <c r="K133" s="5">
        <f t="shared" si="68"/>
        <v>1</v>
      </c>
      <c r="L133" s="5">
        <f t="shared" si="69"/>
        <v>1</v>
      </c>
      <c r="M133" s="5" t="str">
        <f>CONCATENATE(+Contacts!E133)</f>
        <v>+31 104200408</v>
      </c>
      <c r="N133" t="str">
        <f t="shared" si="70"/>
        <v/>
      </c>
      <c r="O133" s="5">
        <f t="shared" si="71"/>
        <v>1</v>
      </c>
      <c r="P133" s="5">
        <f t="shared" si="72"/>
        <v>1</v>
      </c>
      <c r="Q133" s="5" t="str">
        <f>CONCATENATE(+Contacts!G133)</f>
        <v/>
      </c>
      <c r="R133" t="str">
        <f t="shared" si="73"/>
        <v/>
      </c>
      <c r="S133" s="5">
        <f t="shared" si="74"/>
        <v>1</v>
      </c>
      <c r="T133" s="5">
        <f t="shared" si="75"/>
        <v>1</v>
      </c>
      <c r="U133" s="5" t="str">
        <f>CONCATENATE(+Contacts!H133)</f>
        <v/>
      </c>
      <c r="V133" t="str">
        <f t="shared" si="76"/>
        <v/>
      </c>
      <c r="W133" s="5">
        <f t="shared" si="77"/>
        <v>1</v>
      </c>
      <c r="X133" s="5">
        <f t="shared" si="78"/>
        <v>1</v>
      </c>
      <c r="Y133" s="5" t="str">
        <f>CONCATENATE(+Contacts!F133)</f>
        <v/>
      </c>
      <c r="Z133" s="2" t="str">
        <f t="shared" si="79"/>
        <v>Fysio4you  (Fysiotherapie)</v>
      </c>
      <c r="AA133" s="2" t="str">
        <f>CONCATENATE(+Contacts!C133)</f>
        <v>Fysio4you</v>
      </c>
      <c r="AB133" s="2" t="str">
        <f t="shared" si="80"/>
        <v xml:space="preserve"> </v>
      </c>
      <c r="AC133" s="2" t="str">
        <f>CONCATENATE(+Contacts!A133)</f>
        <v/>
      </c>
      <c r="AD133" s="3" t="str">
        <f>CONCATENATE(" ",+Contacts!B133)</f>
        <v xml:space="preserve"> </v>
      </c>
      <c r="AE133" s="2" t="str">
        <f t="shared" si="81"/>
        <v>(</v>
      </c>
      <c r="AF133" s="3" t="str">
        <f>CONCATENATE(+Contacts!D133)</f>
        <v>Fysiotherapie</v>
      </c>
      <c r="AG133" s="2" t="str">
        <f t="shared" si="82"/>
        <v>)</v>
      </c>
      <c r="AH133" t="str">
        <f>CONCATENATE(+Contacts!I133)</f>
        <v/>
      </c>
      <c r="AI133">
        <v>1500000010</v>
      </c>
      <c r="AJ133" s="5">
        <f t="shared" si="83"/>
        <v>1</v>
      </c>
    </row>
    <row r="134" spans="1:36" x14ac:dyDescent="0.35">
      <c r="A134" s="7" t="str">
        <f t="shared" si="58"/>
        <v>&lt;contact&gt;&lt;category&gt;0&lt;/category&gt;&lt;person&gt;&lt;realName&gt;Gall &amp;amp; Gall  (Slijter)&lt;/realName&gt;&lt;/person&gt;</v>
      </c>
      <c r="B134" s="7" t="str">
        <f t="shared" si="59"/>
        <v>&lt;telephony nid="1"&gt;&lt;number id="0" prio="1" type="work"&gt;+31 102860232&lt;/number&gt;&lt;/telephony&gt;</v>
      </c>
      <c r="C134" s="7" t="str">
        <f t="shared" si="60"/>
        <v>&lt;services /&gt;&lt;setup /&gt;&lt;mod_time&gt;1500000010&lt;/mod_time&gt;&lt;uniqueid&gt;1&lt;/uniqueid&gt;&lt;/contact&gt;</v>
      </c>
      <c r="D134" t="str">
        <f t="shared" si="61"/>
        <v>&lt;contact&gt;&lt;category&gt;0&lt;/category&gt;&lt;person&gt;&lt;realName&gt;Gall &amp;amp; Gall  (Slijter)&lt;/realName&gt;&lt;/person&gt;</v>
      </c>
      <c r="E134" t="str">
        <f t="shared" si="62"/>
        <v>&lt;telephony nid="1"&gt;&lt;number id="0" prio="1" type="work"&gt;+31 102860232&lt;/number&gt;&lt;/telephony&gt;</v>
      </c>
      <c r="F134" t="str">
        <f t="shared" si="63"/>
        <v>&lt;telephony nid="1"&gt;</v>
      </c>
      <c r="G134" t="str">
        <f t="shared" si="64"/>
        <v>&lt;number id="0" prio="1" type="work"&gt;+31 102860232&lt;/number&gt;</v>
      </c>
      <c r="H134" t="str">
        <f t="shared" si="65"/>
        <v>&lt;services nid="1"&gt;&lt;email id="0" classifier="private"&gt;&lt;/email&gt;&lt;/services&gt;&lt;setup /&gt;&lt;mod_time&gt;1500000010&lt;/mod_time&gt;&lt;uniqueid&gt;1&lt;/uniqueid&gt;&lt;/contact&gt;</v>
      </c>
      <c r="I134" t="str">
        <f t="shared" si="66"/>
        <v>&lt;services /&gt;&lt;setup /&gt;&lt;mod_time&gt;1500000010&lt;/mod_time&gt;&lt;uniqueid&gt;1&lt;/uniqueid&gt;&lt;/contact&gt;</v>
      </c>
      <c r="J134" t="str">
        <f t="shared" si="67"/>
        <v>&lt;services /&gt;&lt;setup /&gt;&lt;mod_time&gt;1500000010&lt;/mod_time&gt;&lt;uniqueid&gt;1&lt;/uniqueid&gt;&lt;/contact&gt;</v>
      </c>
      <c r="K134" s="5">
        <f t="shared" si="68"/>
        <v>1</v>
      </c>
      <c r="L134" s="5">
        <f t="shared" si="69"/>
        <v>1</v>
      </c>
      <c r="M134" s="5" t="str">
        <f>CONCATENATE(+Contacts!E134)</f>
        <v>+31 102860232</v>
      </c>
      <c r="N134" t="str">
        <f t="shared" si="70"/>
        <v/>
      </c>
      <c r="O134" s="5">
        <f t="shared" si="71"/>
        <v>1</v>
      </c>
      <c r="P134" s="5">
        <f t="shared" si="72"/>
        <v>1</v>
      </c>
      <c r="Q134" s="5" t="str">
        <f>CONCATENATE(+Contacts!G134)</f>
        <v/>
      </c>
      <c r="R134" t="str">
        <f t="shared" si="73"/>
        <v/>
      </c>
      <c r="S134" s="5">
        <f t="shared" si="74"/>
        <v>1</v>
      </c>
      <c r="T134" s="5">
        <f t="shared" si="75"/>
        <v>1</v>
      </c>
      <c r="U134" s="5" t="str">
        <f>CONCATENATE(+Contacts!H134)</f>
        <v/>
      </c>
      <c r="V134" t="str">
        <f t="shared" si="76"/>
        <v/>
      </c>
      <c r="W134" s="5">
        <f t="shared" si="77"/>
        <v>1</v>
      </c>
      <c r="X134" s="5">
        <f t="shared" si="78"/>
        <v>1</v>
      </c>
      <c r="Y134" s="5" t="str">
        <f>CONCATENATE(+Contacts!F134)</f>
        <v/>
      </c>
      <c r="Z134" s="2" t="str">
        <f t="shared" si="79"/>
        <v>Gall &amp;amp; Gall  (Slijter)</v>
      </c>
      <c r="AA134" s="2" t="str">
        <f>CONCATENATE(+Contacts!C134)</f>
        <v>Gall &amp;amp; Gall</v>
      </c>
      <c r="AB134" s="2" t="str">
        <f t="shared" si="80"/>
        <v xml:space="preserve"> </v>
      </c>
      <c r="AC134" s="2" t="str">
        <f>CONCATENATE(+Contacts!A134)</f>
        <v/>
      </c>
      <c r="AD134" s="3" t="str">
        <f>CONCATENATE(" ",+Contacts!B134)</f>
        <v xml:space="preserve"> </v>
      </c>
      <c r="AE134" s="2" t="str">
        <f t="shared" si="81"/>
        <v>(</v>
      </c>
      <c r="AF134" s="3" t="str">
        <f>CONCATENATE(+Contacts!D134)</f>
        <v>Slijter</v>
      </c>
      <c r="AG134" s="2" t="str">
        <f t="shared" si="82"/>
        <v>)</v>
      </c>
      <c r="AH134" t="str">
        <f>CONCATENATE(+Contacts!I134)</f>
        <v/>
      </c>
      <c r="AI134">
        <v>1500000010</v>
      </c>
      <c r="AJ134" s="5">
        <f t="shared" si="83"/>
        <v>1</v>
      </c>
    </row>
    <row r="135" spans="1:36" x14ac:dyDescent="0.35">
      <c r="A135" s="7" t="str">
        <f t="shared" si="58"/>
        <v>&lt;contact&gt;&lt;category&gt;0&lt;/category&gt;&lt;person&gt;&lt;realName&gt;Gallery 62, Rothmeijer (Raamdecoratie, Behang, Etc.)&lt;/realName&gt;&lt;/person&gt;</v>
      </c>
      <c r="B135" s="7" t="str">
        <f t="shared" si="59"/>
        <v>&lt;telephony nid="1"&gt;&lt;number id="0" prio="1" type="home"&gt;(010) 316 36 29&lt;/number&gt;&lt;/telephony&gt;</v>
      </c>
      <c r="C135" s="7" t="str">
        <f t="shared" si="60"/>
        <v>&lt;services /&gt;&lt;setup /&gt;&lt;mod_time&gt;1500000010&lt;/mod_time&gt;&lt;uniqueid&gt;1&lt;/uniqueid&gt;&lt;/contact&gt;</v>
      </c>
      <c r="D135" t="str">
        <f t="shared" si="61"/>
        <v>&lt;contact&gt;&lt;category&gt;0&lt;/category&gt;&lt;person&gt;&lt;realName&gt;Gallery 62, Rothmeijer (Raamdecoratie, Behang, Etc.)&lt;/realName&gt;&lt;/person&gt;</v>
      </c>
      <c r="E135" t="str">
        <f t="shared" si="62"/>
        <v>&lt;telephony nid="1"&gt;&lt;number id="0" prio="1" type="home"&gt;(010) 316 36 29&lt;/number&gt;&lt;/telephony&gt;</v>
      </c>
      <c r="F135" t="str">
        <f t="shared" si="63"/>
        <v>&lt;telephony nid="1"&gt;</v>
      </c>
      <c r="G135" t="str">
        <f t="shared" si="64"/>
        <v/>
      </c>
      <c r="H135" t="str">
        <f t="shared" si="65"/>
        <v>&lt;services nid="1"&gt;&lt;email id="0" classifier="private"&gt;&lt;/email&gt;&lt;/services&gt;&lt;setup /&gt;&lt;mod_time&gt;1500000010&lt;/mod_time&gt;&lt;uniqueid&gt;1&lt;/uniqueid&gt;&lt;/contact&gt;</v>
      </c>
      <c r="I135" t="str">
        <f t="shared" si="66"/>
        <v>&lt;services /&gt;&lt;setup /&gt;&lt;mod_time&gt;1500000010&lt;/mod_time&gt;&lt;uniqueid&gt;1&lt;/uniqueid&gt;&lt;/contact&gt;</v>
      </c>
      <c r="J135" t="str">
        <f t="shared" si="67"/>
        <v>&lt;services /&gt;&lt;setup /&gt;&lt;mod_time&gt;1500000010&lt;/mod_time&gt;&lt;uniqueid&gt;1&lt;/uniqueid&gt;&lt;/contact&gt;</v>
      </c>
      <c r="K135" s="5">
        <f t="shared" si="68"/>
        <v>0</v>
      </c>
      <c r="L135" s="5">
        <f t="shared" si="69"/>
        <v>0</v>
      </c>
      <c r="M135" s="5" t="str">
        <f>CONCATENATE(+Contacts!E135)</f>
        <v/>
      </c>
      <c r="N135" t="str">
        <f t="shared" si="70"/>
        <v>&lt;number id="0" prio="1" type="home"&gt;(010) 316 36 29&lt;/number&gt;</v>
      </c>
      <c r="O135" s="5">
        <f t="shared" si="71"/>
        <v>1</v>
      </c>
      <c r="P135" s="5">
        <f t="shared" si="72"/>
        <v>1</v>
      </c>
      <c r="Q135" s="5" t="str">
        <f>CONCATENATE(+Contacts!G135)</f>
        <v>(010) 316 36 29</v>
      </c>
      <c r="R135" t="str">
        <f t="shared" si="73"/>
        <v/>
      </c>
      <c r="S135" s="5">
        <f t="shared" si="74"/>
        <v>1</v>
      </c>
      <c r="T135" s="5">
        <f t="shared" si="75"/>
        <v>1</v>
      </c>
      <c r="U135" s="5" t="str">
        <f>CONCATENATE(+Contacts!H135)</f>
        <v/>
      </c>
      <c r="V135" t="str">
        <f t="shared" si="76"/>
        <v/>
      </c>
      <c r="W135" s="5">
        <f t="shared" si="77"/>
        <v>1</v>
      </c>
      <c r="X135" s="5">
        <f t="shared" si="78"/>
        <v>1</v>
      </c>
      <c r="Y135" s="5" t="str">
        <f>CONCATENATE(+Contacts!F135)</f>
        <v/>
      </c>
      <c r="Z135" s="2" t="str">
        <f t="shared" si="79"/>
        <v>Gallery 62, Rothmeijer (Raamdecoratie, Behang, Etc.)</v>
      </c>
      <c r="AA135" s="2" t="str">
        <f>CONCATENATE(+Contacts!C135)</f>
        <v>Gallery 62</v>
      </c>
      <c r="AB135" s="2" t="str">
        <f t="shared" si="80"/>
        <v xml:space="preserve">, </v>
      </c>
      <c r="AC135" s="2" t="str">
        <f>CONCATENATE(+Contacts!A135)</f>
        <v>Rothmeijer</v>
      </c>
      <c r="AD135" s="3" t="str">
        <f>CONCATENATE(" ",+Contacts!B135)</f>
        <v xml:space="preserve"> </v>
      </c>
      <c r="AE135" s="2" t="str">
        <f t="shared" si="81"/>
        <v>(</v>
      </c>
      <c r="AF135" s="3" t="str">
        <f>CONCATENATE(+Contacts!D135)</f>
        <v>Raamdecoratie, Behang, Etc.</v>
      </c>
      <c r="AG135" s="2" t="str">
        <f t="shared" si="82"/>
        <v>)</v>
      </c>
      <c r="AH135" t="str">
        <f>CONCATENATE(+Contacts!I135)</f>
        <v/>
      </c>
      <c r="AI135">
        <v>1500000010</v>
      </c>
      <c r="AJ135" s="5">
        <f t="shared" si="83"/>
        <v>1</v>
      </c>
    </row>
    <row r="136" spans="1:36" x14ac:dyDescent="0.35">
      <c r="A136" s="7" t="str">
        <f t="shared" si="58"/>
        <v>&lt;contact&gt;&lt;category&gt;0&lt;/category&gt;&lt;person&gt;&lt;realName&gt;Gansen-Heusdens, Frieda ( F.A.W.)   &lt;/realName&gt;&lt;/person&gt;</v>
      </c>
      <c r="B136" s="7" t="str">
        <f t="shared" si="59"/>
        <v>&lt;telephony nid="1"&gt;&lt;number id="0" prio="1" type="home"&gt;00 31 10 418 29 57&lt;/number&gt;&lt;/telephony&gt;</v>
      </c>
      <c r="C136" s="7" t="str">
        <f t="shared" si="60"/>
        <v>&lt;services /&gt;&lt;setup /&gt;&lt;mod_time&gt;1500000010&lt;/mod_time&gt;&lt;uniqueid&gt;1&lt;/uniqueid&gt;&lt;/contact&gt;</v>
      </c>
      <c r="D136" t="str">
        <f t="shared" si="61"/>
        <v>&lt;contact&gt;&lt;category&gt;0&lt;/category&gt;&lt;person&gt;&lt;realName&gt;Gansen-Heusdens, Frieda ( F.A.W.)   &lt;/realName&gt;&lt;/person&gt;</v>
      </c>
      <c r="E136" t="str">
        <f t="shared" si="62"/>
        <v>&lt;telephony nid="1"&gt;&lt;number id="0" prio="1" type="home"&gt;00 31 10 418 29 57&lt;/number&gt;&lt;/telephony&gt;</v>
      </c>
      <c r="F136" t="str">
        <f t="shared" si="63"/>
        <v>&lt;telephony nid="1"&gt;</v>
      </c>
      <c r="G136" t="str">
        <f t="shared" si="64"/>
        <v/>
      </c>
      <c r="H136" t="str">
        <f t="shared" si="65"/>
        <v>&lt;services nid="1"&gt;&lt;email id="0" classifier="private"&gt;&lt;/email&gt;&lt;/services&gt;&lt;setup /&gt;&lt;mod_time&gt;1500000010&lt;/mod_time&gt;&lt;uniqueid&gt;1&lt;/uniqueid&gt;&lt;/contact&gt;</v>
      </c>
      <c r="I136" t="str">
        <f t="shared" si="66"/>
        <v>&lt;services /&gt;&lt;setup /&gt;&lt;mod_time&gt;1500000010&lt;/mod_time&gt;&lt;uniqueid&gt;1&lt;/uniqueid&gt;&lt;/contact&gt;</v>
      </c>
      <c r="J136" t="str">
        <f t="shared" si="67"/>
        <v>&lt;services /&gt;&lt;setup /&gt;&lt;mod_time&gt;1500000010&lt;/mod_time&gt;&lt;uniqueid&gt;1&lt;/uniqueid&gt;&lt;/contact&gt;</v>
      </c>
      <c r="K136" s="5">
        <f t="shared" si="68"/>
        <v>0</v>
      </c>
      <c r="L136" s="5">
        <f t="shared" si="69"/>
        <v>0</v>
      </c>
      <c r="M136" s="5" t="str">
        <f>CONCATENATE(+Contacts!E136)</f>
        <v/>
      </c>
      <c r="N136" t="str">
        <f t="shared" si="70"/>
        <v>&lt;number id="0" prio="1" type="home"&gt;00 31 10 418 29 57&lt;/number&gt;</v>
      </c>
      <c r="O136" s="5">
        <f t="shared" si="71"/>
        <v>1</v>
      </c>
      <c r="P136" s="5">
        <f t="shared" si="72"/>
        <v>1</v>
      </c>
      <c r="Q136" s="5" t="str">
        <f>CONCATENATE(+Contacts!G136)</f>
        <v>00 31 10 418 29 57</v>
      </c>
      <c r="R136" t="str">
        <f t="shared" si="73"/>
        <v/>
      </c>
      <c r="S136" s="5">
        <f t="shared" si="74"/>
        <v>1</v>
      </c>
      <c r="T136" s="5">
        <f t="shared" si="75"/>
        <v>1</v>
      </c>
      <c r="U136" s="5" t="str">
        <f>CONCATENATE(+Contacts!H136)</f>
        <v/>
      </c>
      <c r="V136" t="str">
        <f t="shared" si="76"/>
        <v/>
      </c>
      <c r="W136" s="5">
        <f t="shared" si="77"/>
        <v>1</v>
      </c>
      <c r="X136" s="5">
        <f t="shared" si="78"/>
        <v>1</v>
      </c>
      <c r="Y136" s="5" t="str">
        <f>CONCATENATE(+Contacts!F136)</f>
        <v/>
      </c>
      <c r="Z136" s="2" t="str">
        <f t="shared" si="79"/>
        <v xml:space="preserve">Gansen-Heusdens, Frieda ( F.A.W.)   </v>
      </c>
      <c r="AA136" s="2" t="str">
        <f>CONCATENATE(+Contacts!C136)</f>
        <v>Gansen-Heusdens</v>
      </c>
      <c r="AB136" s="2" t="str">
        <f t="shared" si="80"/>
        <v xml:space="preserve">, </v>
      </c>
      <c r="AC136" s="2" t="str">
        <f>CONCATENATE(+Contacts!A136)</f>
        <v>Frieda ( F.A.W.)</v>
      </c>
      <c r="AD136" s="3" t="str">
        <f>CONCATENATE(" ",+Contacts!B136)</f>
        <v xml:space="preserve"> </v>
      </c>
      <c r="AE136" s="2" t="str">
        <f t="shared" si="81"/>
        <v xml:space="preserve"> </v>
      </c>
      <c r="AF136" s="3" t="str">
        <f>CONCATENATE(+Contacts!D136)</f>
        <v/>
      </c>
      <c r="AG136" s="2" t="str">
        <f t="shared" si="82"/>
        <v xml:space="preserve"> </v>
      </c>
      <c r="AH136" t="str">
        <f>CONCATENATE(+Contacts!I136)</f>
        <v/>
      </c>
      <c r="AI136">
        <v>1500000010</v>
      </c>
      <c r="AJ136" s="5">
        <f t="shared" si="83"/>
        <v>1</v>
      </c>
    </row>
    <row r="137" spans="1:36" x14ac:dyDescent="0.35">
      <c r="A137" s="7" t="str">
        <f t="shared" si="58"/>
        <v>&lt;contact&gt;&lt;category&gt;0&lt;/category&gt;&lt;person&gt;&lt;realName&gt;, Gastvrouwenbalies IJsselland   &lt;/realName&gt;&lt;/person&gt;</v>
      </c>
      <c r="B137" s="7" t="str">
        <f t="shared" si="59"/>
        <v>&lt;telephony nid="2"&gt;&lt;number id="0" prio="1" type="mobile"&gt;(010) 258 58 81&lt;/number&gt;&lt;number id="1" prio="0" type="work"&gt;(010) 258 58 80;&lt;/number&gt;&lt;/telephony&gt;</v>
      </c>
      <c r="C137" s="7" t="str">
        <f t="shared" si="60"/>
        <v>&lt;services /&gt;&lt;setup /&gt;&lt;mod_time&gt;1500000010&lt;/mod_time&gt;&lt;uniqueid&gt;1&lt;/uniqueid&gt;&lt;/contact&gt;</v>
      </c>
      <c r="D137" t="str">
        <f t="shared" si="61"/>
        <v>&lt;contact&gt;&lt;category&gt;0&lt;/category&gt;&lt;person&gt;&lt;realName&gt;, Gastvrouwenbalies IJsselland   &lt;/realName&gt;&lt;/person&gt;</v>
      </c>
      <c r="E137" t="str">
        <f t="shared" si="62"/>
        <v>&lt;telephony nid="2"&gt;&lt;number id="0" prio="1" type="mobile"&gt;(010) 258 58 81&lt;/number&gt;&lt;number id="1" prio="0" type="work"&gt;(010) 258 58 80;&lt;/number&gt;&lt;/telephony&gt;</v>
      </c>
      <c r="F137" t="str">
        <f t="shared" si="63"/>
        <v>&lt;telephony nid="2"&gt;</v>
      </c>
      <c r="G137" t="str">
        <f t="shared" si="64"/>
        <v/>
      </c>
      <c r="H137" t="str">
        <f t="shared" si="65"/>
        <v>&lt;services nid="1"&gt;&lt;email id="0" classifier="private"&gt;&lt;/email&gt;&lt;/services&gt;&lt;setup /&gt;&lt;mod_time&gt;1500000010&lt;/mod_time&gt;&lt;uniqueid&gt;1&lt;/uniqueid&gt;&lt;/contact&gt;</v>
      </c>
      <c r="I137" t="str">
        <f t="shared" si="66"/>
        <v>&lt;services /&gt;&lt;setup /&gt;&lt;mod_time&gt;1500000010&lt;/mod_time&gt;&lt;uniqueid&gt;1&lt;/uniqueid&gt;&lt;/contact&gt;</v>
      </c>
      <c r="J137" t="str">
        <f t="shared" si="67"/>
        <v>&lt;services /&gt;&lt;setup /&gt;&lt;mod_time&gt;1500000010&lt;/mod_time&gt;&lt;uniqueid&gt;1&lt;/uniqueid&gt;&lt;/contact&gt;</v>
      </c>
      <c r="K137" s="5">
        <f t="shared" si="68"/>
        <v>0</v>
      </c>
      <c r="L137" s="5">
        <f t="shared" si="69"/>
        <v>0</v>
      </c>
      <c r="M137" s="5" t="str">
        <f>CONCATENATE(+Contacts!E137)</f>
        <v/>
      </c>
      <c r="N137" t="str">
        <f t="shared" si="70"/>
        <v/>
      </c>
      <c r="O137" s="5">
        <f t="shared" si="71"/>
        <v>0</v>
      </c>
      <c r="P137" s="5">
        <f t="shared" si="72"/>
        <v>0</v>
      </c>
      <c r="Q137" s="5" t="str">
        <f>CONCATENATE(+Contacts!G137)</f>
        <v/>
      </c>
      <c r="R137" t="str">
        <f t="shared" si="73"/>
        <v>&lt;number id="0" prio="1" type="mobile"&gt;(010) 258 58 81&lt;/number&gt;</v>
      </c>
      <c r="S137" s="5">
        <f t="shared" si="74"/>
        <v>1</v>
      </c>
      <c r="T137" s="5">
        <f t="shared" si="75"/>
        <v>1</v>
      </c>
      <c r="U137" s="5" t="str">
        <f>CONCATENATE(+Contacts!H137)</f>
        <v>(010) 258 58 81</v>
      </c>
      <c r="V137" t="str">
        <f t="shared" si="76"/>
        <v>&lt;number id="1" prio="0" type="work"&gt;(010) 258 58 80;&lt;/number&gt;</v>
      </c>
      <c r="W137" s="5">
        <f t="shared" si="77"/>
        <v>2</v>
      </c>
      <c r="X137" s="5">
        <f t="shared" si="78"/>
        <v>0</v>
      </c>
      <c r="Y137" s="5" t="str">
        <f>CONCATENATE(+Contacts!F137)</f>
        <v>(010) 258 58 80;</v>
      </c>
      <c r="Z137" s="2" t="str">
        <f t="shared" si="79"/>
        <v xml:space="preserve">, Gastvrouwenbalies IJsselland   </v>
      </c>
      <c r="AA137" s="2" t="str">
        <f>CONCATENATE(+Contacts!C137)</f>
        <v/>
      </c>
      <c r="AB137" s="2" t="str">
        <f t="shared" si="80"/>
        <v xml:space="preserve">, </v>
      </c>
      <c r="AC137" s="2" t="str">
        <f>CONCATENATE(+Contacts!A137)</f>
        <v>Gastvrouwenbalies IJsselland</v>
      </c>
      <c r="AD137" s="3" t="str">
        <f>CONCATENATE(" ",+Contacts!B137)</f>
        <v xml:space="preserve"> </v>
      </c>
      <c r="AE137" s="2" t="str">
        <f t="shared" si="81"/>
        <v xml:space="preserve"> </v>
      </c>
      <c r="AF137" s="3" t="str">
        <f>CONCATENATE(+Contacts!D137)</f>
        <v/>
      </c>
      <c r="AG137" s="2" t="str">
        <f t="shared" si="82"/>
        <v xml:space="preserve"> </v>
      </c>
      <c r="AH137" t="str">
        <f>CONCATENATE(+Contacts!I137)</f>
        <v/>
      </c>
      <c r="AI137">
        <v>1500000010</v>
      </c>
      <c r="AJ137" s="5">
        <f t="shared" si="83"/>
        <v>1</v>
      </c>
    </row>
    <row r="138" spans="1:36" x14ac:dyDescent="0.35">
      <c r="A138" s="7" t="str">
        <f t="shared" si="58"/>
        <v>&lt;contact&gt;&lt;category&gt;0&lt;/category&gt;&lt;person&gt;&lt;realName&gt;Geluk, Wilma   &lt;/realName&gt;&lt;/person&gt;</v>
      </c>
      <c r="B138" s="7" t="str">
        <f t="shared" si="59"/>
        <v>&lt;telephony nid="1"&gt;&lt;number id="0" prio="1" type="home"&gt;+31 104564557&lt;/number&gt;&lt;/telephony&gt;</v>
      </c>
      <c r="C138" s="7" t="str">
        <f t="shared" si="60"/>
        <v>&lt;services /&gt;&lt;setup /&gt;&lt;mod_time&gt;1500000010&lt;/mod_time&gt;&lt;uniqueid&gt;1&lt;/uniqueid&gt;&lt;/contact&gt;</v>
      </c>
      <c r="D138" t="str">
        <f t="shared" si="61"/>
        <v>&lt;contact&gt;&lt;category&gt;0&lt;/category&gt;&lt;person&gt;&lt;realName&gt;Geluk, Wilma   &lt;/realName&gt;&lt;/person&gt;</v>
      </c>
      <c r="E138" t="str">
        <f t="shared" si="62"/>
        <v>&lt;telephony nid="1"&gt;&lt;number id="0" prio="1" type="home"&gt;+31 104564557&lt;/number&gt;&lt;/telephony&gt;</v>
      </c>
      <c r="F138" t="str">
        <f t="shared" si="63"/>
        <v>&lt;telephony nid="1"&gt;</v>
      </c>
      <c r="G138" t="str">
        <f t="shared" si="64"/>
        <v/>
      </c>
      <c r="H138" t="str">
        <f t="shared" si="65"/>
        <v>&lt;services nid="1"&gt;&lt;email id="0" classifier="private"&gt;&lt;/email&gt;&lt;/services&gt;&lt;setup /&gt;&lt;mod_time&gt;1500000010&lt;/mod_time&gt;&lt;uniqueid&gt;1&lt;/uniqueid&gt;&lt;/contact&gt;</v>
      </c>
      <c r="I138" t="str">
        <f t="shared" si="66"/>
        <v>&lt;services /&gt;&lt;setup /&gt;&lt;mod_time&gt;1500000010&lt;/mod_time&gt;&lt;uniqueid&gt;1&lt;/uniqueid&gt;&lt;/contact&gt;</v>
      </c>
      <c r="J138" t="str">
        <f t="shared" si="67"/>
        <v>&lt;services /&gt;&lt;setup /&gt;&lt;mod_time&gt;1500000010&lt;/mod_time&gt;&lt;uniqueid&gt;1&lt;/uniqueid&gt;&lt;/contact&gt;</v>
      </c>
      <c r="K138" s="5">
        <f t="shared" si="68"/>
        <v>0</v>
      </c>
      <c r="L138" s="5">
        <f t="shared" si="69"/>
        <v>0</v>
      </c>
      <c r="M138" s="5" t="str">
        <f>CONCATENATE(+Contacts!E138)</f>
        <v/>
      </c>
      <c r="N138" t="str">
        <f t="shared" si="70"/>
        <v>&lt;number id="0" prio="1" type="home"&gt;+31 104564557&lt;/number&gt;</v>
      </c>
      <c r="O138" s="5">
        <f t="shared" si="71"/>
        <v>1</v>
      </c>
      <c r="P138" s="5">
        <f t="shared" si="72"/>
        <v>1</v>
      </c>
      <c r="Q138" s="5" t="str">
        <f>CONCATENATE(+Contacts!G138)</f>
        <v>+31 104564557</v>
      </c>
      <c r="R138" t="str">
        <f t="shared" si="73"/>
        <v/>
      </c>
      <c r="S138" s="5">
        <f t="shared" si="74"/>
        <v>1</v>
      </c>
      <c r="T138" s="5">
        <f t="shared" si="75"/>
        <v>1</v>
      </c>
      <c r="U138" s="5" t="str">
        <f>CONCATENATE(+Contacts!H138)</f>
        <v/>
      </c>
      <c r="V138" t="str">
        <f t="shared" si="76"/>
        <v/>
      </c>
      <c r="W138" s="5">
        <f t="shared" si="77"/>
        <v>1</v>
      </c>
      <c r="X138" s="5">
        <f t="shared" si="78"/>
        <v>1</v>
      </c>
      <c r="Y138" s="5" t="str">
        <f>CONCATENATE(+Contacts!F138)</f>
        <v/>
      </c>
      <c r="Z138" s="2" t="str">
        <f t="shared" si="79"/>
        <v xml:space="preserve">Geluk, Wilma   </v>
      </c>
      <c r="AA138" s="2" t="str">
        <f>CONCATENATE(+Contacts!C138)</f>
        <v>Geluk</v>
      </c>
      <c r="AB138" s="2" t="str">
        <f t="shared" si="80"/>
        <v xml:space="preserve">, </v>
      </c>
      <c r="AC138" s="2" t="str">
        <f>CONCATENATE(+Contacts!A138)</f>
        <v>Wilma</v>
      </c>
      <c r="AD138" s="3" t="str">
        <f>CONCATENATE(" ",+Contacts!B138)</f>
        <v xml:space="preserve"> </v>
      </c>
      <c r="AE138" s="2" t="str">
        <f t="shared" si="81"/>
        <v xml:space="preserve"> </v>
      </c>
      <c r="AF138" s="3" t="str">
        <f>CONCATENATE(+Contacts!D138)</f>
        <v/>
      </c>
      <c r="AG138" s="2" t="str">
        <f t="shared" si="82"/>
        <v xml:space="preserve"> </v>
      </c>
      <c r="AH138" t="str">
        <f>CONCATENATE(+Contacts!I138)</f>
        <v/>
      </c>
      <c r="AI138">
        <v>1500000010</v>
      </c>
      <c r="AJ138" s="5">
        <f t="shared" si="83"/>
        <v>1</v>
      </c>
    </row>
    <row r="139" spans="1:36" x14ac:dyDescent="0.35">
      <c r="A139" s="7" t="str">
        <f t="shared" si="58"/>
        <v>&lt;contact&gt;&lt;category&gt;0&lt;/category&gt;&lt;person&gt;&lt;realName&gt;Gend, Esther van  &lt;/realName&gt;&lt;/person&gt;</v>
      </c>
      <c r="B139" s="7" t="str">
        <f t="shared" si="59"/>
        <v>&lt;telephony nid="1"&gt;&lt;number id="0" prio="1" type="mobile"&gt;+31 628560721&lt;/number&gt;&lt;/telephony&gt;</v>
      </c>
      <c r="C139" s="7" t="str">
        <f t="shared" si="60"/>
        <v>&lt;services nid="1"&gt;&lt;email id="0" classifier="private"&gt;e.m.m.goudhaartje@hotmail.com&lt;/email&gt;&lt;/services&gt;&lt;setup /&gt;&lt;mod_time&gt;1500000010&lt;/mod_time&gt;&lt;uniqueid&gt;1&lt;/uniqueid&gt;&lt;/contact&gt;</v>
      </c>
      <c r="D139" t="str">
        <f t="shared" si="61"/>
        <v>&lt;contact&gt;&lt;category&gt;0&lt;/category&gt;&lt;person&gt;&lt;realName&gt;Gend, Esther van  &lt;/realName&gt;&lt;/person&gt;</v>
      </c>
      <c r="E139" t="str">
        <f t="shared" si="62"/>
        <v>&lt;telephony nid="1"&gt;&lt;number id="0" prio="1" type="mobile"&gt;+31 628560721&lt;/number&gt;&lt;/telephony&gt;</v>
      </c>
      <c r="F139" t="str">
        <f t="shared" si="63"/>
        <v>&lt;telephony nid="1"&gt;</v>
      </c>
      <c r="G139" t="str">
        <f t="shared" si="64"/>
        <v/>
      </c>
      <c r="H139" t="str">
        <f t="shared" si="65"/>
        <v>&lt;services nid="1"&gt;&lt;email id="0" classifier="private"&gt;e.m.m.goudhaartje@hotmail.com&lt;/email&gt;&lt;/services&gt;&lt;setup /&gt;&lt;mod_time&gt;1500000010&lt;/mod_time&gt;&lt;uniqueid&gt;1&lt;/uniqueid&gt;&lt;/contact&gt;</v>
      </c>
      <c r="I139" t="str">
        <f t="shared" si="66"/>
        <v>&lt;services /&gt;&lt;setup /&gt;&lt;mod_time&gt;1500000010&lt;/mod_time&gt;&lt;uniqueid&gt;1&lt;/uniqueid&gt;&lt;/contact&gt;</v>
      </c>
      <c r="J139" t="str">
        <f t="shared" si="67"/>
        <v>&lt;services nid="1"&gt;&lt;email id="0" classifier="private"&gt;e.m.m.goudhaartje@hotmail.com&lt;/email&gt;&lt;/services&gt;&lt;setup /&gt;&lt;mod_time&gt;1500000010&lt;/mod_time&gt;&lt;uniqueid&gt;1&lt;/uniqueid&gt;&lt;/contact&gt;</v>
      </c>
      <c r="K139" s="5">
        <f t="shared" si="68"/>
        <v>0</v>
      </c>
      <c r="L139" s="5">
        <f t="shared" si="69"/>
        <v>0</v>
      </c>
      <c r="M139" s="5" t="str">
        <f>CONCATENATE(+Contacts!E139)</f>
        <v/>
      </c>
      <c r="N139" t="str">
        <f t="shared" si="70"/>
        <v/>
      </c>
      <c r="O139" s="5">
        <f t="shared" si="71"/>
        <v>0</v>
      </c>
      <c r="P139" s="5">
        <f t="shared" si="72"/>
        <v>0</v>
      </c>
      <c r="Q139" s="5" t="str">
        <f>CONCATENATE(+Contacts!G139)</f>
        <v/>
      </c>
      <c r="R139" t="str">
        <f t="shared" si="73"/>
        <v>&lt;number id="0" prio="1" type="mobile"&gt;+31 628560721&lt;/number&gt;</v>
      </c>
      <c r="S139" s="5">
        <f t="shared" si="74"/>
        <v>1</v>
      </c>
      <c r="T139" s="5">
        <f t="shared" si="75"/>
        <v>1</v>
      </c>
      <c r="U139" s="5" t="str">
        <f>CONCATENATE(+Contacts!H139)</f>
        <v>+31 628560721</v>
      </c>
      <c r="V139" t="str">
        <f t="shared" si="76"/>
        <v/>
      </c>
      <c r="W139" s="5">
        <f t="shared" si="77"/>
        <v>1</v>
      </c>
      <c r="X139" s="5">
        <f t="shared" si="78"/>
        <v>1</v>
      </c>
      <c r="Y139" s="5" t="str">
        <f>CONCATENATE(+Contacts!F139)</f>
        <v/>
      </c>
      <c r="Z139" s="2" t="str">
        <f t="shared" si="79"/>
        <v xml:space="preserve">Gend, Esther van  </v>
      </c>
      <c r="AA139" s="2" t="str">
        <f>CONCATENATE(+Contacts!C139)</f>
        <v>Gend</v>
      </c>
      <c r="AB139" s="2" t="str">
        <f t="shared" si="80"/>
        <v xml:space="preserve">, </v>
      </c>
      <c r="AC139" s="2" t="str">
        <f>CONCATENATE(+Contacts!A139)</f>
        <v>Esther</v>
      </c>
      <c r="AD139" s="3" t="str">
        <f>CONCATENATE(" ",+Contacts!B139)</f>
        <v xml:space="preserve"> van</v>
      </c>
      <c r="AE139" s="2" t="str">
        <f t="shared" si="81"/>
        <v xml:space="preserve"> </v>
      </c>
      <c r="AF139" s="3" t="str">
        <f>CONCATENATE(+Contacts!D139)</f>
        <v/>
      </c>
      <c r="AG139" s="2" t="str">
        <f t="shared" si="82"/>
        <v xml:space="preserve"> </v>
      </c>
      <c r="AH139" t="str">
        <f>CONCATENATE(+Contacts!I139)</f>
        <v>e.m.m.goudhaartje@hotmail.com</v>
      </c>
      <c r="AI139">
        <v>1500000010</v>
      </c>
      <c r="AJ139" s="5">
        <f t="shared" si="83"/>
        <v>1</v>
      </c>
    </row>
    <row r="140" spans="1:36" x14ac:dyDescent="0.35">
      <c r="A140" s="7" t="str">
        <f t="shared" si="58"/>
        <v>&lt;contact&gt;&lt;category&gt;0&lt;/category&gt;&lt;person&gt;&lt;realName&gt;Gidding, Monique   &lt;/realName&gt;&lt;/person&gt;</v>
      </c>
      <c r="B140" s="7" t="str">
        <f t="shared" si="59"/>
        <v>&lt;telephony nid="1"&gt;&lt;number id="0" prio="1" type="home"&gt;+31 104707739&lt;/number&gt;&lt;/telephony&gt;</v>
      </c>
      <c r="C140" s="7" t="str">
        <f t="shared" si="60"/>
        <v>&lt;services nid="1"&gt;&lt;email id="0" classifier="private"&gt;m_gidding@hotmail.com&lt;/email&gt;&lt;/services&gt;&lt;setup /&gt;&lt;mod_time&gt;1500000010&lt;/mod_time&gt;&lt;uniqueid&gt;1&lt;/uniqueid&gt;&lt;/contact&gt;</v>
      </c>
      <c r="D140" t="str">
        <f t="shared" si="61"/>
        <v>&lt;contact&gt;&lt;category&gt;0&lt;/category&gt;&lt;person&gt;&lt;realName&gt;Gidding, Monique   &lt;/realName&gt;&lt;/person&gt;</v>
      </c>
      <c r="E140" t="str">
        <f t="shared" si="62"/>
        <v>&lt;telephony nid="1"&gt;&lt;number id="0" prio="1" type="home"&gt;+31 104707739&lt;/number&gt;&lt;/telephony&gt;</v>
      </c>
      <c r="F140" t="str">
        <f t="shared" si="63"/>
        <v>&lt;telephony nid="1"&gt;</v>
      </c>
      <c r="G140" t="str">
        <f t="shared" si="64"/>
        <v/>
      </c>
      <c r="H140" t="str">
        <f t="shared" si="65"/>
        <v>&lt;services nid="1"&gt;&lt;email id="0" classifier="private"&gt;m_gidding@hotmail.com&lt;/email&gt;&lt;/services&gt;&lt;setup /&gt;&lt;mod_time&gt;1500000010&lt;/mod_time&gt;&lt;uniqueid&gt;1&lt;/uniqueid&gt;&lt;/contact&gt;</v>
      </c>
      <c r="I140" t="str">
        <f t="shared" si="66"/>
        <v>&lt;services /&gt;&lt;setup /&gt;&lt;mod_time&gt;1500000010&lt;/mod_time&gt;&lt;uniqueid&gt;1&lt;/uniqueid&gt;&lt;/contact&gt;</v>
      </c>
      <c r="J140" t="str">
        <f t="shared" si="67"/>
        <v>&lt;services nid="1"&gt;&lt;email id="0" classifier="private"&gt;m_gidding@hotmail.com&lt;/email&gt;&lt;/services&gt;&lt;setup /&gt;&lt;mod_time&gt;1500000010&lt;/mod_time&gt;&lt;uniqueid&gt;1&lt;/uniqueid&gt;&lt;/contact&gt;</v>
      </c>
      <c r="K140" s="5">
        <f t="shared" si="68"/>
        <v>0</v>
      </c>
      <c r="L140" s="5">
        <f t="shared" si="69"/>
        <v>0</v>
      </c>
      <c r="M140" s="5" t="str">
        <f>CONCATENATE(+Contacts!E140)</f>
        <v/>
      </c>
      <c r="N140" t="str">
        <f t="shared" si="70"/>
        <v>&lt;number id="0" prio="1" type="home"&gt;+31 104707739&lt;/number&gt;</v>
      </c>
      <c r="O140" s="5">
        <f t="shared" si="71"/>
        <v>1</v>
      </c>
      <c r="P140" s="5">
        <f t="shared" si="72"/>
        <v>1</v>
      </c>
      <c r="Q140" s="5" t="str">
        <f>CONCATENATE(+Contacts!G140)</f>
        <v>+31 104707739</v>
      </c>
      <c r="R140" t="str">
        <f t="shared" si="73"/>
        <v/>
      </c>
      <c r="S140" s="5">
        <f t="shared" si="74"/>
        <v>1</v>
      </c>
      <c r="T140" s="5">
        <f t="shared" si="75"/>
        <v>1</v>
      </c>
      <c r="U140" s="5" t="str">
        <f>CONCATENATE(+Contacts!H140)</f>
        <v/>
      </c>
      <c r="V140" t="str">
        <f t="shared" si="76"/>
        <v/>
      </c>
      <c r="W140" s="5">
        <f t="shared" si="77"/>
        <v>1</v>
      </c>
      <c r="X140" s="5">
        <f t="shared" si="78"/>
        <v>1</v>
      </c>
      <c r="Y140" s="5" t="str">
        <f>CONCATENATE(+Contacts!F140)</f>
        <v/>
      </c>
      <c r="Z140" s="2" t="str">
        <f t="shared" si="79"/>
        <v xml:space="preserve">Gidding, Monique   </v>
      </c>
      <c r="AA140" s="2" t="str">
        <f>CONCATENATE(+Contacts!C140)</f>
        <v>Gidding</v>
      </c>
      <c r="AB140" s="2" t="str">
        <f t="shared" si="80"/>
        <v xml:space="preserve">, </v>
      </c>
      <c r="AC140" s="2" t="str">
        <f>CONCATENATE(+Contacts!A140)</f>
        <v>Monique</v>
      </c>
      <c r="AD140" s="3" t="str">
        <f>CONCATENATE(" ",+Contacts!B140)</f>
        <v xml:space="preserve"> </v>
      </c>
      <c r="AE140" s="2" t="str">
        <f t="shared" si="81"/>
        <v xml:space="preserve"> </v>
      </c>
      <c r="AF140" s="3" t="str">
        <f>CONCATENATE(+Contacts!D140)</f>
        <v/>
      </c>
      <c r="AG140" s="2" t="str">
        <f t="shared" si="82"/>
        <v xml:space="preserve"> </v>
      </c>
      <c r="AH140" t="str">
        <f>CONCATENATE(+Contacts!I140)</f>
        <v>m_gidding@hotmail.com</v>
      </c>
      <c r="AI140">
        <v>1500000010</v>
      </c>
      <c r="AJ140" s="5">
        <f t="shared" si="83"/>
        <v>1</v>
      </c>
    </row>
    <row r="141" spans="1:36" x14ac:dyDescent="0.35">
      <c r="A141" s="7" t="str">
        <f t="shared" si="58"/>
        <v/>
      </c>
      <c r="B141" s="7" t="str">
        <f t="shared" si="59"/>
        <v/>
      </c>
      <c r="C141" s="7" t="str">
        <f t="shared" si="60"/>
        <v/>
      </c>
      <c r="D141" t="str">
        <f t="shared" si="61"/>
        <v>&lt;contact&gt;&lt;category&gt;0&lt;/category&gt;&lt;person&gt;&lt;realName&gt;Ginkel, Dick van  &lt;/realName&gt;&lt;/person&gt;</v>
      </c>
      <c r="E141" t="str">
        <f t="shared" si="62"/>
        <v>&lt;telephony nid="0"&gt;&lt;/telephony&gt;</v>
      </c>
      <c r="F141" t="str">
        <f t="shared" si="63"/>
        <v>&lt;telephony nid="0"&gt;</v>
      </c>
      <c r="G141" t="str">
        <f t="shared" si="64"/>
        <v/>
      </c>
      <c r="H141" t="str">
        <f t="shared" si="65"/>
        <v>&lt;services nid="1"&gt;&lt;email id="0" classifier="private"&gt;dick_ginkel@yahoo.co.uk&lt;/email&gt;&lt;/services&gt;&lt;setup /&gt;&lt;mod_time&gt;1500000010&lt;/mod_time&gt;&lt;uniqueid&gt;0&lt;/uniqueid&gt;&lt;/contact&gt;</v>
      </c>
      <c r="I141" t="str">
        <f t="shared" si="66"/>
        <v>&lt;services /&gt;&lt;setup /&gt;&lt;mod_time&gt;1500000010&lt;/mod_time&gt;&lt;uniqueid&gt;0&lt;/uniqueid&gt;&lt;/contact&gt;</v>
      </c>
      <c r="J141" t="str">
        <f t="shared" si="67"/>
        <v>&lt;services nid="1"&gt;&lt;email id="0" classifier="private"&gt;dick_ginkel@yahoo.co.uk&lt;/email&gt;&lt;/services&gt;&lt;setup /&gt;&lt;mod_time&gt;1500000010&lt;/mod_time&gt;&lt;uniqueid&gt;0&lt;/uniqueid&gt;&lt;/contact&gt;</v>
      </c>
      <c r="K141" s="5">
        <f t="shared" si="68"/>
        <v>0</v>
      </c>
      <c r="L141" s="5">
        <f t="shared" si="69"/>
        <v>0</v>
      </c>
      <c r="M141" s="5" t="str">
        <f>CONCATENATE(+Contacts!E141)</f>
        <v/>
      </c>
      <c r="N141" t="str">
        <f t="shared" si="70"/>
        <v/>
      </c>
      <c r="O141" s="5">
        <f t="shared" si="71"/>
        <v>0</v>
      </c>
      <c r="P141" s="5">
        <f t="shared" si="72"/>
        <v>0</v>
      </c>
      <c r="Q141" s="5" t="str">
        <f>CONCATENATE(+Contacts!G141)</f>
        <v/>
      </c>
      <c r="R141" t="str">
        <f t="shared" si="73"/>
        <v/>
      </c>
      <c r="S141" s="5">
        <f t="shared" si="74"/>
        <v>0</v>
      </c>
      <c r="T141" s="5">
        <f t="shared" si="75"/>
        <v>0</v>
      </c>
      <c r="U141" s="5" t="str">
        <f>CONCATENATE(+Contacts!H141)</f>
        <v/>
      </c>
      <c r="V141" t="str">
        <f t="shared" si="76"/>
        <v/>
      </c>
      <c r="W141" s="5">
        <f t="shared" si="77"/>
        <v>0</v>
      </c>
      <c r="X141" s="5">
        <f t="shared" si="78"/>
        <v>0</v>
      </c>
      <c r="Y141" s="5" t="str">
        <f>CONCATENATE(+Contacts!F141)</f>
        <v/>
      </c>
      <c r="Z141" s="2" t="str">
        <f t="shared" si="79"/>
        <v xml:space="preserve">Ginkel, Dick van  </v>
      </c>
      <c r="AA141" s="2" t="str">
        <f>CONCATENATE(+Contacts!C141)</f>
        <v>Ginkel</v>
      </c>
      <c r="AB141" s="2" t="str">
        <f t="shared" si="80"/>
        <v xml:space="preserve">, </v>
      </c>
      <c r="AC141" s="2" t="str">
        <f>CONCATENATE(+Contacts!A141)</f>
        <v>Dick</v>
      </c>
      <c r="AD141" s="3" t="str">
        <f>CONCATENATE(" ",+Contacts!B141)</f>
        <v xml:space="preserve"> van</v>
      </c>
      <c r="AE141" s="2" t="str">
        <f t="shared" si="81"/>
        <v xml:space="preserve"> </v>
      </c>
      <c r="AF141" s="3" t="str">
        <f>CONCATENATE(+Contacts!D141)</f>
        <v/>
      </c>
      <c r="AG141" s="2" t="str">
        <f t="shared" si="82"/>
        <v xml:space="preserve"> </v>
      </c>
      <c r="AH141" t="str">
        <f>CONCATENATE(+Contacts!I141)</f>
        <v>dick_ginkel@yahoo.co.uk</v>
      </c>
      <c r="AI141">
        <v>1500000010</v>
      </c>
      <c r="AJ141" s="5">
        <f t="shared" si="83"/>
        <v>0</v>
      </c>
    </row>
    <row r="142" spans="1:36" x14ac:dyDescent="0.35">
      <c r="A142" s="7" t="str">
        <f t="shared" si="58"/>
        <v/>
      </c>
      <c r="B142" s="7" t="str">
        <f t="shared" si="59"/>
        <v/>
      </c>
      <c r="C142" s="7" t="str">
        <f t="shared" si="60"/>
        <v/>
      </c>
      <c r="D142" t="str">
        <f t="shared" si="61"/>
        <v>&lt;contact&gt;&lt;category&gt;0&lt;/category&gt;&lt;person&gt;&lt;realName&gt;Gobee, Remko   &lt;/realName&gt;&lt;/person&gt;</v>
      </c>
      <c r="E142" t="str">
        <f t="shared" si="62"/>
        <v>&lt;telephony nid="0"&gt;&lt;/telephony&gt;</v>
      </c>
      <c r="F142" t="str">
        <f t="shared" si="63"/>
        <v>&lt;telephony nid="0"&gt;</v>
      </c>
      <c r="G142" t="str">
        <f t="shared" si="64"/>
        <v/>
      </c>
      <c r="H142" t="str">
        <f t="shared" si="65"/>
        <v>&lt;services nid="1"&gt;&lt;email id="0" classifier="private"&gt;Remko@Gobee.nl&lt;/email&gt;&lt;/services&gt;&lt;setup /&gt;&lt;mod_time&gt;1500000010&lt;/mod_time&gt;&lt;uniqueid&gt;0&lt;/uniqueid&gt;&lt;/contact&gt;</v>
      </c>
      <c r="I142" t="str">
        <f t="shared" si="66"/>
        <v>&lt;services /&gt;&lt;setup /&gt;&lt;mod_time&gt;1500000010&lt;/mod_time&gt;&lt;uniqueid&gt;0&lt;/uniqueid&gt;&lt;/contact&gt;</v>
      </c>
      <c r="J142" t="str">
        <f t="shared" si="67"/>
        <v>&lt;services nid="1"&gt;&lt;email id="0" classifier="private"&gt;Remko@Gobee.nl&lt;/email&gt;&lt;/services&gt;&lt;setup /&gt;&lt;mod_time&gt;1500000010&lt;/mod_time&gt;&lt;uniqueid&gt;0&lt;/uniqueid&gt;&lt;/contact&gt;</v>
      </c>
      <c r="K142" s="5">
        <f t="shared" si="68"/>
        <v>0</v>
      </c>
      <c r="L142" s="5">
        <f t="shared" si="69"/>
        <v>0</v>
      </c>
      <c r="M142" s="5" t="str">
        <f>CONCATENATE(+Contacts!E142)</f>
        <v/>
      </c>
      <c r="N142" t="str">
        <f t="shared" si="70"/>
        <v/>
      </c>
      <c r="O142" s="5">
        <f t="shared" si="71"/>
        <v>0</v>
      </c>
      <c r="P142" s="5">
        <f t="shared" si="72"/>
        <v>0</v>
      </c>
      <c r="Q142" s="5" t="str">
        <f>CONCATENATE(+Contacts!G142)</f>
        <v/>
      </c>
      <c r="R142" t="str">
        <f t="shared" si="73"/>
        <v/>
      </c>
      <c r="S142" s="5">
        <f t="shared" si="74"/>
        <v>0</v>
      </c>
      <c r="T142" s="5">
        <f t="shared" si="75"/>
        <v>0</v>
      </c>
      <c r="U142" s="5" t="str">
        <f>CONCATENATE(+Contacts!H142)</f>
        <v/>
      </c>
      <c r="V142" t="str">
        <f t="shared" si="76"/>
        <v/>
      </c>
      <c r="W142" s="5">
        <f t="shared" si="77"/>
        <v>0</v>
      </c>
      <c r="X142" s="5">
        <f t="shared" si="78"/>
        <v>0</v>
      </c>
      <c r="Y142" s="5" t="str">
        <f>CONCATENATE(+Contacts!F142)</f>
        <v/>
      </c>
      <c r="Z142" s="2" t="str">
        <f t="shared" si="79"/>
        <v xml:space="preserve">Gobee, Remko   </v>
      </c>
      <c r="AA142" s="2" t="str">
        <f>CONCATENATE(+Contacts!C142)</f>
        <v>Gobee</v>
      </c>
      <c r="AB142" s="2" t="str">
        <f t="shared" si="80"/>
        <v xml:space="preserve">, </v>
      </c>
      <c r="AC142" s="2" t="str">
        <f>CONCATENATE(+Contacts!A142)</f>
        <v>Remko</v>
      </c>
      <c r="AD142" s="3" t="str">
        <f>CONCATENATE(" ",+Contacts!B142)</f>
        <v xml:space="preserve"> </v>
      </c>
      <c r="AE142" s="2" t="str">
        <f t="shared" si="81"/>
        <v xml:space="preserve"> </v>
      </c>
      <c r="AF142" s="3" t="str">
        <f>CONCATENATE(+Contacts!D142)</f>
        <v/>
      </c>
      <c r="AG142" s="2" t="str">
        <f t="shared" si="82"/>
        <v xml:space="preserve"> </v>
      </c>
      <c r="AH142" t="str">
        <f>CONCATENATE(+Contacts!I142)</f>
        <v>Remko@Gobee.nl</v>
      </c>
      <c r="AI142">
        <v>1500000010</v>
      </c>
      <c r="AJ142" s="5">
        <f t="shared" si="83"/>
        <v>0</v>
      </c>
    </row>
    <row r="143" spans="1:36" x14ac:dyDescent="0.35">
      <c r="A143" s="7" t="str">
        <f t="shared" si="58"/>
        <v>&lt;contact&gt;&lt;category&gt;0&lt;/category&gt;&lt;person&gt;&lt;realName&gt;Groenendijk-Van Olst, Piet &amp;amp; Marion   &lt;/realName&gt;&lt;/person&gt;</v>
      </c>
      <c r="B143" s="7" t="str">
        <f t="shared" si="59"/>
        <v>&lt;telephony nid="2"&gt;&lt;number id="0" prio="1" type="home"&gt;31713317047&lt;/number&gt;&lt;number id="1" prio="0" type="mobile"&gt;31620618950&lt;/number&gt;&lt;/telephony&gt;</v>
      </c>
      <c r="C143" s="7" t="str">
        <f t="shared" si="60"/>
        <v>&lt;services nid="1"&gt;&lt;email id="0" classifier="private"&gt;piet_groenendijk@ziggo.nl&lt;/email&gt;&lt;/services&gt;&lt;setup /&gt;&lt;mod_time&gt;1500000010&lt;/mod_time&gt;&lt;uniqueid&gt;1&lt;/uniqueid&gt;&lt;/contact&gt;</v>
      </c>
      <c r="D143" t="str">
        <f t="shared" si="61"/>
        <v>&lt;contact&gt;&lt;category&gt;0&lt;/category&gt;&lt;person&gt;&lt;realName&gt;Groenendijk-Van Olst, Piet &amp;amp; Marion   &lt;/realName&gt;&lt;/person&gt;</v>
      </c>
      <c r="E143" t="str">
        <f t="shared" si="62"/>
        <v>&lt;telephony nid="2"&gt;&lt;number id="0" prio="1" type="home"&gt;31713317047&lt;/number&gt;&lt;number id="1" prio="0" type="mobile"&gt;31620618950&lt;/number&gt;&lt;/telephony&gt;</v>
      </c>
      <c r="F143" t="str">
        <f t="shared" si="63"/>
        <v>&lt;telephony nid="2"&gt;</v>
      </c>
      <c r="G143" t="str">
        <f t="shared" si="64"/>
        <v/>
      </c>
      <c r="H143" t="str">
        <f t="shared" si="65"/>
        <v>&lt;services nid="1"&gt;&lt;email id="0" classifier="private"&gt;piet_groenendijk@ziggo.nl&lt;/email&gt;&lt;/services&gt;&lt;setup /&gt;&lt;mod_time&gt;1500000010&lt;/mod_time&gt;&lt;uniqueid&gt;1&lt;/uniqueid&gt;&lt;/contact&gt;</v>
      </c>
      <c r="I143" t="str">
        <f t="shared" si="66"/>
        <v>&lt;services /&gt;&lt;setup /&gt;&lt;mod_time&gt;1500000010&lt;/mod_time&gt;&lt;uniqueid&gt;1&lt;/uniqueid&gt;&lt;/contact&gt;</v>
      </c>
      <c r="J143" t="str">
        <f t="shared" si="67"/>
        <v>&lt;services nid="1"&gt;&lt;email id="0" classifier="private"&gt;piet_groenendijk@ziggo.nl&lt;/email&gt;&lt;/services&gt;&lt;setup /&gt;&lt;mod_time&gt;1500000010&lt;/mod_time&gt;&lt;uniqueid&gt;1&lt;/uniqueid&gt;&lt;/contact&gt;</v>
      </c>
      <c r="K143" s="5">
        <f t="shared" si="68"/>
        <v>0</v>
      </c>
      <c r="L143" s="5">
        <f t="shared" si="69"/>
        <v>0</v>
      </c>
      <c r="M143" s="5" t="str">
        <f>CONCATENATE(+Contacts!E143)</f>
        <v/>
      </c>
      <c r="N143" t="str">
        <f t="shared" si="70"/>
        <v>&lt;number id="0" prio="1" type="home"&gt;31713317047&lt;/number&gt;</v>
      </c>
      <c r="O143" s="5">
        <f t="shared" si="71"/>
        <v>1</v>
      </c>
      <c r="P143" s="5">
        <f t="shared" si="72"/>
        <v>1</v>
      </c>
      <c r="Q143" s="5" t="str">
        <f>CONCATENATE(+Contacts!G143)</f>
        <v>31713317047</v>
      </c>
      <c r="R143" t="str">
        <f t="shared" si="73"/>
        <v>&lt;number id="1" prio="0" type="mobile"&gt;31620618950&lt;/number&gt;</v>
      </c>
      <c r="S143" s="5">
        <f t="shared" si="74"/>
        <v>2</v>
      </c>
      <c r="T143" s="5">
        <f t="shared" si="75"/>
        <v>0</v>
      </c>
      <c r="U143" s="5" t="str">
        <f>CONCATENATE(+Contacts!H143)</f>
        <v>31620618950</v>
      </c>
      <c r="V143" t="str">
        <f t="shared" si="76"/>
        <v/>
      </c>
      <c r="W143" s="5">
        <f t="shared" si="77"/>
        <v>2</v>
      </c>
      <c r="X143" s="5">
        <f t="shared" si="78"/>
        <v>0</v>
      </c>
      <c r="Y143" s="5" t="str">
        <f>CONCATENATE(+Contacts!F143)</f>
        <v/>
      </c>
      <c r="Z143" s="2" t="str">
        <f t="shared" si="79"/>
        <v xml:space="preserve">Groenendijk-Van Olst, Piet &amp;amp; Marion   </v>
      </c>
      <c r="AA143" s="2" t="str">
        <f>CONCATENATE(+Contacts!C143)</f>
        <v>Groenendijk-Van Olst</v>
      </c>
      <c r="AB143" s="2" t="str">
        <f t="shared" si="80"/>
        <v xml:space="preserve">, </v>
      </c>
      <c r="AC143" s="2" t="str">
        <f>CONCATENATE(+Contacts!A143)</f>
        <v>Piet &amp;amp; Marion</v>
      </c>
      <c r="AD143" s="3" t="str">
        <f>CONCATENATE(" ",+Contacts!B143)</f>
        <v xml:space="preserve"> </v>
      </c>
      <c r="AE143" s="2" t="str">
        <f t="shared" si="81"/>
        <v xml:space="preserve"> </v>
      </c>
      <c r="AF143" s="3" t="str">
        <f>CONCATENATE(+Contacts!D143)</f>
        <v/>
      </c>
      <c r="AG143" s="2" t="str">
        <f t="shared" si="82"/>
        <v xml:space="preserve"> </v>
      </c>
      <c r="AH143" t="str">
        <f>CONCATENATE(+Contacts!I143)</f>
        <v>piet_groenendijk@ziggo.nl</v>
      </c>
      <c r="AI143">
        <v>1500000010</v>
      </c>
      <c r="AJ143" s="5">
        <f t="shared" si="83"/>
        <v>1</v>
      </c>
    </row>
    <row r="144" spans="1:36" x14ac:dyDescent="0.35">
      <c r="A144" s="7" t="str">
        <f t="shared" si="58"/>
        <v/>
      </c>
      <c r="B144" s="7" t="str">
        <f t="shared" si="59"/>
        <v/>
      </c>
      <c r="C144" s="7" t="str">
        <f t="shared" si="60"/>
        <v/>
      </c>
      <c r="D144" t="str">
        <f t="shared" si="61"/>
        <v>&lt;contact&gt;&lt;category&gt;0&lt;/category&gt;&lt;person&gt;&lt;realName&gt;Groenendijk, Katara   &lt;/realName&gt;&lt;/person&gt;</v>
      </c>
      <c r="E144" t="str">
        <f t="shared" si="62"/>
        <v>&lt;telephony nid="0"&gt;&lt;/telephony&gt;</v>
      </c>
      <c r="F144" t="str">
        <f t="shared" si="63"/>
        <v>&lt;telephony nid="0"&gt;</v>
      </c>
      <c r="G144" t="str">
        <f t="shared" si="64"/>
        <v/>
      </c>
      <c r="H144" t="str">
        <f t="shared" si="65"/>
        <v>&lt;services nid="1"&gt;&lt;email id="0" classifier="private"&gt;&lt;/email&gt;&lt;/services&gt;&lt;setup /&gt;&lt;mod_time&gt;1500000010&lt;/mod_time&gt;&lt;uniqueid&gt;0&lt;/uniqueid&gt;&lt;/contact&gt;</v>
      </c>
      <c r="I144" t="str">
        <f t="shared" si="66"/>
        <v>&lt;services /&gt;&lt;setup /&gt;&lt;mod_time&gt;1500000010&lt;/mod_time&gt;&lt;uniqueid&gt;0&lt;/uniqueid&gt;&lt;/contact&gt;</v>
      </c>
      <c r="J144" t="str">
        <f t="shared" si="67"/>
        <v>&lt;services /&gt;&lt;setup /&gt;&lt;mod_time&gt;1500000010&lt;/mod_time&gt;&lt;uniqueid&gt;0&lt;/uniqueid&gt;&lt;/contact&gt;</v>
      </c>
      <c r="K144" s="5">
        <f t="shared" si="68"/>
        <v>0</v>
      </c>
      <c r="L144" s="5">
        <f t="shared" si="69"/>
        <v>0</v>
      </c>
      <c r="M144" s="5" t="str">
        <f>CONCATENATE(+Contacts!E144)</f>
        <v/>
      </c>
      <c r="N144" t="str">
        <f t="shared" si="70"/>
        <v/>
      </c>
      <c r="O144" s="5">
        <f t="shared" si="71"/>
        <v>0</v>
      </c>
      <c r="P144" s="5">
        <f t="shared" si="72"/>
        <v>0</v>
      </c>
      <c r="Q144" s="5" t="str">
        <f>CONCATENATE(+Contacts!G144)</f>
        <v/>
      </c>
      <c r="R144" t="str">
        <f t="shared" si="73"/>
        <v/>
      </c>
      <c r="S144" s="5">
        <f t="shared" si="74"/>
        <v>0</v>
      </c>
      <c r="T144" s="5">
        <f t="shared" si="75"/>
        <v>0</v>
      </c>
      <c r="U144" s="5" t="str">
        <f>CONCATENATE(+Contacts!H144)</f>
        <v/>
      </c>
      <c r="V144" t="str">
        <f t="shared" si="76"/>
        <v/>
      </c>
      <c r="W144" s="5">
        <f t="shared" si="77"/>
        <v>0</v>
      </c>
      <c r="X144" s="5">
        <f t="shared" si="78"/>
        <v>0</v>
      </c>
      <c r="Y144" s="5" t="str">
        <f>CONCATENATE(+Contacts!F144)</f>
        <v/>
      </c>
      <c r="Z144" s="2" t="str">
        <f t="shared" si="79"/>
        <v xml:space="preserve">Groenendijk, Katara   </v>
      </c>
      <c r="AA144" s="2" t="str">
        <f>CONCATENATE(+Contacts!C144)</f>
        <v>Groenendijk</v>
      </c>
      <c r="AB144" s="2" t="str">
        <f t="shared" si="80"/>
        <v xml:space="preserve">, </v>
      </c>
      <c r="AC144" s="2" t="str">
        <f>CONCATENATE(+Contacts!A144)</f>
        <v>Katara</v>
      </c>
      <c r="AD144" s="3" t="str">
        <f>CONCATENATE(" ",+Contacts!B144)</f>
        <v xml:space="preserve"> </v>
      </c>
      <c r="AE144" s="2" t="str">
        <f t="shared" si="81"/>
        <v xml:space="preserve"> </v>
      </c>
      <c r="AF144" s="3" t="str">
        <f>CONCATENATE(+Contacts!D144)</f>
        <v/>
      </c>
      <c r="AG144" s="2" t="str">
        <f t="shared" si="82"/>
        <v xml:space="preserve"> </v>
      </c>
      <c r="AH144" t="str">
        <f>CONCATENATE(+Contacts!I144)</f>
        <v/>
      </c>
      <c r="AI144">
        <v>1500000010</v>
      </c>
      <c r="AJ144" s="5">
        <f t="shared" si="83"/>
        <v>0</v>
      </c>
    </row>
    <row r="145" spans="1:36" x14ac:dyDescent="0.35">
      <c r="A145" s="7" t="str">
        <f t="shared" si="58"/>
        <v/>
      </c>
      <c r="B145" s="7" t="str">
        <f t="shared" si="59"/>
        <v/>
      </c>
      <c r="C145" s="7" t="str">
        <f t="shared" si="60"/>
        <v/>
      </c>
      <c r="D145" t="str">
        <f t="shared" si="61"/>
        <v>&lt;contact&gt;&lt;category&gt;0&lt;/category&gt;&lt;person&gt;&lt;realName&gt;Groenendijk, Kelly   &lt;/realName&gt;&lt;/person&gt;</v>
      </c>
      <c r="E145" t="str">
        <f t="shared" si="62"/>
        <v>&lt;telephony nid="0"&gt;&lt;/telephony&gt;</v>
      </c>
      <c r="F145" t="str">
        <f t="shared" si="63"/>
        <v>&lt;telephony nid="0"&gt;</v>
      </c>
      <c r="G145" t="str">
        <f t="shared" si="64"/>
        <v/>
      </c>
      <c r="H145" t="str">
        <f t="shared" si="65"/>
        <v>&lt;services nid="1"&gt;&lt;email id="0" classifier="private"&gt;&lt;/email&gt;&lt;/services&gt;&lt;setup /&gt;&lt;mod_time&gt;1500000010&lt;/mod_time&gt;&lt;uniqueid&gt;0&lt;/uniqueid&gt;&lt;/contact&gt;</v>
      </c>
      <c r="I145" t="str">
        <f t="shared" si="66"/>
        <v>&lt;services /&gt;&lt;setup /&gt;&lt;mod_time&gt;1500000010&lt;/mod_time&gt;&lt;uniqueid&gt;0&lt;/uniqueid&gt;&lt;/contact&gt;</v>
      </c>
      <c r="J145" t="str">
        <f t="shared" si="67"/>
        <v>&lt;services /&gt;&lt;setup /&gt;&lt;mod_time&gt;1500000010&lt;/mod_time&gt;&lt;uniqueid&gt;0&lt;/uniqueid&gt;&lt;/contact&gt;</v>
      </c>
      <c r="K145" s="5">
        <f t="shared" si="68"/>
        <v>0</v>
      </c>
      <c r="L145" s="5">
        <f t="shared" si="69"/>
        <v>0</v>
      </c>
      <c r="M145" s="5" t="str">
        <f>CONCATENATE(+Contacts!E145)</f>
        <v/>
      </c>
      <c r="N145" t="str">
        <f t="shared" si="70"/>
        <v/>
      </c>
      <c r="O145" s="5">
        <f t="shared" si="71"/>
        <v>0</v>
      </c>
      <c r="P145" s="5">
        <f t="shared" si="72"/>
        <v>0</v>
      </c>
      <c r="Q145" s="5" t="str">
        <f>CONCATENATE(+Contacts!G145)</f>
        <v/>
      </c>
      <c r="R145" t="str">
        <f t="shared" si="73"/>
        <v/>
      </c>
      <c r="S145" s="5">
        <f t="shared" si="74"/>
        <v>0</v>
      </c>
      <c r="T145" s="5">
        <f t="shared" si="75"/>
        <v>0</v>
      </c>
      <c r="U145" s="5" t="str">
        <f>CONCATENATE(+Contacts!H145)</f>
        <v/>
      </c>
      <c r="V145" t="str">
        <f t="shared" si="76"/>
        <v/>
      </c>
      <c r="W145" s="5">
        <f t="shared" si="77"/>
        <v>0</v>
      </c>
      <c r="X145" s="5">
        <f t="shared" si="78"/>
        <v>0</v>
      </c>
      <c r="Y145" s="5" t="str">
        <f>CONCATENATE(+Contacts!F145)</f>
        <v/>
      </c>
      <c r="Z145" s="2" t="str">
        <f t="shared" si="79"/>
        <v xml:space="preserve">Groenendijk, Kelly   </v>
      </c>
      <c r="AA145" s="2" t="str">
        <f>CONCATENATE(+Contacts!C145)</f>
        <v>Groenendijk</v>
      </c>
      <c r="AB145" s="2" t="str">
        <f t="shared" si="80"/>
        <v xml:space="preserve">, </v>
      </c>
      <c r="AC145" s="2" t="str">
        <f>CONCATENATE(+Contacts!A145)</f>
        <v>Kelly</v>
      </c>
      <c r="AD145" s="3" t="str">
        <f>CONCATENATE(" ",+Contacts!B145)</f>
        <v xml:space="preserve"> </v>
      </c>
      <c r="AE145" s="2" t="str">
        <f t="shared" si="81"/>
        <v xml:space="preserve"> </v>
      </c>
      <c r="AF145" s="3" t="str">
        <f>CONCATENATE(+Contacts!D145)</f>
        <v/>
      </c>
      <c r="AG145" s="2" t="str">
        <f t="shared" si="82"/>
        <v xml:space="preserve"> </v>
      </c>
      <c r="AH145" t="str">
        <f>CONCATENATE(+Contacts!I145)</f>
        <v/>
      </c>
      <c r="AI145">
        <v>1500000010</v>
      </c>
      <c r="AJ145" s="5">
        <f t="shared" si="83"/>
        <v>0</v>
      </c>
    </row>
    <row r="146" spans="1:36" x14ac:dyDescent="0.35">
      <c r="A146" s="7" t="str">
        <f t="shared" si="58"/>
        <v>&lt;contact&gt;&lt;category&gt;0&lt;/category&gt;&lt;person&gt;&lt;realName&gt;Groenendijk, Maaikel   &lt;/realName&gt;&lt;/person&gt;</v>
      </c>
      <c r="B146" s="7" t="str">
        <f t="shared" si="59"/>
        <v>&lt;telephony nid="1"&gt;&lt;number id="0" prio="1" type="mobile"&gt;+31 681524097&lt;/number&gt;&lt;/telephony&gt;</v>
      </c>
      <c r="C146" s="7" t="str">
        <f t="shared" si="60"/>
        <v>&lt;services nid="1"&gt;&lt;email id="0" classifier="private"&gt;mpjgroenendijk@gmail.com&lt;/email&gt;&lt;/services&gt;&lt;setup /&gt;&lt;mod_time&gt;1500000010&lt;/mod_time&gt;&lt;uniqueid&gt;1&lt;/uniqueid&gt;&lt;/contact&gt;</v>
      </c>
      <c r="D146" t="str">
        <f t="shared" si="61"/>
        <v>&lt;contact&gt;&lt;category&gt;0&lt;/category&gt;&lt;person&gt;&lt;realName&gt;Groenendijk, Maaikel   &lt;/realName&gt;&lt;/person&gt;</v>
      </c>
      <c r="E146" t="str">
        <f t="shared" si="62"/>
        <v>&lt;telephony nid="1"&gt;&lt;number id="0" prio="1" type="mobile"&gt;+31 681524097&lt;/number&gt;&lt;/telephony&gt;</v>
      </c>
      <c r="F146" t="str">
        <f t="shared" si="63"/>
        <v>&lt;telephony nid="1"&gt;</v>
      </c>
      <c r="G146" t="str">
        <f t="shared" si="64"/>
        <v/>
      </c>
      <c r="H146" t="str">
        <f t="shared" si="65"/>
        <v>&lt;services nid="1"&gt;&lt;email id="0" classifier="private"&gt;mpjgroenendijk@gmail.com&lt;/email&gt;&lt;/services&gt;&lt;setup /&gt;&lt;mod_time&gt;1500000010&lt;/mod_time&gt;&lt;uniqueid&gt;1&lt;/uniqueid&gt;&lt;/contact&gt;</v>
      </c>
      <c r="I146" t="str">
        <f t="shared" si="66"/>
        <v>&lt;services /&gt;&lt;setup /&gt;&lt;mod_time&gt;1500000010&lt;/mod_time&gt;&lt;uniqueid&gt;1&lt;/uniqueid&gt;&lt;/contact&gt;</v>
      </c>
      <c r="J146" t="str">
        <f t="shared" si="67"/>
        <v>&lt;services nid="1"&gt;&lt;email id="0" classifier="private"&gt;mpjgroenendijk@gmail.com&lt;/email&gt;&lt;/services&gt;&lt;setup /&gt;&lt;mod_time&gt;1500000010&lt;/mod_time&gt;&lt;uniqueid&gt;1&lt;/uniqueid&gt;&lt;/contact&gt;</v>
      </c>
      <c r="K146" s="5">
        <f t="shared" si="68"/>
        <v>0</v>
      </c>
      <c r="L146" s="5">
        <f t="shared" si="69"/>
        <v>0</v>
      </c>
      <c r="M146" s="5" t="str">
        <f>CONCATENATE(+Contacts!E146)</f>
        <v/>
      </c>
      <c r="N146" t="str">
        <f t="shared" si="70"/>
        <v/>
      </c>
      <c r="O146" s="5">
        <f t="shared" si="71"/>
        <v>0</v>
      </c>
      <c r="P146" s="5">
        <f t="shared" si="72"/>
        <v>0</v>
      </c>
      <c r="Q146" s="5" t="str">
        <f>CONCATENATE(+Contacts!G146)</f>
        <v/>
      </c>
      <c r="R146" t="str">
        <f t="shared" si="73"/>
        <v>&lt;number id="0" prio="1" type="mobile"&gt;+31 681524097&lt;/number&gt;</v>
      </c>
      <c r="S146" s="5">
        <f t="shared" si="74"/>
        <v>1</v>
      </c>
      <c r="T146" s="5">
        <f t="shared" si="75"/>
        <v>1</v>
      </c>
      <c r="U146" s="5" t="str">
        <f>CONCATENATE(+Contacts!H146)</f>
        <v>+31 681524097</v>
      </c>
      <c r="V146" t="str">
        <f t="shared" si="76"/>
        <v/>
      </c>
      <c r="W146" s="5">
        <f t="shared" si="77"/>
        <v>1</v>
      </c>
      <c r="X146" s="5">
        <f t="shared" si="78"/>
        <v>1</v>
      </c>
      <c r="Y146" s="5" t="str">
        <f>CONCATENATE(+Contacts!F146)</f>
        <v/>
      </c>
      <c r="Z146" s="2" t="str">
        <f t="shared" si="79"/>
        <v xml:space="preserve">Groenendijk, Maaikel   </v>
      </c>
      <c r="AA146" s="2" t="str">
        <f>CONCATENATE(+Contacts!C146)</f>
        <v>Groenendijk</v>
      </c>
      <c r="AB146" s="2" t="str">
        <f t="shared" si="80"/>
        <v xml:space="preserve">, </v>
      </c>
      <c r="AC146" s="2" t="str">
        <f>CONCATENATE(+Contacts!A146)</f>
        <v>Maaikel</v>
      </c>
      <c r="AD146" s="3" t="str">
        <f>CONCATENATE(" ",+Contacts!B146)</f>
        <v xml:space="preserve"> </v>
      </c>
      <c r="AE146" s="2" t="str">
        <f t="shared" si="81"/>
        <v xml:space="preserve"> </v>
      </c>
      <c r="AF146" s="3" t="str">
        <f>CONCATENATE(+Contacts!D146)</f>
        <v/>
      </c>
      <c r="AG146" s="2" t="str">
        <f t="shared" si="82"/>
        <v xml:space="preserve"> </v>
      </c>
      <c r="AH146" t="str">
        <f>CONCATENATE(+Contacts!I146)</f>
        <v>mpjgroenendijk@gmail.com</v>
      </c>
      <c r="AI146">
        <v>1500000010</v>
      </c>
      <c r="AJ146" s="5">
        <f t="shared" si="83"/>
        <v>1</v>
      </c>
    </row>
    <row r="147" spans="1:36" x14ac:dyDescent="0.35">
      <c r="A147" s="7" t="str">
        <f t="shared" si="58"/>
        <v/>
      </c>
      <c r="B147" s="7" t="str">
        <f t="shared" si="59"/>
        <v/>
      </c>
      <c r="C147" s="7" t="str">
        <f t="shared" si="60"/>
        <v/>
      </c>
      <c r="D147" t="str">
        <f t="shared" si="61"/>
        <v>&lt;contact&gt;&lt;category&gt;0&lt;/category&gt;&lt;person&gt;&lt;realName&gt;Groeneveld, Henk &amp;amp; Nel   &lt;/realName&gt;&lt;/person&gt;</v>
      </c>
      <c r="E147" t="str">
        <f t="shared" si="62"/>
        <v>&lt;telephony nid="0"&gt;&lt;/telephony&gt;</v>
      </c>
      <c r="F147" t="str">
        <f t="shared" si="63"/>
        <v>&lt;telephony nid="0"&gt;</v>
      </c>
      <c r="G147" t="str">
        <f t="shared" si="64"/>
        <v/>
      </c>
      <c r="H147" t="str">
        <f t="shared" si="65"/>
        <v>&lt;services nid="1"&gt;&lt;email id="0" classifier="private"&gt;henkgroeneveld12@hetnet.nl&lt;/email&gt;&lt;/services&gt;&lt;setup /&gt;&lt;mod_time&gt;1500000010&lt;/mod_time&gt;&lt;uniqueid&gt;0&lt;/uniqueid&gt;&lt;/contact&gt;</v>
      </c>
      <c r="I147" t="str">
        <f t="shared" si="66"/>
        <v>&lt;services /&gt;&lt;setup /&gt;&lt;mod_time&gt;1500000010&lt;/mod_time&gt;&lt;uniqueid&gt;0&lt;/uniqueid&gt;&lt;/contact&gt;</v>
      </c>
      <c r="J147" t="str">
        <f t="shared" si="67"/>
        <v>&lt;services nid="1"&gt;&lt;email id="0" classifier="private"&gt;henkgroeneveld12@hetnet.nl&lt;/email&gt;&lt;/services&gt;&lt;setup /&gt;&lt;mod_time&gt;1500000010&lt;/mod_time&gt;&lt;uniqueid&gt;0&lt;/uniqueid&gt;&lt;/contact&gt;</v>
      </c>
      <c r="K147" s="5">
        <f t="shared" si="68"/>
        <v>0</v>
      </c>
      <c r="L147" s="5">
        <f t="shared" si="69"/>
        <v>0</v>
      </c>
      <c r="M147" s="5" t="str">
        <f>CONCATENATE(+Contacts!E147)</f>
        <v/>
      </c>
      <c r="N147" t="str">
        <f t="shared" si="70"/>
        <v/>
      </c>
      <c r="O147" s="5">
        <f t="shared" si="71"/>
        <v>0</v>
      </c>
      <c r="P147" s="5">
        <f t="shared" si="72"/>
        <v>0</v>
      </c>
      <c r="Q147" s="5" t="str">
        <f>CONCATENATE(+Contacts!G147)</f>
        <v/>
      </c>
      <c r="R147" t="str">
        <f t="shared" si="73"/>
        <v/>
      </c>
      <c r="S147" s="5">
        <f t="shared" si="74"/>
        <v>0</v>
      </c>
      <c r="T147" s="5">
        <f t="shared" si="75"/>
        <v>0</v>
      </c>
      <c r="U147" s="5" t="str">
        <f>CONCATENATE(+Contacts!H147)</f>
        <v/>
      </c>
      <c r="V147" t="str">
        <f t="shared" si="76"/>
        <v/>
      </c>
      <c r="W147" s="5">
        <f t="shared" si="77"/>
        <v>0</v>
      </c>
      <c r="X147" s="5">
        <f t="shared" si="78"/>
        <v>0</v>
      </c>
      <c r="Y147" s="5" t="str">
        <f>CONCATENATE(+Contacts!F147)</f>
        <v/>
      </c>
      <c r="Z147" s="2" t="str">
        <f t="shared" si="79"/>
        <v xml:space="preserve">Groeneveld, Henk &amp;amp; Nel   </v>
      </c>
      <c r="AA147" s="2" t="str">
        <f>CONCATENATE(+Contacts!C147)</f>
        <v>Groeneveld</v>
      </c>
      <c r="AB147" s="2" t="str">
        <f t="shared" si="80"/>
        <v xml:space="preserve">, </v>
      </c>
      <c r="AC147" s="2" t="str">
        <f>CONCATENATE(+Contacts!A147)</f>
        <v>Henk &amp;amp; Nel</v>
      </c>
      <c r="AD147" s="3" t="str">
        <f>CONCATENATE(" ",+Contacts!B147)</f>
        <v xml:space="preserve"> </v>
      </c>
      <c r="AE147" s="2" t="str">
        <f t="shared" si="81"/>
        <v xml:space="preserve"> </v>
      </c>
      <c r="AF147" s="3" t="str">
        <f>CONCATENATE(+Contacts!D147)</f>
        <v/>
      </c>
      <c r="AG147" s="2" t="str">
        <f t="shared" si="82"/>
        <v xml:space="preserve"> </v>
      </c>
      <c r="AH147" t="str">
        <f>CONCATENATE(+Contacts!I147)</f>
        <v>henkgroeneveld12@hetnet.nl</v>
      </c>
      <c r="AI147">
        <v>1500000010</v>
      </c>
      <c r="AJ147" s="5">
        <f t="shared" si="83"/>
        <v>0</v>
      </c>
    </row>
    <row r="148" spans="1:36" x14ac:dyDescent="0.35">
      <c r="A148" s="7" t="str">
        <f t="shared" si="58"/>
        <v>&lt;contact&gt;&lt;category&gt;0&lt;/category&gt;&lt;person&gt;&lt;realName&gt;Groeneveld, Henriette   &lt;/realName&gt;&lt;/person&gt;</v>
      </c>
      <c r="B148" s="7" t="str">
        <f t="shared" si="59"/>
        <v>&lt;telephony nid="1"&gt;&lt;number id="0" prio="1" type="home"&gt;+33 493620953&lt;/number&gt;&lt;/telephony&gt;</v>
      </c>
      <c r="C148" s="7" t="str">
        <f t="shared" si="60"/>
        <v>&lt;services nid="1"&gt;&lt;email id="0" classifier="private"&gt;jet@ime-images.com&lt;/email&gt;&lt;/services&gt;&lt;setup /&gt;&lt;mod_time&gt;1500000010&lt;/mod_time&gt;&lt;uniqueid&gt;1&lt;/uniqueid&gt;&lt;/contact&gt;</v>
      </c>
      <c r="D148" t="str">
        <f t="shared" si="61"/>
        <v>&lt;contact&gt;&lt;category&gt;0&lt;/category&gt;&lt;person&gt;&lt;realName&gt;Groeneveld, Henriette   &lt;/realName&gt;&lt;/person&gt;</v>
      </c>
      <c r="E148" t="str">
        <f t="shared" si="62"/>
        <v>&lt;telephony nid="1"&gt;&lt;number id="0" prio="1" type="home"&gt;+33 493620953&lt;/number&gt;&lt;/telephony&gt;</v>
      </c>
      <c r="F148" t="str">
        <f t="shared" si="63"/>
        <v>&lt;telephony nid="1"&gt;</v>
      </c>
      <c r="G148" t="str">
        <f t="shared" si="64"/>
        <v/>
      </c>
      <c r="H148" t="str">
        <f t="shared" si="65"/>
        <v>&lt;services nid="1"&gt;&lt;email id="0" classifier="private"&gt;jet@ime-images.com&lt;/email&gt;&lt;/services&gt;&lt;setup /&gt;&lt;mod_time&gt;1500000010&lt;/mod_time&gt;&lt;uniqueid&gt;1&lt;/uniqueid&gt;&lt;/contact&gt;</v>
      </c>
      <c r="I148" t="str">
        <f t="shared" si="66"/>
        <v>&lt;services /&gt;&lt;setup /&gt;&lt;mod_time&gt;1500000010&lt;/mod_time&gt;&lt;uniqueid&gt;1&lt;/uniqueid&gt;&lt;/contact&gt;</v>
      </c>
      <c r="J148" t="str">
        <f t="shared" si="67"/>
        <v>&lt;services nid="1"&gt;&lt;email id="0" classifier="private"&gt;jet@ime-images.com&lt;/email&gt;&lt;/services&gt;&lt;setup /&gt;&lt;mod_time&gt;1500000010&lt;/mod_time&gt;&lt;uniqueid&gt;1&lt;/uniqueid&gt;&lt;/contact&gt;</v>
      </c>
      <c r="K148" s="5">
        <f t="shared" si="68"/>
        <v>0</v>
      </c>
      <c r="L148" s="5">
        <f t="shared" si="69"/>
        <v>0</v>
      </c>
      <c r="M148" s="5" t="str">
        <f>CONCATENATE(+Contacts!E148)</f>
        <v/>
      </c>
      <c r="N148" t="str">
        <f t="shared" si="70"/>
        <v>&lt;number id="0" prio="1" type="home"&gt;+33 493620953&lt;/number&gt;</v>
      </c>
      <c r="O148" s="5">
        <f t="shared" si="71"/>
        <v>1</v>
      </c>
      <c r="P148" s="5">
        <f t="shared" si="72"/>
        <v>1</v>
      </c>
      <c r="Q148" s="5" t="str">
        <f>CONCATENATE(+Contacts!G148)</f>
        <v>+33 493620953</v>
      </c>
      <c r="R148" t="str">
        <f t="shared" si="73"/>
        <v/>
      </c>
      <c r="S148" s="5">
        <f t="shared" si="74"/>
        <v>1</v>
      </c>
      <c r="T148" s="5">
        <f t="shared" si="75"/>
        <v>1</v>
      </c>
      <c r="U148" s="5" t="str">
        <f>CONCATENATE(+Contacts!H148)</f>
        <v/>
      </c>
      <c r="V148" t="str">
        <f t="shared" si="76"/>
        <v/>
      </c>
      <c r="W148" s="5">
        <f t="shared" si="77"/>
        <v>1</v>
      </c>
      <c r="X148" s="5">
        <f t="shared" si="78"/>
        <v>1</v>
      </c>
      <c r="Y148" s="5" t="str">
        <f>CONCATENATE(+Contacts!F148)</f>
        <v/>
      </c>
      <c r="Z148" s="2" t="str">
        <f t="shared" si="79"/>
        <v xml:space="preserve">Groeneveld, Henriette   </v>
      </c>
      <c r="AA148" s="2" t="str">
        <f>CONCATENATE(+Contacts!C148)</f>
        <v>Groeneveld</v>
      </c>
      <c r="AB148" s="2" t="str">
        <f t="shared" si="80"/>
        <v xml:space="preserve">, </v>
      </c>
      <c r="AC148" s="2" t="str">
        <f>CONCATENATE(+Contacts!A148)</f>
        <v>Henriette</v>
      </c>
      <c r="AD148" s="3" t="str">
        <f>CONCATENATE(" ",+Contacts!B148)</f>
        <v xml:space="preserve"> </v>
      </c>
      <c r="AE148" s="2" t="str">
        <f t="shared" si="81"/>
        <v xml:space="preserve"> </v>
      </c>
      <c r="AF148" s="3" t="str">
        <f>CONCATENATE(+Contacts!D148)</f>
        <v/>
      </c>
      <c r="AG148" s="2" t="str">
        <f t="shared" si="82"/>
        <v xml:space="preserve"> </v>
      </c>
      <c r="AH148" t="str">
        <f>CONCATENATE(+Contacts!I148)</f>
        <v>jet@ime-images.com</v>
      </c>
      <c r="AI148">
        <v>1500000010</v>
      </c>
      <c r="AJ148" s="5">
        <f t="shared" si="83"/>
        <v>1</v>
      </c>
    </row>
    <row r="149" spans="1:36" x14ac:dyDescent="0.35">
      <c r="A149" s="7" t="str">
        <f t="shared" si="58"/>
        <v>&lt;contact&gt;&lt;category&gt;0&lt;/category&gt;&lt;person&gt;&lt;realName&gt;Groeneweg, Ruud (Elektricien)&lt;/realName&gt;&lt;/person&gt;</v>
      </c>
      <c r="B149" s="7" t="str">
        <f t="shared" si="59"/>
        <v>&lt;telephony nid="2"&gt;&lt;number id="0" prio="1" type="work"&gt;+31 645 72 72 92&lt;/number&gt;&lt;number id="1" prio="0" type="mobile"&gt;+31 645 72 72 92&lt;/number&gt;&lt;/telephony&gt;</v>
      </c>
      <c r="C149" s="7" t="str">
        <f t="shared" si="60"/>
        <v>&lt;services nid="1"&gt;&lt;email id="0" classifier="private"&gt;info@ruudgroeneweg-elektro.nl&lt;/email&gt;&lt;/services&gt;&lt;setup /&gt;&lt;mod_time&gt;1500000010&lt;/mod_time&gt;&lt;uniqueid&gt;1&lt;/uniqueid&gt;&lt;/contact&gt;</v>
      </c>
      <c r="D149" t="str">
        <f t="shared" si="61"/>
        <v>&lt;contact&gt;&lt;category&gt;0&lt;/category&gt;&lt;person&gt;&lt;realName&gt;Groeneweg, Ruud (Elektricien)&lt;/realName&gt;&lt;/person&gt;</v>
      </c>
      <c r="E149" t="str">
        <f t="shared" si="62"/>
        <v>&lt;telephony nid="2"&gt;&lt;number id="0" prio="1" type="work"&gt;+31 645 72 72 92&lt;/number&gt;&lt;number id="1" prio="0" type="mobile"&gt;+31 645 72 72 92&lt;/number&gt;&lt;/telephony&gt;</v>
      </c>
      <c r="F149" t="str">
        <f t="shared" si="63"/>
        <v>&lt;telephony nid="2"&gt;</v>
      </c>
      <c r="G149" t="str">
        <f t="shared" si="64"/>
        <v>&lt;number id="0" prio="1" type="work"&gt;+31 645 72 72 92&lt;/number&gt;</v>
      </c>
      <c r="H149" t="str">
        <f t="shared" si="65"/>
        <v>&lt;services nid="1"&gt;&lt;email id="0" classifier="private"&gt;info@ruudgroeneweg-elektro.nl&lt;/email&gt;&lt;/services&gt;&lt;setup /&gt;&lt;mod_time&gt;1500000010&lt;/mod_time&gt;&lt;uniqueid&gt;1&lt;/uniqueid&gt;&lt;/contact&gt;</v>
      </c>
      <c r="I149" t="str">
        <f t="shared" si="66"/>
        <v>&lt;services /&gt;&lt;setup /&gt;&lt;mod_time&gt;1500000010&lt;/mod_time&gt;&lt;uniqueid&gt;1&lt;/uniqueid&gt;&lt;/contact&gt;</v>
      </c>
      <c r="J149" t="str">
        <f t="shared" si="67"/>
        <v>&lt;services nid="1"&gt;&lt;email id="0" classifier="private"&gt;info@ruudgroeneweg-elektro.nl&lt;/email&gt;&lt;/services&gt;&lt;setup /&gt;&lt;mod_time&gt;1500000010&lt;/mod_time&gt;&lt;uniqueid&gt;1&lt;/uniqueid&gt;&lt;/contact&gt;</v>
      </c>
      <c r="K149" s="5">
        <f t="shared" si="68"/>
        <v>1</v>
      </c>
      <c r="L149" s="5">
        <f t="shared" si="69"/>
        <v>1</v>
      </c>
      <c r="M149" s="5" t="str">
        <f>CONCATENATE(+Contacts!E149)</f>
        <v>+31 645 72 72 92</v>
      </c>
      <c r="N149" t="str">
        <f t="shared" si="70"/>
        <v/>
      </c>
      <c r="O149" s="5">
        <f t="shared" si="71"/>
        <v>1</v>
      </c>
      <c r="P149" s="5">
        <f t="shared" si="72"/>
        <v>1</v>
      </c>
      <c r="Q149" s="5" t="str">
        <f>CONCATENATE(+Contacts!G149)</f>
        <v/>
      </c>
      <c r="R149" t="str">
        <f t="shared" si="73"/>
        <v>&lt;number id="1" prio="0" type="mobile"&gt;+31 645 72 72 92&lt;/number&gt;</v>
      </c>
      <c r="S149" s="5">
        <f t="shared" si="74"/>
        <v>2</v>
      </c>
      <c r="T149" s="5">
        <f t="shared" si="75"/>
        <v>0</v>
      </c>
      <c r="U149" s="5" t="str">
        <f>CONCATENATE(+Contacts!H149)</f>
        <v>+31 645 72 72 92</v>
      </c>
      <c r="V149" t="str">
        <f t="shared" si="76"/>
        <v/>
      </c>
      <c r="W149" s="5">
        <f t="shared" si="77"/>
        <v>2</v>
      </c>
      <c r="X149" s="5">
        <f t="shared" si="78"/>
        <v>0</v>
      </c>
      <c r="Y149" s="5" t="str">
        <f>CONCATENATE(+Contacts!F149)</f>
        <v/>
      </c>
      <c r="Z149" s="2" t="str">
        <f t="shared" si="79"/>
        <v>Groeneweg, Ruud (Elektricien)</v>
      </c>
      <c r="AA149" s="2" t="str">
        <f>CONCATENATE(+Contacts!C149)</f>
        <v>Groeneweg</v>
      </c>
      <c r="AB149" s="2" t="str">
        <f t="shared" si="80"/>
        <v xml:space="preserve">, </v>
      </c>
      <c r="AC149" s="2" t="str">
        <f>CONCATENATE(+Contacts!A149)</f>
        <v>Ruud</v>
      </c>
      <c r="AD149" s="3" t="str">
        <f>CONCATENATE(" ",+Contacts!B149)</f>
        <v xml:space="preserve"> </v>
      </c>
      <c r="AE149" s="2" t="str">
        <f t="shared" si="81"/>
        <v>(</v>
      </c>
      <c r="AF149" s="3" t="str">
        <f>CONCATENATE(+Contacts!D149)</f>
        <v>Elektricien</v>
      </c>
      <c r="AG149" s="2" t="str">
        <f t="shared" si="82"/>
        <v>)</v>
      </c>
      <c r="AH149" t="str">
        <f>CONCATENATE(+Contacts!I149)</f>
        <v>info@ruudgroeneweg-elektro.nl</v>
      </c>
      <c r="AI149">
        <v>1500000010</v>
      </c>
      <c r="AJ149" s="5">
        <f t="shared" si="83"/>
        <v>1</v>
      </c>
    </row>
    <row r="150" spans="1:36" x14ac:dyDescent="0.35">
      <c r="A150" s="7" t="str">
        <f t="shared" si="58"/>
        <v>&lt;contact&gt;&lt;category&gt;0&lt;/category&gt;&lt;person&gt;&lt;realName&gt;Grotzinger, Françoise   &lt;/realName&gt;&lt;/person&gt;</v>
      </c>
      <c r="B150" s="7" t="str">
        <f t="shared" si="59"/>
        <v>&lt;telephony nid="2"&gt;&lt;number id="0" prio="1" type="home"&gt;+33 389762514&lt;/number&gt;&lt;number id="1" prio="0" type="mobile"&gt;+33 614634383&lt;/number&gt;&lt;/telephony&gt;</v>
      </c>
      <c r="C150" s="7" t="str">
        <f t="shared" si="60"/>
        <v>&lt;services nid="1"&gt;&lt;email id="0" classifier="private"&gt;remy.wehrlen@wanadoo.fr&lt;/email&gt;&lt;/services&gt;&lt;setup /&gt;&lt;mod_time&gt;1500000010&lt;/mod_time&gt;&lt;uniqueid&gt;1&lt;/uniqueid&gt;&lt;/contact&gt;</v>
      </c>
      <c r="D150" t="str">
        <f t="shared" si="61"/>
        <v>&lt;contact&gt;&lt;category&gt;0&lt;/category&gt;&lt;person&gt;&lt;realName&gt;Grotzinger, Françoise   &lt;/realName&gt;&lt;/person&gt;</v>
      </c>
      <c r="E150" t="str">
        <f t="shared" si="62"/>
        <v>&lt;telephony nid="2"&gt;&lt;number id="0" prio="1" type="home"&gt;+33 389762514&lt;/number&gt;&lt;number id="1" prio="0" type="mobile"&gt;+33 614634383&lt;/number&gt;&lt;/telephony&gt;</v>
      </c>
      <c r="F150" t="str">
        <f t="shared" si="63"/>
        <v>&lt;telephony nid="2"&gt;</v>
      </c>
      <c r="G150" t="str">
        <f t="shared" si="64"/>
        <v/>
      </c>
      <c r="H150" t="str">
        <f t="shared" si="65"/>
        <v>&lt;services nid="1"&gt;&lt;email id="0" classifier="private"&gt;remy.wehrlen@wanadoo.fr&lt;/email&gt;&lt;/services&gt;&lt;setup /&gt;&lt;mod_time&gt;1500000010&lt;/mod_time&gt;&lt;uniqueid&gt;1&lt;/uniqueid&gt;&lt;/contact&gt;</v>
      </c>
      <c r="I150" t="str">
        <f t="shared" si="66"/>
        <v>&lt;services /&gt;&lt;setup /&gt;&lt;mod_time&gt;1500000010&lt;/mod_time&gt;&lt;uniqueid&gt;1&lt;/uniqueid&gt;&lt;/contact&gt;</v>
      </c>
      <c r="J150" t="str">
        <f t="shared" si="67"/>
        <v>&lt;services nid="1"&gt;&lt;email id="0" classifier="private"&gt;remy.wehrlen@wanadoo.fr&lt;/email&gt;&lt;/services&gt;&lt;setup /&gt;&lt;mod_time&gt;1500000010&lt;/mod_time&gt;&lt;uniqueid&gt;1&lt;/uniqueid&gt;&lt;/contact&gt;</v>
      </c>
      <c r="K150" s="5">
        <f t="shared" si="68"/>
        <v>0</v>
      </c>
      <c r="L150" s="5">
        <f t="shared" si="69"/>
        <v>0</v>
      </c>
      <c r="M150" s="5" t="str">
        <f>CONCATENATE(+Contacts!E150)</f>
        <v/>
      </c>
      <c r="N150" t="str">
        <f t="shared" si="70"/>
        <v>&lt;number id="0" prio="1" type="home"&gt;+33 389762514&lt;/number&gt;</v>
      </c>
      <c r="O150" s="5">
        <f t="shared" si="71"/>
        <v>1</v>
      </c>
      <c r="P150" s="5">
        <f t="shared" si="72"/>
        <v>1</v>
      </c>
      <c r="Q150" s="5" t="str">
        <f>CONCATENATE(+Contacts!G150)</f>
        <v>+33 389762514</v>
      </c>
      <c r="R150" t="str">
        <f t="shared" si="73"/>
        <v>&lt;number id="1" prio="0" type="mobile"&gt;+33 614634383&lt;/number&gt;</v>
      </c>
      <c r="S150" s="5">
        <f t="shared" si="74"/>
        <v>2</v>
      </c>
      <c r="T150" s="5">
        <f t="shared" si="75"/>
        <v>0</v>
      </c>
      <c r="U150" s="5" t="str">
        <f>CONCATENATE(+Contacts!H150)</f>
        <v>+33 614634383</v>
      </c>
      <c r="V150" t="str">
        <f t="shared" si="76"/>
        <v/>
      </c>
      <c r="W150" s="5">
        <f t="shared" si="77"/>
        <v>2</v>
      </c>
      <c r="X150" s="5">
        <f t="shared" si="78"/>
        <v>0</v>
      </c>
      <c r="Y150" s="5" t="str">
        <f>CONCATENATE(+Contacts!F150)</f>
        <v/>
      </c>
      <c r="Z150" s="2" t="str">
        <f t="shared" si="79"/>
        <v xml:space="preserve">Grotzinger, Françoise   </v>
      </c>
      <c r="AA150" s="2" t="str">
        <f>CONCATENATE(+Contacts!C150)</f>
        <v>Grotzinger</v>
      </c>
      <c r="AB150" s="2" t="str">
        <f t="shared" si="80"/>
        <v xml:space="preserve">, </v>
      </c>
      <c r="AC150" s="2" t="str">
        <f>CONCATENATE(+Contacts!A150)</f>
        <v>Françoise</v>
      </c>
      <c r="AD150" s="3" t="str">
        <f>CONCATENATE(" ",+Contacts!B150)</f>
        <v xml:space="preserve"> </v>
      </c>
      <c r="AE150" s="2" t="str">
        <f t="shared" si="81"/>
        <v xml:space="preserve"> </v>
      </c>
      <c r="AF150" s="3" t="str">
        <f>CONCATENATE(+Contacts!D150)</f>
        <v/>
      </c>
      <c r="AG150" s="2" t="str">
        <f t="shared" si="82"/>
        <v xml:space="preserve"> </v>
      </c>
      <c r="AH150" t="str">
        <f>CONCATENATE(+Contacts!I150)</f>
        <v>remy.wehrlen@wanadoo.fr</v>
      </c>
      <c r="AI150">
        <v>1500000010</v>
      </c>
      <c r="AJ150" s="5">
        <f t="shared" si="83"/>
        <v>1</v>
      </c>
    </row>
    <row r="151" spans="1:36" x14ac:dyDescent="0.35">
      <c r="A151" s="7" t="str">
        <f t="shared" si="58"/>
        <v>&lt;contact&gt;&lt;category&gt;0&lt;/category&gt;&lt;person&gt;&lt;realName&gt;Guhl, Elisbeth   &lt;/realName&gt;&lt;/person&gt;</v>
      </c>
      <c r="B151" s="7" t="str">
        <f t="shared" si="59"/>
        <v>&lt;telephony nid="1"&gt;&lt;number id="0" prio="1" type="home"&gt;+31 108451864&lt;/number&gt;&lt;/telephony&gt;</v>
      </c>
      <c r="C151" s="7" t="str">
        <f t="shared" si="60"/>
        <v>&lt;services /&gt;&lt;setup /&gt;&lt;mod_time&gt;1500000010&lt;/mod_time&gt;&lt;uniqueid&gt;1&lt;/uniqueid&gt;&lt;/contact&gt;</v>
      </c>
      <c r="D151" t="str">
        <f t="shared" si="61"/>
        <v>&lt;contact&gt;&lt;category&gt;0&lt;/category&gt;&lt;person&gt;&lt;realName&gt;Guhl, Elisbeth   &lt;/realName&gt;&lt;/person&gt;</v>
      </c>
      <c r="E151" t="str">
        <f t="shared" si="62"/>
        <v>&lt;telephony nid="1"&gt;&lt;number id="0" prio="1" type="home"&gt;+31 108451864&lt;/number&gt;&lt;/telephony&gt;</v>
      </c>
      <c r="F151" t="str">
        <f t="shared" si="63"/>
        <v>&lt;telephony nid="1"&gt;</v>
      </c>
      <c r="G151" t="str">
        <f t="shared" si="64"/>
        <v/>
      </c>
      <c r="H151" t="str">
        <f t="shared" si="65"/>
        <v>&lt;services nid="1"&gt;&lt;email id="0" classifier="private"&gt;&lt;/email&gt;&lt;/services&gt;&lt;setup /&gt;&lt;mod_time&gt;1500000010&lt;/mod_time&gt;&lt;uniqueid&gt;1&lt;/uniqueid&gt;&lt;/contact&gt;</v>
      </c>
      <c r="I151" t="str">
        <f t="shared" si="66"/>
        <v>&lt;services /&gt;&lt;setup /&gt;&lt;mod_time&gt;1500000010&lt;/mod_time&gt;&lt;uniqueid&gt;1&lt;/uniqueid&gt;&lt;/contact&gt;</v>
      </c>
      <c r="J151" t="str">
        <f t="shared" si="67"/>
        <v>&lt;services /&gt;&lt;setup /&gt;&lt;mod_time&gt;1500000010&lt;/mod_time&gt;&lt;uniqueid&gt;1&lt;/uniqueid&gt;&lt;/contact&gt;</v>
      </c>
      <c r="K151" s="5">
        <f t="shared" si="68"/>
        <v>0</v>
      </c>
      <c r="L151" s="5">
        <f t="shared" si="69"/>
        <v>0</v>
      </c>
      <c r="M151" s="5" t="str">
        <f>CONCATENATE(+Contacts!E151)</f>
        <v/>
      </c>
      <c r="N151" t="str">
        <f t="shared" si="70"/>
        <v>&lt;number id="0" prio="1" type="home"&gt;+31 108451864&lt;/number&gt;</v>
      </c>
      <c r="O151" s="5">
        <f t="shared" si="71"/>
        <v>1</v>
      </c>
      <c r="P151" s="5">
        <f t="shared" si="72"/>
        <v>1</v>
      </c>
      <c r="Q151" s="5" t="str">
        <f>CONCATENATE(+Contacts!G151)</f>
        <v>+31 108451864</v>
      </c>
      <c r="R151" t="str">
        <f t="shared" si="73"/>
        <v/>
      </c>
      <c r="S151" s="5">
        <f t="shared" si="74"/>
        <v>1</v>
      </c>
      <c r="T151" s="5">
        <f t="shared" si="75"/>
        <v>1</v>
      </c>
      <c r="U151" s="5" t="str">
        <f>CONCATENATE(+Contacts!H151)</f>
        <v/>
      </c>
      <c r="V151" t="str">
        <f t="shared" si="76"/>
        <v/>
      </c>
      <c r="W151" s="5">
        <f t="shared" si="77"/>
        <v>1</v>
      </c>
      <c r="X151" s="5">
        <f t="shared" si="78"/>
        <v>1</v>
      </c>
      <c r="Y151" s="5" t="str">
        <f>CONCATENATE(+Contacts!F151)</f>
        <v/>
      </c>
      <c r="Z151" s="2" t="str">
        <f t="shared" si="79"/>
        <v xml:space="preserve">Guhl, Elisbeth   </v>
      </c>
      <c r="AA151" s="2" t="str">
        <f>CONCATENATE(+Contacts!C151)</f>
        <v>Guhl</v>
      </c>
      <c r="AB151" s="2" t="str">
        <f t="shared" si="80"/>
        <v xml:space="preserve">, </v>
      </c>
      <c r="AC151" s="2" t="str">
        <f>CONCATENATE(+Contacts!A151)</f>
        <v>Elisbeth</v>
      </c>
      <c r="AD151" s="3" t="str">
        <f>CONCATENATE(" ",+Contacts!B151)</f>
        <v xml:space="preserve"> </v>
      </c>
      <c r="AE151" s="2" t="str">
        <f t="shared" si="81"/>
        <v xml:space="preserve"> </v>
      </c>
      <c r="AF151" s="3" t="str">
        <f>CONCATENATE(+Contacts!D151)</f>
        <v/>
      </c>
      <c r="AG151" s="2" t="str">
        <f t="shared" si="82"/>
        <v xml:space="preserve"> </v>
      </c>
      <c r="AH151" t="str">
        <f>CONCATENATE(+Contacts!I151)</f>
        <v/>
      </c>
      <c r="AI151">
        <v>1500000010</v>
      </c>
      <c r="AJ151" s="5">
        <f t="shared" si="83"/>
        <v>1</v>
      </c>
    </row>
    <row r="152" spans="1:36" x14ac:dyDescent="0.35">
      <c r="A152" s="7" t="str">
        <f t="shared" si="58"/>
        <v>&lt;contact&gt;&lt;category&gt;0&lt;/category&gt;&lt;person&gt;&lt;realName&gt;Guinée-Kuijpers, Inge    &lt;/realName&gt;&lt;/person&gt;</v>
      </c>
      <c r="B152" s="7" t="str">
        <f t="shared" si="59"/>
        <v>&lt;telephony nid="2"&gt;&lt;number id="0" prio="1" type="home"&gt;+31 104219258&lt;/number&gt;&lt;number id="1" prio="0" type="mobile"&gt;+31 6 46 63 09 61&lt;/number&gt;&lt;/telephony&gt;</v>
      </c>
      <c r="C152" s="7" t="str">
        <f t="shared" si="60"/>
        <v>&lt;services /&gt;&lt;setup /&gt;&lt;mod_time&gt;1500000010&lt;/mod_time&gt;&lt;uniqueid&gt;1&lt;/uniqueid&gt;&lt;/contact&gt;</v>
      </c>
      <c r="D152" t="str">
        <f t="shared" si="61"/>
        <v>&lt;contact&gt;&lt;category&gt;0&lt;/category&gt;&lt;person&gt;&lt;realName&gt;Guinée-Kuijpers, Inge    &lt;/realName&gt;&lt;/person&gt;</v>
      </c>
      <c r="E152" t="str">
        <f t="shared" si="62"/>
        <v>&lt;telephony nid="2"&gt;&lt;number id="0" prio="1" type="home"&gt;+31 104219258&lt;/number&gt;&lt;number id="1" prio="0" type="mobile"&gt;+31 6 46 63 09 61&lt;/number&gt;&lt;/telephony&gt;</v>
      </c>
      <c r="F152" t="str">
        <f t="shared" si="63"/>
        <v>&lt;telephony nid="2"&gt;</v>
      </c>
      <c r="G152" t="str">
        <f t="shared" si="64"/>
        <v/>
      </c>
      <c r="H152" t="str">
        <f t="shared" si="65"/>
        <v>&lt;services nid="1"&gt;&lt;email id="0" classifier="private"&gt;&lt;/email&gt;&lt;/services&gt;&lt;setup /&gt;&lt;mod_time&gt;1500000010&lt;/mod_time&gt;&lt;uniqueid&gt;1&lt;/uniqueid&gt;&lt;/contact&gt;</v>
      </c>
      <c r="I152" t="str">
        <f t="shared" si="66"/>
        <v>&lt;services /&gt;&lt;setup /&gt;&lt;mod_time&gt;1500000010&lt;/mod_time&gt;&lt;uniqueid&gt;1&lt;/uniqueid&gt;&lt;/contact&gt;</v>
      </c>
      <c r="J152" t="str">
        <f t="shared" si="67"/>
        <v>&lt;services /&gt;&lt;setup /&gt;&lt;mod_time&gt;1500000010&lt;/mod_time&gt;&lt;uniqueid&gt;1&lt;/uniqueid&gt;&lt;/contact&gt;</v>
      </c>
      <c r="K152" s="5">
        <f t="shared" si="68"/>
        <v>0</v>
      </c>
      <c r="L152" s="5">
        <f t="shared" si="69"/>
        <v>0</v>
      </c>
      <c r="M152" s="5" t="str">
        <f>CONCATENATE(+Contacts!E152)</f>
        <v/>
      </c>
      <c r="N152" t="str">
        <f t="shared" si="70"/>
        <v>&lt;number id="0" prio="1" type="home"&gt;+31 104219258&lt;/number&gt;</v>
      </c>
      <c r="O152" s="5">
        <f t="shared" si="71"/>
        <v>1</v>
      </c>
      <c r="P152" s="5">
        <f t="shared" si="72"/>
        <v>1</v>
      </c>
      <c r="Q152" s="5" t="str">
        <f>CONCATENATE(+Contacts!G152)</f>
        <v>+31 104219258</v>
      </c>
      <c r="R152" t="str">
        <f t="shared" si="73"/>
        <v>&lt;number id="1" prio="0" type="mobile"&gt;+31 6 46 63 09 61&lt;/number&gt;</v>
      </c>
      <c r="S152" s="5">
        <f t="shared" si="74"/>
        <v>2</v>
      </c>
      <c r="T152" s="5">
        <f t="shared" si="75"/>
        <v>0</v>
      </c>
      <c r="U152" s="5" t="str">
        <f>CONCATENATE(+Contacts!H152)</f>
        <v>+31 6 46 63 09 61</v>
      </c>
      <c r="V152" t="str">
        <f t="shared" si="76"/>
        <v/>
      </c>
      <c r="W152" s="5">
        <f t="shared" si="77"/>
        <v>2</v>
      </c>
      <c r="X152" s="5">
        <f t="shared" si="78"/>
        <v>0</v>
      </c>
      <c r="Y152" s="5" t="str">
        <f>CONCATENATE(+Contacts!F152)</f>
        <v/>
      </c>
      <c r="Z152" s="2" t="str">
        <f t="shared" si="79"/>
        <v xml:space="preserve">Guinée-Kuijpers, Inge    </v>
      </c>
      <c r="AA152" s="2" t="str">
        <f>CONCATENATE(+Contacts!C152)</f>
        <v>Guinée-Kuijpers</v>
      </c>
      <c r="AB152" s="2" t="str">
        <f t="shared" si="80"/>
        <v xml:space="preserve">, </v>
      </c>
      <c r="AC152" s="2" t="str">
        <f>CONCATENATE(+Contacts!A152)</f>
        <v xml:space="preserve">Inge </v>
      </c>
      <c r="AD152" s="3" t="str">
        <f>CONCATENATE(" ",+Contacts!B152)</f>
        <v xml:space="preserve"> </v>
      </c>
      <c r="AE152" s="2" t="str">
        <f t="shared" si="81"/>
        <v xml:space="preserve"> </v>
      </c>
      <c r="AF152" s="3" t="str">
        <f>CONCATENATE(+Contacts!D152)</f>
        <v/>
      </c>
      <c r="AG152" s="2" t="str">
        <f t="shared" si="82"/>
        <v xml:space="preserve"> </v>
      </c>
      <c r="AH152" t="str">
        <f>CONCATENATE(+Contacts!I152)</f>
        <v/>
      </c>
      <c r="AI152">
        <v>1500000010</v>
      </c>
      <c r="AJ152" s="5">
        <f t="shared" si="83"/>
        <v>1</v>
      </c>
    </row>
    <row r="153" spans="1:36" x14ac:dyDescent="0.35">
      <c r="A153" s="7" t="str">
        <f t="shared" si="58"/>
        <v>&lt;contact&gt;&lt;category&gt;0&lt;/category&gt;&lt;person&gt;&lt;realName&gt;Haan, Gerrit de  &lt;/realName&gt;&lt;/person&gt;</v>
      </c>
      <c r="B153" s="7" t="str">
        <f t="shared" si="59"/>
        <v>&lt;telephony nid="1"&gt;&lt;number id="0" prio="1" type="home"&gt;+31 104558371&lt;/number&gt;&lt;/telephony&gt;</v>
      </c>
      <c r="C153" s="7" t="str">
        <f t="shared" si="60"/>
        <v>&lt;services /&gt;&lt;setup /&gt;&lt;mod_time&gt;1500000010&lt;/mod_time&gt;&lt;uniqueid&gt;1&lt;/uniqueid&gt;&lt;/contact&gt;</v>
      </c>
      <c r="D153" t="str">
        <f t="shared" si="61"/>
        <v>&lt;contact&gt;&lt;category&gt;0&lt;/category&gt;&lt;person&gt;&lt;realName&gt;Haan, Gerrit de  &lt;/realName&gt;&lt;/person&gt;</v>
      </c>
      <c r="E153" t="str">
        <f t="shared" si="62"/>
        <v>&lt;telephony nid="1"&gt;&lt;number id="0" prio="1" type="home"&gt;+31 104558371&lt;/number&gt;&lt;/telephony&gt;</v>
      </c>
      <c r="F153" t="str">
        <f t="shared" si="63"/>
        <v>&lt;telephony nid="1"&gt;</v>
      </c>
      <c r="G153" t="str">
        <f t="shared" si="64"/>
        <v/>
      </c>
      <c r="H153" t="str">
        <f t="shared" si="65"/>
        <v>&lt;services nid="1"&gt;&lt;email id="0" classifier="private"&gt;&lt;/email&gt;&lt;/services&gt;&lt;setup /&gt;&lt;mod_time&gt;1500000010&lt;/mod_time&gt;&lt;uniqueid&gt;1&lt;/uniqueid&gt;&lt;/contact&gt;</v>
      </c>
      <c r="I153" t="str">
        <f t="shared" si="66"/>
        <v>&lt;services /&gt;&lt;setup /&gt;&lt;mod_time&gt;1500000010&lt;/mod_time&gt;&lt;uniqueid&gt;1&lt;/uniqueid&gt;&lt;/contact&gt;</v>
      </c>
      <c r="J153" t="str">
        <f t="shared" si="67"/>
        <v>&lt;services /&gt;&lt;setup /&gt;&lt;mod_time&gt;1500000010&lt;/mod_time&gt;&lt;uniqueid&gt;1&lt;/uniqueid&gt;&lt;/contact&gt;</v>
      </c>
      <c r="K153" s="5">
        <f t="shared" si="68"/>
        <v>0</v>
      </c>
      <c r="L153" s="5">
        <f t="shared" si="69"/>
        <v>0</v>
      </c>
      <c r="M153" s="5" t="str">
        <f>CONCATENATE(+Contacts!E153)</f>
        <v/>
      </c>
      <c r="N153" t="str">
        <f t="shared" si="70"/>
        <v>&lt;number id="0" prio="1" type="home"&gt;+31 104558371&lt;/number&gt;</v>
      </c>
      <c r="O153" s="5">
        <f t="shared" si="71"/>
        <v>1</v>
      </c>
      <c r="P153" s="5">
        <f t="shared" si="72"/>
        <v>1</v>
      </c>
      <c r="Q153" s="5" t="str">
        <f>CONCATENATE(+Contacts!G153)</f>
        <v>+31 104558371</v>
      </c>
      <c r="R153" t="str">
        <f t="shared" si="73"/>
        <v/>
      </c>
      <c r="S153" s="5">
        <f t="shared" si="74"/>
        <v>1</v>
      </c>
      <c r="T153" s="5">
        <f t="shared" si="75"/>
        <v>1</v>
      </c>
      <c r="U153" s="5" t="str">
        <f>CONCATENATE(+Contacts!H153)</f>
        <v/>
      </c>
      <c r="V153" t="str">
        <f t="shared" si="76"/>
        <v/>
      </c>
      <c r="W153" s="5">
        <f t="shared" si="77"/>
        <v>1</v>
      </c>
      <c r="X153" s="5">
        <f t="shared" si="78"/>
        <v>1</v>
      </c>
      <c r="Y153" s="5" t="str">
        <f>CONCATENATE(+Contacts!F153)</f>
        <v/>
      </c>
      <c r="Z153" s="2" t="str">
        <f t="shared" si="79"/>
        <v xml:space="preserve">Haan, Gerrit de  </v>
      </c>
      <c r="AA153" s="2" t="str">
        <f>CONCATENATE(+Contacts!C153)</f>
        <v>Haan</v>
      </c>
      <c r="AB153" s="2" t="str">
        <f t="shared" si="80"/>
        <v xml:space="preserve">, </v>
      </c>
      <c r="AC153" s="2" t="str">
        <f>CONCATENATE(+Contacts!A153)</f>
        <v>Gerrit</v>
      </c>
      <c r="AD153" s="3" t="str">
        <f>CONCATENATE(" ",+Contacts!B153)</f>
        <v xml:space="preserve"> de</v>
      </c>
      <c r="AE153" s="2" t="str">
        <f t="shared" si="81"/>
        <v xml:space="preserve"> </v>
      </c>
      <c r="AF153" s="3" t="str">
        <f>CONCATENATE(+Contacts!D153)</f>
        <v/>
      </c>
      <c r="AG153" s="2" t="str">
        <f t="shared" si="82"/>
        <v xml:space="preserve"> </v>
      </c>
      <c r="AH153" t="str">
        <f>CONCATENATE(+Contacts!I153)</f>
        <v/>
      </c>
      <c r="AI153">
        <v>1500000010</v>
      </c>
      <c r="AJ153" s="5">
        <f t="shared" si="83"/>
        <v>1</v>
      </c>
    </row>
    <row r="154" spans="1:36" x14ac:dyDescent="0.35">
      <c r="A154" s="7" t="str">
        <f t="shared" si="58"/>
        <v/>
      </c>
      <c r="B154" s="7" t="str">
        <f t="shared" si="59"/>
        <v/>
      </c>
      <c r="C154" s="7" t="str">
        <f t="shared" si="60"/>
        <v/>
      </c>
      <c r="D154" t="str">
        <f t="shared" si="61"/>
        <v>&lt;contact&gt;&lt;category&gt;0&lt;/category&gt;&lt;person&gt;&lt;realName&gt;Haan, Lisa de  &lt;/realName&gt;&lt;/person&gt;</v>
      </c>
      <c r="E154" t="str">
        <f t="shared" si="62"/>
        <v>&lt;telephony nid="0"&gt;&lt;/telephony&gt;</v>
      </c>
      <c r="F154" t="str">
        <f t="shared" si="63"/>
        <v>&lt;telephony nid="0"&gt;</v>
      </c>
      <c r="G154" t="str">
        <f t="shared" si="64"/>
        <v/>
      </c>
      <c r="H154" t="str">
        <f t="shared" si="65"/>
        <v>&lt;services nid="1"&gt;&lt;email id="0" classifier="private"&gt;&lt;/email&gt;&lt;/services&gt;&lt;setup /&gt;&lt;mod_time&gt;1500000010&lt;/mod_time&gt;&lt;uniqueid&gt;0&lt;/uniqueid&gt;&lt;/contact&gt;</v>
      </c>
      <c r="I154" t="str">
        <f t="shared" si="66"/>
        <v>&lt;services /&gt;&lt;setup /&gt;&lt;mod_time&gt;1500000010&lt;/mod_time&gt;&lt;uniqueid&gt;0&lt;/uniqueid&gt;&lt;/contact&gt;</v>
      </c>
      <c r="J154" t="str">
        <f t="shared" si="67"/>
        <v>&lt;services /&gt;&lt;setup /&gt;&lt;mod_time&gt;1500000010&lt;/mod_time&gt;&lt;uniqueid&gt;0&lt;/uniqueid&gt;&lt;/contact&gt;</v>
      </c>
      <c r="K154" s="5">
        <f t="shared" si="68"/>
        <v>0</v>
      </c>
      <c r="L154" s="5">
        <f t="shared" si="69"/>
        <v>0</v>
      </c>
      <c r="M154" s="5" t="str">
        <f>CONCATENATE(+Contacts!E154)</f>
        <v/>
      </c>
      <c r="N154" t="str">
        <f t="shared" si="70"/>
        <v/>
      </c>
      <c r="O154" s="5">
        <f t="shared" si="71"/>
        <v>0</v>
      </c>
      <c r="P154" s="5">
        <f t="shared" si="72"/>
        <v>0</v>
      </c>
      <c r="Q154" s="5" t="str">
        <f>CONCATENATE(+Contacts!G154)</f>
        <v/>
      </c>
      <c r="R154" t="str">
        <f t="shared" si="73"/>
        <v/>
      </c>
      <c r="S154" s="5">
        <f t="shared" si="74"/>
        <v>0</v>
      </c>
      <c r="T154" s="5">
        <f t="shared" si="75"/>
        <v>0</v>
      </c>
      <c r="U154" s="5" t="str">
        <f>CONCATENATE(+Contacts!H154)</f>
        <v/>
      </c>
      <c r="V154" t="str">
        <f t="shared" si="76"/>
        <v/>
      </c>
      <c r="W154" s="5">
        <f t="shared" si="77"/>
        <v>0</v>
      </c>
      <c r="X154" s="5">
        <f t="shared" si="78"/>
        <v>0</v>
      </c>
      <c r="Y154" s="5" t="str">
        <f>CONCATENATE(+Contacts!F154)</f>
        <v/>
      </c>
      <c r="Z154" s="2" t="str">
        <f t="shared" si="79"/>
        <v xml:space="preserve">Haan, Lisa de  </v>
      </c>
      <c r="AA154" s="2" t="str">
        <f>CONCATENATE(+Contacts!C154)</f>
        <v>Haan</v>
      </c>
      <c r="AB154" s="2" t="str">
        <f t="shared" si="80"/>
        <v xml:space="preserve">, </v>
      </c>
      <c r="AC154" s="2" t="str">
        <f>CONCATENATE(+Contacts!A154)</f>
        <v>Lisa</v>
      </c>
      <c r="AD154" s="3" t="str">
        <f>CONCATENATE(" ",+Contacts!B154)</f>
        <v xml:space="preserve"> de</v>
      </c>
      <c r="AE154" s="2" t="str">
        <f t="shared" si="81"/>
        <v xml:space="preserve"> </v>
      </c>
      <c r="AF154" s="3" t="str">
        <f>CONCATENATE(+Contacts!D154)</f>
        <v/>
      </c>
      <c r="AG154" s="2" t="str">
        <f t="shared" si="82"/>
        <v xml:space="preserve"> </v>
      </c>
      <c r="AH154" t="str">
        <f>CONCATENATE(+Contacts!I154)</f>
        <v/>
      </c>
      <c r="AI154">
        <v>1500000010</v>
      </c>
      <c r="AJ154" s="5">
        <f t="shared" si="83"/>
        <v>0</v>
      </c>
    </row>
    <row r="155" spans="1:36" x14ac:dyDescent="0.35">
      <c r="A155" s="7" t="str">
        <f t="shared" si="58"/>
        <v>&lt;contact&gt;&lt;category&gt;0&lt;/category&gt;&lt;person&gt;&lt;realName&gt;Haas, Mascha de  &lt;/realName&gt;&lt;/person&gt;</v>
      </c>
      <c r="B155" s="7" t="str">
        <f t="shared" si="59"/>
        <v>&lt;telephony nid="1"&gt;&lt;number id="0" prio="1" type="mobile"&gt;+31 6 15 874 686&lt;/number&gt;&lt;/telephony&gt;</v>
      </c>
      <c r="C155" s="7" t="str">
        <f t="shared" si="60"/>
        <v>&lt;services nid="1"&gt;&lt;email id="0" classifier="private"&gt;m.haas90@upcmail.nl&lt;/email&gt;&lt;/services&gt;&lt;setup /&gt;&lt;mod_time&gt;1500000010&lt;/mod_time&gt;&lt;uniqueid&gt;1&lt;/uniqueid&gt;&lt;/contact&gt;</v>
      </c>
      <c r="D155" t="str">
        <f t="shared" si="61"/>
        <v>&lt;contact&gt;&lt;category&gt;0&lt;/category&gt;&lt;person&gt;&lt;realName&gt;Haas, Mascha de  &lt;/realName&gt;&lt;/person&gt;</v>
      </c>
      <c r="E155" t="str">
        <f t="shared" si="62"/>
        <v>&lt;telephony nid="1"&gt;&lt;number id="0" prio="1" type="mobile"&gt;+31 6 15 874 686&lt;/number&gt;&lt;/telephony&gt;</v>
      </c>
      <c r="F155" t="str">
        <f t="shared" si="63"/>
        <v>&lt;telephony nid="1"&gt;</v>
      </c>
      <c r="G155" t="str">
        <f t="shared" si="64"/>
        <v/>
      </c>
      <c r="H155" t="str">
        <f t="shared" si="65"/>
        <v>&lt;services nid="1"&gt;&lt;email id="0" classifier="private"&gt;m.haas90@upcmail.nl&lt;/email&gt;&lt;/services&gt;&lt;setup /&gt;&lt;mod_time&gt;1500000010&lt;/mod_time&gt;&lt;uniqueid&gt;1&lt;/uniqueid&gt;&lt;/contact&gt;</v>
      </c>
      <c r="I155" t="str">
        <f t="shared" si="66"/>
        <v>&lt;services /&gt;&lt;setup /&gt;&lt;mod_time&gt;1500000010&lt;/mod_time&gt;&lt;uniqueid&gt;1&lt;/uniqueid&gt;&lt;/contact&gt;</v>
      </c>
      <c r="J155" t="str">
        <f t="shared" si="67"/>
        <v>&lt;services nid="1"&gt;&lt;email id="0" classifier="private"&gt;m.haas90@upcmail.nl&lt;/email&gt;&lt;/services&gt;&lt;setup /&gt;&lt;mod_time&gt;1500000010&lt;/mod_time&gt;&lt;uniqueid&gt;1&lt;/uniqueid&gt;&lt;/contact&gt;</v>
      </c>
      <c r="K155" s="5">
        <f t="shared" si="68"/>
        <v>0</v>
      </c>
      <c r="L155" s="5">
        <f t="shared" si="69"/>
        <v>0</v>
      </c>
      <c r="M155" s="5" t="str">
        <f>CONCATENATE(+Contacts!E155)</f>
        <v/>
      </c>
      <c r="N155" t="str">
        <f t="shared" si="70"/>
        <v/>
      </c>
      <c r="O155" s="5">
        <f t="shared" si="71"/>
        <v>0</v>
      </c>
      <c r="P155" s="5">
        <f t="shared" si="72"/>
        <v>0</v>
      </c>
      <c r="Q155" s="5" t="str">
        <f>CONCATENATE(+Contacts!G155)</f>
        <v/>
      </c>
      <c r="R155" t="str">
        <f t="shared" si="73"/>
        <v>&lt;number id="0" prio="1" type="mobile"&gt;+31 6 15 874 686&lt;/number&gt;</v>
      </c>
      <c r="S155" s="5">
        <f t="shared" si="74"/>
        <v>1</v>
      </c>
      <c r="T155" s="5">
        <f t="shared" si="75"/>
        <v>1</v>
      </c>
      <c r="U155" s="5" t="str">
        <f>CONCATENATE(+Contacts!H155)</f>
        <v>+31 6 15 874 686</v>
      </c>
      <c r="V155" t="str">
        <f t="shared" si="76"/>
        <v/>
      </c>
      <c r="W155" s="5">
        <f t="shared" si="77"/>
        <v>1</v>
      </c>
      <c r="X155" s="5">
        <f t="shared" si="78"/>
        <v>1</v>
      </c>
      <c r="Y155" s="5" t="str">
        <f>CONCATENATE(+Contacts!F155)</f>
        <v/>
      </c>
      <c r="Z155" s="2" t="str">
        <f t="shared" si="79"/>
        <v xml:space="preserve">Haas, Mascha de  </v>
      </c>
      <c r="AA155" s="2" t="str">
        <f>CONCATENATE(+Contacts!C155)</f>
        <v>Haas</v>
      </c>
      <c r="AB155" s="2" t="str">
        <f t="shared" si="80"/>
        <v xml:space="preserve">, </v>
      </c>
      <c r="AC155" s="2" t="str">
        <f>CONCATENATE(+Contacts!A155)</f>
        <v>Mascha</v>
      </c>
      <c r="AD155" s="3" t="str">
        <f>CONCATENATE(" ",+Contacts!B155)</f>
        <v xml:space="preserve"> de</v>
      </c>
      <c r="AE155" s="2" t="str">
        <f t="shared" si="81"/>
        <v xml:space="preserve"> </v>
      </c>
      <c r="AF155" s="3" t="str">
        <f>CONCATENATE(+Contacts!D155)</f>
        <v/>
      </c>
      <c r="AG155" s="2" t="str">
        <f t="shared" si="82"/>
        <v xml:space="preserve"> </v>
      </c>
      <c r="AH155" t="str">
        <f>CONCATENATE(+Contacts!I155)</f>
        <v>m.haas90@upcmail.nl</v>
      </c>
      <c r="AI155">
        <v>1500000010</v>
      </c>
      <c r="AJ155" s="5">
        <f t="shared" si="83"/>
        <v>1</v>
      </c>
    </row>
    <row r="156" spans="1:36" x14ac:dyDescent="0.35">
      <c r="A156" s="7" t="str">
        <f t="shared" si="58"/>
        <v>&lt;contact&gt;&lt;category&gt;0&lt;/category&gt;&lt;person&gt;&lt;realName&gt;Hagens, Ruud (Geluidstechniek)&lt;/realName&gt;&lt;/person&gt;</v>
      </c>
      <c r="B156" s="7" t="str">
        <f t="shared" si="59"/>
        <v>&lt;telephony nid="1"&gt;&lt;number id="0" prio="1" type="mobile"&gt;+31 654921585&lt;/number&gt;&lt;/telephony&gt;</v>
      </c>
      <c r="C156" s="7" t="str">
        <f t="shared" si="60"/>
        <v>&lt;services /&gt;&lt;setup /&gt;&lt;mod_time&gt;1500000010&lt;/mod_time&gt;&lt;uniqueid&gt;1&lt;/uniqueid&gt;&lt;/contact&gt;</v>
      </c>
      <c r="D156" t="str">
        <f t="shared" si="61"/>
        <v>&lt;contact&gt;&lt;category&gt;0&lt;/category&gt;&lt;person&gt;&lt;realName&gt;Hagens, Ruud (Geluidstechniek)&lt;/realName&gt;&lt;/person&gt;</v>
      </c>
      <c r="E156" t="str">
        <f t="shared" si="62"/>
        <v>&lt;telephony nid="1"&gt;&lt;number id="0" prio="1" type="mobile"&gt;+31 654921585&lt;/number&gt;&lt;/telephony&gt;</v>
      </c>
      <c r="F156" t="str">
        <f t="shared" si="63"/>
        <v>&lt;telephony nid="1"&gt;</v>
      </c>
      <c r="G156" t="str">
        <f t="shared" si="64"/>
        <v/>
      </c>
      <c r="H156" t="str">
        <f t="shared" si="65"/>
        <v>&lt;services nid="1"&gt;&lt;email id="0" classifier="private"&gt;&lt;/email&gt;&lt;/services&gt;&lt;setup /&gt;&lt;mod_time&gt;1500000010&lt;/mod_time&gt;&lt;uniqueid&gt;1&lt;/uniqueid&gt;&lt;/contact&gt;</v>
      </c>
      <c r="I156" t="str">
        <f t="shared" si="66"/>
        <v>&lt;services /&gt;&lt;setup /&gt;&lt;mod_time&gt;1500000010&lt;/mod_time&gt;&lt;uniqueid&gt;1&lt;/uniqueid&gt;&lt;/contact&gt;</v>
      </c>
      <c r="J156" t="str">
        <f t="shared" si="67"/>
        <v>&lt;services /&gt;&lt;setup /&gt;&lt;mod_time&gt;1500000010&lt;/mod_time&gt;&lt;uniqueid&gt;1&lt;/uniqueid&gt;&lt;/contact&gt;</v>
      </c>
      <c r="K156" s="5">
        <f t="shared" si="68"/>
        <v>0</v>
      </c>
      <c r="L156" s="5">
        <f t="shared" si="69"/>
        <v>0</v>
      </c>
      <c r="M156" s="5" t="str">
        <f>CONCATENATE(+Contacts!E156)</f>
        <v/>
      </c>
      <c r="N156" t="str">
        <f t="shared" si="70"/>
        <v/>
      </c>
      <c r="O156" s="5">
        <f t="shared" si="71"/>
        <v>0</v>
      </c>
      <c r="P156" s="5">
        <f t="shared" si="72"/>
        <v>0</v>
      </c>
      <c r="Q156" s="5" t="str">
        <f>CONCATENATE(+Contacts!G156)</f>
        <v/>
      </c>
      <c r="R156" t="str">
        <f t="shared" si="73"/>
        <v>&lt;number id="0" prio="1" type="mobile"&gt;+31 654921585&lt;/number&gt;</v>
      </c>
      <c r="S156" s="5">
        <f t="shared" si="74"/>
        <v>1</v>
      </c>
      <c r="T156" s="5">
        <f t="shared" si="75"/>
        <v>1</v>
      </c>
      <c r="U156" s="5" t="str">
        <f>CONCATENATE(+Contacts!H156)</f>
        <v>+31 654921585</v>
      </c>
      <c r="V156" t="str">
        <f t="shared" si="76"/>
        <v/>
      </c>
      <c r="W156" s="5">
        <f t="shared" si="77"/>
        <v>1</v>
      </c>
      <c r="X156" s="5">
        <f t="shared" si="78"/>
        <v>1</v>
      </c>
      <c r="Y156" s="5" t="str">
        <f>CONCATENATE(+Contacts!F156)</f>
        <v/>
      </c>
      <c r="Z156" s="2" t="str">
        <f t="shared" si="79"/>
        <v>Hagens, Ruud (Geluidstechniek)</v>
      </c>
      <c r="AA156" s="2" t="str">
        <f>CONCATENATE(+Contacts!C156)</f>
        <v>Hagens</v>
      </c>
      <c r="AB156" s="2" t="str">
        <f t="shared" si="80"/>
        <v xml:space="preserve">, </v>
      </c>
      <c r="AC156" s="2" t="str">
        <f>CONCATENATE(+Contacts!A156)</f>
        <v>Ruud</v>
      </c>
      <c r="AD156" s="3" t="str">
        <f>CONCATENATE(" ",+Contacts!B156)</f>
        <v xml:space="preserve"> </v>
      </c>
      <c r="AE156" s="2" t="str">
        <f t="shared" si="81"/>
        <v>(</v>
      </c>
      <c r="AF156" s="3" t="str">
        <f>CONCATENATE(+Contacts!D156)</f>
        <v>Geluidstechniek</v>
      </c>
      <c r="AG156" s="2" t="str">
        <f t="shared" si="82"/>
        <v>)</v>
      </c>
      <c r="AH156" t="str">
        <f>CONCATENATE(+Contacts!I156)</f>
        <v/>
      </c>
      <c r="AI156">
        <v>1500000010</v>
      </c>
      <c r="AJ156" s="5">
        <f t="shared" si="83"/>
        <v>1</v>
      </c>
    </row>
    <row r="157" spans="1:36" x14ac:dyDescent="0.35">
      <c r="A157" s="7" t="str">
        <f t="shared" si="58"/>
        <v>&lt;contact&gt;&lt;category&gt;0&lt;/category&gt;&lt;person&gt;&lt;realName&gt;Hakanson, Sven (Built By Sven)&lt;/realName&gt;&lt;/person&gt;</v>
      </c>
      <c r="B157" s="7" t="str">
        <f t="shared" si="59"/>
        <v>&lt;telephony nid="1"&gt;&lt;number id="0" prio="1" type="work"&gt;+31 652 00 64 64&lt;/number&gt;&lt;/telephony&gt;</v>
      </c>
      <c r="C157" s="7" t="str">
        <f t="shared" si="60"/>
        <v>&lt;services nid="1"&gt;&lt;email id="0" classifier="private"&gt;info@builtbysven.nl&lt;/email&gt;&lt;/services&gt;&lt;setup /&gt;&lt;mod_time&gt;1500000010&lt;/mod_time&gt;&lt;uniqueid&gt;1&lt;/uniqueid&gt;&lt;/contact&gt;</v>
      </c>
      <c r="D157" t="str">
        <f t="shared" si="61"/>
        <v>&lt;contact&gt;&lt;category&gt;0&lt;/category&gt;&lt;person&gt;&lt;realName&gt;Hakanson, Sven (Built By Sven)&lt;/realName&gt;&lt;/person&gt;</v>
      </c>
      <c r="E157" t="str">
        <f t="shared" si="62"/>
        <v>&lt;telephony nid="1"&gt;&lt;number id="0" prio="1" type="work"&gt;+31 652 00 64 64&lt;/number&gt;&lt;/telephony&gt;</v>
      </c>
      <c r="F157" t="str">
        <f t="shared" si="63"/>
        <v>&lt;telephony nid="1"&gt;</v>
      </c>
      <c r="G157" t="str">
        <f t="shared" si="64"/>
        <v>&lt;number id="0" prio="1" type="work"&gt;+31 652 00 64 64&lt;/number&gt;</v>
      </c>
      <c r="H157" t="str">
        <f t="shared" si="65"/>
        <v>&lt;services nid="1"&gt;&lt;email id="0" classifier="private"&gt;info@builtbysven.nl&lt;/email&gt;&lt;/services&gt;&lt;setup /&gt;&lt;mod_time&gt;1500000010&lt;/mod_time&gt;&lt;uniqueid&gt;1&lt;/uniqueid&gt;&lt;/contact&gt;</v>
      </c>
      <c r="I157" t="str">
        <f t="shared" si="66"/>
        <v>&lt;services /&gt;&lt;setup /&gt;&lt;mod_time&gt;1500000010&lt;/mod_time&gt;&lt;uniqueid&gt;1&lt;/uniqueid&gt;&lt;/contact&gt;</v>
      </c>
      <c r="J157" t="str">
        <f t="shared" si="67"/>
        <v>&lt;services nid="1"&gt;&lt;email id="0" classifier="private"&gt;info@builtbysven.nl&lt;/email&gt;&lt;/services&gt;&lt;setup /&gt;&lt;mod_time&gt;1500000010&lt;/mod_time&gt;&lt;uniqueid&gt;1&lt;/uniqueid&gt;&lt;/contact&gt;</v>
      </c>
      <c r="K157" s="5">
        <f t="shared" si="68"/>
        <v>1</v>
      </c>
      <c r="L157" s="5">
        <f t="shared" si="69"/>
        <v>1</v>
      </c>
      <c r="M157" s="5" t="str">
        <f>CONCATENATE(+Contacts!E157)</f>
        <v>+31 652 00 64 64</v>
      </c>
      <c r="N157" t="str">
        <f t="shared" si="70"/>
        <v/>
      </c>
      <c r="O157" s="5">
        <f t="shared" si="71"/>
        <v>1</v>
      </c>
      <c r="P157" s="5">
        <f t="shared" si="72"/>
        <v>1</v>
      </c>
      <c r="Q157" s="5" t="str">
        <f>CONCATENATE(+Contacts!G157)</f>
        <v/>
      </c>
      <c r="R157" t="str">
        <f t="shared" si="73"/>
        <v/>
      </c>
      <c r="S157" s="5">
        <f t="shared" si="74"/>
        <v>1</v>
      </c>
      <c r="T157" s="5">
        <f t="shared" si="75"/>
        <v>1</v>
      </c>
      <c r="U157" s="5" t="str">
        <f>CONCATENATE(+Contacts!H157)</f>
        <v/>
      </c>
      <c r="V157" t="str">
        <f t="shared" si="76"/>
        <v/>
      </c>
      <c r="W157" s="5">
        <f t="shared" si="77"/>
        <v>1</v>
      </c>
      <c r="X157" s="5">
        <f t="shared" si="78"/>
        <v>1</v>
      </c>
      <c r="Y157" s="5" t="str">
        <f>CONCATENATE(+Contacts!F157)</f>
        <v/>
      </c>
      <c r="Z157" s="2" t="str">
        <f t="shared" si="79"/>
        <v>Hakanson, Sven (Built By Sven)</v>
      </c>
      <c r="AA157" s="2" t="str">
        <f>CONCATENATE(+Contacts!C157)</f>
        <v>Hakanson</v>
      </c>
      <c r="AB157" s="2" t="str">
        <f t="shared" si="80"/>
        <v xml:space="preserve">, </v>
      </c>
      <c r="AC157" s="2" t="str">
        <f>CONCATENATE(+Contacts!A157)</f>
        <v>Sven</v>
      </c>
      <c r="AD157" s="3" t="str">
        <f>CONCATENATE(" ",+Contacts!B157)</f>
        <v xml:space="preserve"> </v>
      </c>
      <c r="AE157" s="2" t="str">
        <f t="shared" si="81"/>
        <v>(</v>
      </c>
      <c r="AF157" s="3" t="str">
        <f>CONCATENATE(+Contacts!D157)</f>
        <v>Built By Sven</v>
      </c>
      <c r="AG157" s="2" t="str">
        <f t="shared" si="82"/>
        <v>)</v>
      </c>
      <c r="AH157" t="str">
        <f>CONCATENATE(+Contacts!I157)</f>
        <v>info@builtbysven.nl</v>
      </c>
      <c r="AI157">
        <v>1500000010</v>
      </c>
      <c r="AJ157" s="5">
        <f t="shared" si="83"/>
        <v>1</v>
      </c>
    </row>
    <row r="158" spans="1:36" x14ac:dyDescent="0.35">
      <c r="A158" s="7" t="str">
        <f t="shared" si="58"/>
        <v>&lt;contact&gt;&lt;category&gt;0&lt;/category&gt;&lt;person&gt;&lt;realName&gt;Hal, Poul van  &lt;/realName&gt;&lt;/person&gt;</v>
      </c>
      <c r="B158" s="7" t="str">
        <f t="shared" si="59"/>
        <v>&lt;telephony nid="2"&gt;&lt;number id="0" prio="1" type="home"&gt;+31 317414866&lt;/number&gt;&lt;number id="1" prio="0" type="mobile"&gt;+31 621867305&lt;/number&gt;&lt;/telephony&gt;</v>
      </c>
      <c r="C158" s="7" t="str">
        <f t="shared" si="60"/>
        <v>&lt;services nid="1"&gt;&lt;email id="0" classifier="private"&gt;p.vanhal@upcmail.nl&lt;/email&gt;&lt;/services&gt;&lt;setup /&gt;&lt;mod_time&gt;1500000010&lt;/mod_time&gt;&lt;uniqueid&gt;1&lt;/uniqueid&gt;&lt;/contact&gt;</v>
      </c>
      <c r="D158" t="str">
        <f t="shared" si="61"/>
        <v>&lt;contact&gt;&lt;category&gt;0&lt;/category&gt;&lt;person&gt;&lt;realName&gt;Hal, Poul van  &lt;/realName&gt;&lt;/person&gt;</v>
      </c>
      <c r="E158" t="str">
        <f t="shared" si="62"/>
        <v>&lt;telephony nid="2"&gt;&lt;number id="0" prio="1" type="home"&gt;+31 317414866&lt;/number&gt;&lt;number id="1" prio="0" type="mobile"&gt;+31 621867305&lt;/number&gt;&lt;/telephony&gt;</v>
      </c>
      <c r="F158" t="str">
        <f t="shared" si="63"/>
        <v>&lt;telephony nid="2"&gt;</v>
      </c>
      <c r="G158" t="str">
        <f t="shared" si="64"/>
        <v/>
      </c>
      <c r="H158" t="str">
        <f t="shared" si="65"/>
        <v>&lt;services nid="1"&gt;&lt;email id="0" classifier="private"&gt;p.vanhal@upcmail.nl&lt;/email&gt;&lt;/services&gt;&lt;setup /&gt;&lt;mod_time&gt;1500000010&lt;/mod_time&gt;&lt;uniqueid&gt;1&lt;/uniqueid&gt;&lt;/contact&gt;</v>
      </c>
      <c r="I158" t="str">
        <f t="shared" si="66"/>
        <v>&lt;services /&gt;&lt;setup /&gt;&lt;mod_time&gt;1500000010&lt;/mod_time&gt;&lt;uniqueid&gt;1&lt;/uniqueid&gt;&lt;/contact&gt;</v>
      </c>
      <c r="J158" t="str">
        <f t="shared" si="67"/>
        <v>&lt;services nid="1"&gt;&lt;email id="0" classifier="private"&gt;p.vanhal@upcmail.nl&lt;/email&gt;&lt;/services&gt;&lt;setup /&gt;&lt;mod_time&gt;1500000010&lt;/mod_time&gt;&lt;uniqueid&gt;1&lt;/uniqueid&gt;&lt;/contact&gt;</v>
      </c>
      <c r="K158" s="5">
        <f t="shared" si="68"/>
        <v>0</v>
      </c>
      <c r="L158" s="5">
        <f t="shared" si="69"/>
        <v>0</v>
      </c>
      <c r="M158" s="5" t="str">
        <f>CONCATENATE(+Contacts!E158)</f>
        <v/>
      </c>
      <c r="N158" t="str">
        <f t="shared" si="70"/>
        <v>&lt;number id="0" prio="1" type="home"&gt;+31 317414866&lt;/number&gt;</v>
      </c>
      <c r="O158" s="5">
        <f t="shared" si="71"/>
        <v>1</v>
      </c>
      <c r="P158" s="5">
        <f t="shared" si="72"/>
        <v>1</v>
      </c>
      <c r="Q158" s="5" t="str">
        <f>CONCATENATE(+Contacts!G158)</f>
        <v>+31 317414866</v>
      </c>
      <c r="R158" t="str">
        <f t="shared" si="73"/>
        <v>&lt;number id="1" prio="0" type="mobile"&gt;+31 621867305&lt;/number&gt;</v>
      </c>
      <c r="S158" s="5">
        <f t="shared" si="74"/>
        <v>2</v>
      </c>
      <c r="T158" s="5">
        <f t="shared" si="75"/>
        <v>0</v>
      </c>
      <c r="U158" s="5" t="str">
        <f>CONCATENATE(+Contacts!H158)</f>
        <v>+31 621867305</v>
      </c>
      <c r="V158" t="str">
        <f t="shared" si="76"/>
        <v/>
      </c>
      <c r="W158" s="5">
        <f t="shared" si="77"/>
        <v>2</v>
      </c>
      <c r="X158" s="5">
        <f t="shared" si="78"/>
        <v>0</v>
      </c>
      <c r="Y158" s="5" t="str">
        <f>CONCATENATE(+Contacts!F158)</f>
        <v/>
      </c>
      <c r="Z158" s="2" t="str">
        <f t="shared" si="79"/>
        <v xml:space="preserve">Hal, Poul van  </v>
      </c>
      <c r="AA158" s="2" t="str">
        <f>CONCATENATE(+Contacts!C158)</f>
        <v>Hal</v>
      </c>
      <c r="AB158" s="2" t="str">
        <f t="shared" si="80"/>
        <v xml:space="preserve">, </v>
      </c>
      <c r="AC158" s="2" t="str">
        <f>CONCATENATE(+Contacts!A158)</f>
        <v>Poul</v>
      </c>
      <c r="AD158" s="3" t="str">
        <f>CONCATENATE(" ",+Contacts!B158)</f>
        <v xml:space="preserve"> van</v>
      </c>
      <c r="AE158" s="2" t="str">
        <f t="shared" si="81"/>
        <v xml:space="preserve"> </v>
      </c>
      <c r="AF158" s="3" t="str">
        <f>CONCATENATE(+Contacts!D158)</f>
        <v/>
      </c>
      <c r="AG158" s="2" t="str">
        <f t="shared" si="82"/>
        <v xml:space="preserve"> </v>
      </c>
      <c r="AH158" t="str">
        <f>CONCATENATE(+Contacts!I158)</f>
        <v>p.vanhal@upcmail.nl</v>
      </c>
      <c r="AI158">
        <v>1500000010</v>
      </c>
      <c r="AJ158" s="5">
        <f t="shared" si="83"/>
        <v>1</v>
      </c>
    </row>
    <row r="159" spans="1:36" x14ac:dyDescent="0.35">
      <c r="A159" s="7" t="str">
        <f t="shared" si="58"/>
        <v>&lt;contact&gt;&lt;category&gt;0&lt;/category&gt;&lt;person&gt;&lt;realName&gt;Ham-De Bruin, Corry van der  &lt;/realName&gt;&lt;/person&gt;</v>
      </c>
      <c r="B159" s="7" t="str">
        <f t="shared" si="59"/>
        <v>&lt;telephony nid="1"&gt;&lt;number id="0" prio="1" type="home"&gt;+31 102181222&lt;/number&gt;&lt;/telephony&gt;</v>
      </c>
      <c r="C159" s="7" t="str">
        <f t="shared" si="60"/>
        <v>&lt;services /&gt;&lt;setup /&gt;&lt;mod_time&gt;1500000010&lt;/mod_time&gt;&lt;uniqueid&gt;1&lt;/uniqueid&gt;&lt;/contact&gt;</v>
      </c>
      <c r="D159" t="str">
        <f t="shared" si="61"/>
        <v>&lt;contact&gt;&lt;category&gt;0&lt;/category&gt;&lt;person&gt;&lt;realName&gt;Ham-De Bruin, Corry van der  &lt;/realName&gt;&lt;/person&gt;</v>
      </c>
      <c r="E159" t="str">
        <f t="shared" si="62"/>
        <v>&lt;telephony nid="1"&gt;&lt;number id="0" prio="1" type="home"&gt;+31 102181222&lt;/number&gt;&lt;/telephony&gt;</v>
      </c>
      <c r="F159" t="str">
        <f t="shared" si="63"/>
        <v>&lt;telephony nid="1"&gt;</v>
      </c>
      <c r="G159" t="str">
        <f t="shared" si="64"/>
        <v/>
      </c>
      <c r="H159" t="str">
        <f t="shared" si="65"/>
        <v>&lt;services nid="1"&gt;&lt;email id="0" classifier="private"&gt;&lt;/email&gt;&lt;/services&gt;&lt;setup /&gt;&lt;mod_time&gt;1500000010&lt;/mod_time&gt;&lt;uniqueid&gt;1&lt;/uniqueid&gt;&lt;/contact&gt;</v>
      </c>
      <c r="I159" t="str">
        <f t="shared" si="66"/>
        <v>&lt;services /&gt;&lt;setup /&gt;&lt;mod_time&gt;1500000010&lt;/mod_time&gt;&lt;uniqueid&gt;1&lt;/uniqueid&gt;&lt;/contact&gt;</v>
      </c>
      <c r="J159" t="str">
        <f t="shared" si="67"/>
        <v>&lt;services /&gt;&lt;setup /&gt;&lt;mod_time&gt;1500000010&lt;/mod_time&gt;&lt;uniqueid&gt;1&lt;/uniqueid&gt;&lt;/contact&gt;</v>
      </c>
      <c r="K159" s="5">
        <f t="shared" si="68"/>
        <v>0</v>
      </c>
      <c r="L159" s="5">
        <f t="shared" si="69"/>
        <v>0</v>
      </c>
      <c r="M159" s="5" t="str">
        <f>CONCATENATE(+Contacts!E159)</f>
        <v/>
      </c>
      <c r="N159" t="str">
        <f t="shared" si="70"/>
        <v>&lt;number id="0" prio="1" type="home"&gt;+31 102181222&lt;/number&gt;</v>
      </c>
      <c r="O159" s="5">
        <f t="shared" si="71"/>
        <v>1</v>
      </c>
      <c r="P159" s="5">
        <f t="shared" si="72"/>
        <v>1</v>
      </c>
      <c r="Q159" s="5" t="str">
        <f>CONCATENATE(+Contacts!G159)</f>
        <v>+31 102181222</v>
      </c>
      <c r="R159" t="str">
        <f t="shared" si="73"/>
        <v/>
      </c>
      <c r="S159" s="5">
        <f t="shared" si="74"/>
        <v>1</v>
      </c>
      <c r="T159" s="5">
        <f t="shared" si="75"/>
        <v>1</v>
      </c>
      <c r="U159" s="5" t="str">
        <f>CONCATENATE(+Contacts!H159)</f>
        <v/>
      </c>
      <c r="V159" t="str">
        <f t="shared" si="76"/>
        <v/>
      </c>
      <c r="W159" s="5">
        <f t="shared" si="77"/>
        <v>1</v>
      </c>
      <c r="X159" s="5">
        <f t="shared" si="78"/>
        <v>1</v>
      </c>
      <c r="Y159" s="5" t="str">
        <f>CONCATENATE(+Contacts!F159)</f>
        <v/>
      </c>
      <c r="Z159" s="2" t="str">
        <f t="shared" si="79"/>
        <v xml:space="preserve">Ham-De Bruin, Corry van der  </v>
      </c>
      <c r="AA159" s="2" t="str">
        <f>CONCATENATE(+Contacts!C159)</f>
        <v>Ham-De Bruin</v>
      </c>
      <c r="AB159" s="2" t="str">
        <f t="shared" si="80"/>
        <v xml:space="preserve">, </v>
      </c>
      <c r="AC159" s="2" t="str">
        <f>CONCATENATE(+Contacts!A159)</f>
        <v>Corry</v>
      </c>
      <c r="AD159" s="3" t="str">
        <f>CONCATENATE(" ",+Contacts!B159)</f>
        <v xml:space="preserve"> van der</v>
      </c>
      <c r="AE159" s="2" t="str">
        <f t="shared" si="81"/>
        <v xml:space="preserve"> </v>
      </c>
      <c r="AF159" s="3" t="str">
        <f>CONCATENATE(+Contacts!D159)</f>
        <v/>
      </c>
      <c r="AG159" s="2" t="str">
        <f t="shared" si="82"/>
        <v xml:space="preserve"> </v>
      </c>
      <c r="AH159" t="str">
        <f>CONCATENATE(+Contacts!I159)</f>
        <v/>
      </c>
      <c r="AI159">
        <v>1500000010</v>
      </c>
      <c r="AJ159" s="5">
        <f t="shared" si="83"/>
        <v>1</v>
      </c>
    </row>
    <row r="160" spans="1:36" x14ac:dyDescent="0.35">
      <c r="A160" s="7" t="str">
        <f t="shared" si="58"/>
        <v>&lt;contact&gt;&lt;category&gt;0&lt;/category&gt;&lt;person&gt;&lt;realName&gt;Ham, Maja van  &lt;/realName&gt;&lt;/person&gt;</v>
      </c>
      <c r="B160" s="7" t="str">
        <f t="shared" si="59"/>
        <v>&lt;telephony nid="1"&gt;&lt;number id="0" prio="1" type="mobile"&gt;+31 654790104&lt;/number&gt;&lt;/telephony&gt;</v>
      </c>
      <c r="C160" s="7" t="str">
        <f t="shared" si="60"/>
        <v>&lt;services nid="1"&gt;&lt;email id="0" classifier="private"&gt;mvham-haentjensdek@Melanchthon.nl&lt;/email&gt;&lt;/services&gt;&lt;setup /&gt;&lt;mod_time&gt;1500000010&lt;/mod_time&gt;&lt;uniqueid&gt;1&lt;/uniqueid&gt;&lt;/contact&gt;</v>
      </c>
      <c r="D160" t="str">
        <f t="shared" si="61"/>
        <v>&lt;contact&gt;&lt;category&gt;0&lt;/category&gt;&lt;person&gt;&lt;realName&gt;Ham, Maja van  &lt;/realName&gt;&lt;/person&gt;</v>
      </c>
      <c r="E160" t="str">
        <f t="shared" si="62"/>
        <v>&lt;telephony nid="1"&gt;&lt;number id="0" prio="1" type="mobile"&gt;+31 654790104&lt;/number&gt;&lt;/telephony&gt;</v>
      </c>
      <c r="F160" t="str">
        <f t="shared" si="63"/>
        <v>&lt;telephony nid="1"&gt;</v>
      </c>
      <c r="G160" t="str">
        <f t="shared" si="64"/>
        <v/>
      </c>
      <c r="H160" t="str">
        <f t="shared" si="65"/>
        <v>&lt;services nid="1"&gt;&lt;email id="0" classifier="private"&gt;mvham-haentjensdek@Melanchthon.nl&lt;/email&gt;&lt;/services&gt;&lt;setup /&gt;&lt;mod_time&gt;1500000010&lt;/mod_time&gt;&lt;uniqueid&gt;1&lt;/uniqueid&gt;&lt;/contact&gt;</v>
      </c>
      <c r="I160" t="str">
        <f t="shared" si="66"/>
        <v>&lt;services /&gt;&lt;setup /&gt;&lt;mod_time&gt;1500000010&lt;/mod_time&gt;&lt;uniqueid&gt;1&lt;/uniqueid&gt;&lt;/contact&gt;</v>
      </c>
      <c r="J160" t="str">
        <f t="shared" si="67"/>
        <v>&lt;services nid="1"&gt;&lt;email id="0" classifier="private"&gt;mvham-haentjensdek@Melanchthon.nl&lt;/email&gt;&lt;/services&gt;&lt;setup /&gt;&lt;mod_time&gt;1500000010&lt;/mod_time&gt;&lt;uniqueid&gt;1&lt;/uniqueid&gt;&lt;/contact&gt;</v>
      </c>
      <c r="K160" s="5">
        <f t="shared" si="68"/>
        <v>0</v>
      </c>
      <c r="L160" s="5">
        <f t="shared" si="69"/>
        <v>0</v>
      </c>
      <c r="M160" s="5" t="str">
        <f>CONCATENATE(+Contacts!E160)</f>
        <v/>
      </c>
      <c r="N160" t="str">
        <f t="shared" si="70"/>
        <v/>
      </c>
      <c r="O160" s="5">
        <f t="shared" si="71"/>
        <v>0</v>
      </c>
      <c r="P160" s="5">
        <f t="shared" si="72"/>
        <v>0</v>
      </c>
      <c r="Q160" s="5" t="str">
        <f>CONCATENATE(+Contacts!G160)</f>
        <v/>
      </c>
      <c r="R160" t="str">
        <f t="shared" si="73"/>
        <v>&lt;number id="0" prio="1" type="mobile"&gt;+31 654790104&lt;/number&gt;</v>
      </c>
      <c r="S160" s="5">
        <f t="shared" si="74"/>
        <v>1</v>
      </c>
      <c r="T160" s="5">
        <f t="shared" si="75"/>
        <v>1</v>
      </c>
      <c r="U160" s="5" t="str">
        <f>CONCATENATE(+Contacts!H160)</f>
        <v>+31 654790104</v>
      </c>
      <c r="V160" t="str">
        <f t="shared" si="76"/>
        <v/>
      </c>
      <c r="W160" s="5">
        <f t="shared" si="77"/>
        <v>1</v>
      </c>
      <c r="X160" s="5">
        <f t="shared" si="78"/>
        <v>1</v>
      </c>
      <c r="Y160" s="5" t="str">
        <f>CONCATENATE(+Contacts!F160)</f>
        <v/>
      </c>
      <c r="Z160" s="2" t="str">
        <f t="shared" si="79"/>
        <v xml:space="preserve">Ham, Maja van  </v>
      </c>
      <c r="AA160" s="2" t="str">
        <f>CONCATENATE(+Contacts!C160)</f>
        <v>Ham</v>
      </c>
      <c r="AB160" s="2" t="str">
        <f t="shared" si="80"/>
        <v xml:space="preserve">, </v>
      </c>
      <c r="AC160" s="2" t="str">
        <f>CONCATENATE(+Contacts!A160)</f>
        <v>Maja</v>
      </c>
      <c r="AD160" s="3" t="str">
        <f>CONCATENATE(" ",+Contacts!B160)</f>
        <v xml:space="preserve"> van</v>
      </c>
      <c r="AE160" s="2" t="str">
        <f t="shared" si="81"/>
        <v xml:space="preserve"> </v>
      </c>
      <c r="AF160" s="3" t="str">
        <f>CONCATENATE(+Contacts!D160)</f>
        <v/>
      </c>
      <c r="AG160" s="2" t="str">
        <f t="shared" si="82"/>
        <v xml:space="preserve"> </v>
      </c>
      <c r="AH160" t="str">
        <f>CONCATENATE(+Contacts!I160)</f>
        <v>mvham-haentjensdek@Melanchthon.nl</v>
      </c>
      <c r="AI160">
        <v>1500000010</v>
      </c>
      <c r="AJ160" s="5">
        <f t="shared" si="83"/>
        <v>1</v>
      </c>
    </row>
    <row r="161" spans="1:36" x14ac:dyDescent="0.35">
      <c r="A161" s="7" t="str">
        <f t="shared" si="58"/>
        <v>&lt;contact&gt;&lt;category&gt;0&lt;/category&gt;&lt;person&gt;&lt;realName&gt;Hardon, Elly   &lt;/realName&gt;&lt;/person&gt;</v>
      </c>
      <c r="B161" s="7" t="str">
        <f t="shared" si="59"/>
        <v>&lt;telephony nid="2"&gt;&lt;number id="0" prio="1" type="home"&gt;00 31 10 455 20 56&lt;/number&gt;&lt;number id="1" prio="0" type="mobile"&gt;(06) 24 27 71 16&lt;/number&gt;&lt;/telephony&gt;</v>
      </c>
      <c r="C161" s="7" t="str">
        <f t="shared" si="60"/>
        <v>&lt;services /&gt;&lt;setup /&gt;&lt;mod_time&gt;1500000010&lt;/mod_time&gt;&lt;uniqueid&gt;1&lt;/uniqueid&gt;&lt;/contact&gt;</v>
      </c>
      <c r="D161" t="str">
        <f t="shared" si="61"/>
        <v>&lt;contact&gt;&lt;category&gt;0&lt;/category&gt;&lt;person&gt;&lt;realName&gt;Hardon, Elly   &lt;/realName&gt;&lt;/person&gt;</v>
      </c>
      <c r="E161" t="str">
        <f t="shared" si="62"/>
        <v>&lt;telephony nid="2"&gt;&lt;number id="0" prio="1" type="home"&gt;00 31 10 455 20 56&lt;/number&gt;&lt;number id="1" prio="0" type="mobile"&gt;(06) 24 27 71 16&lt;/number&gt;&lt;/telephony&gt;</v>
      </c>
      <c r="F161" t="str">
        <f t="shared" si="63"/>
        <v>&lt;telephony nid="2"&gt;</v>
      </c>
      <c r="G161" t="str">
        <f t="shared" si="64"/>
        <v/>
      </c>
      <c r="H161" t="str">
        <f t="shared" si="65"/>
        <v>&lt;services nid="1"&gt;&lt;email id="0" classifier="private"&gt;&lt;/email&gt;&lt;/services&gt;&lt;setup /&gt;&lt;mod_time&gt;1500000010&lt;/mod_time&gt;&lt;uniqueid&gt;1&lt;/uniqueid&gt;&lt;/contact&gt;</v>
      </c>
      <c r="I161" t="str">
        <f t="shared" si="66"/>
        <v>&lt;services /&gt;&lt;setup /&gt;&lt;mod_time&gt;1500000010&lt;/mod_time&gt;&lt;uniqueid&gt;1&lt;/uniqueid&gt;&lt;/contact&gt;</v>
      </c>
      <c r="J161" t="str">
        <f t="shared" si="67"/>
        <v>&lt;services /&gt;&lt;setup /&gt;&lt;mod_time&gt;1500000010&lt;/mod_time&gt;&lt;uniqueid&gt;1&lt;/uniqueid&gt;&lt;/contact&gt;</v>
      </c>
      <c r="K161" s="5">
        <f t="shared" si="68"/>
        <v>0</v>
      </c>
      <c r="L161" s="5">
        <f t="shared" si="69"/>
        <v>0</v>
      </c>
      <c r="M161" s="5" t="str">
        <f>CONCATENATE(+Contacts!E161)</f>
        <v/>
      </c>
      <c r="N161" t="str">
        <f t="shared" si="70"/>
        <v>&lt;number id="0" prio="1" type="home"&gt;00 31 10 455 20 56&lt;/number&gt;</v>
      </c>
      <c r="O161" s="5">
        <f t="shared" si="71"/>
        <v>1</v>
      </c>
      <c r="P161" s="5">
        <f t="shared" si="72"/>
        <v>1</v>
      </c>
      <c r="Q161" s="5" t="str">
        <f>CONCATENATE(+Contacts!G161)</f>
        <v>00 31 10 455 20 56</v>
      </c>
      <c r="R161" t="str">
        <f t="shared" si="73"/>
        <v>&lt;number id="1" prio="0" type="mobile"&gt;(06) 24 27 71 16&lt;/number&gt;</v>
      </c>
      <c r="S161" s="5">
        <f t="shared" si="74"/>
        <v>2</v>
      </c>
      <c r="T161" s="5">
        <f t="shared" si="75"/>
        <v>0</v>
      </c>
      <c r="U161" s="5" t="str">
        <f>CONCATENATE(+Contacts!H161)</f>
        <v>(06) 24 27 71 16</v>
      </c>
      <c r="V161" t="str">
        <f t="shared" si="76"/>
        <v/>
      </c>
      <c r="W161" s="5">
        <f t="shared" si="77"/>
        <v>2</v>
      </c>
      <c r="X161" s="5">
        <f t="shared" si="78"/>
        <v>0</v>
      </c>
      <c r="Y161" s="5" t="str">
        <f>CONCATENATE(+Contacts!F161)</f>
        <v/>
      </c>
      <c r="Z161" s="2" t="str">
        <f t="shared" si="79"/>
        <v xml:space="preserve">Hardon, Elly   </v>
      </c>
      <c r="AA161" s="2" t="str">
        <f>CONCATENATE(+Contacts!C161)</f>
        <v>Hardon</v>
      </c>
      <c r="AB161" s="2" t="str">
        <f t="shared" si="80"/>
        <v xml:space="preserve">, </v>
      </c>
      <c r="AC161" s="2" t="str">
        <f>CONCATENATE(+Contacts!A161)</f>
        <v>Elly</v>
      </c>
      <c r="AD161" s="3" t="str">
        <f>CONCATENATE(" ",+Contacts!B161)</f>
        <v xml:space="preserve"> </v>
      </c>
      <c r="AE161" s="2" t="str">
        <f t="shared" si="81"/>
        <v xml:space="preserve"> </v>
      </c>
      <c r="AF161" s="3" t="str">
        <f>CONCATENATE(+Contacts!D161)</f>
        <v/>
      </c>
      <c r="AG161" s="2" t="str">
        <f t="shared" si="82"/>
        <v xml:space="preserve"> </v>
      </c>
      <c r="AH161" t="str">
        <f>CONCATENATE(+Contacts!I161)</f>
        <v/>
      </c>
      <c r="AI161">
        <v>1500000010</v>
      </c>
      <c r="AJ161" s="5">
        <f t="shared" si="83"/>
        <v>1</v>
      </c>
    </row>
    <row r="162" spans="1:36" x14ac:dyDescent="0.35">
      <c r="A162" s="7" t="str">
        <f t="shared" si="58"/>
        <v>&lt;contact&gt;&lt;category&gt;0&lt;/category&gt;&lt;person&gt;&lt;realName&gt;Hares-Visser, Gemma (Klaprooslaan)   &lt;/realName&gt;&lt;/person&gt;</v>
      </c>
      <c r="B162" s="7" t="str">
        <f t="shared" si="59"/>
        <v>&lt;telephony nid="1"&gt;&lt;number id="0" prio="1" type="home"&gt;(06) 55 30 57 06&lt;/number&gt;&lt;/telephony&gt;</v>
      </c>
      <c r="C162" s="7" t="str">
        <f t="shared" si="60"/>
        <v>&lt;services /&gt;&lt;setup /&gt;&lt;mod_time&gt;1500000010&lt;/mod_time&gt;&lt;uniqueid&gt;1&lt;/uniqueid&gt;&lt;/contact&gt;</v>
      </c>
      <c r="D162" t="str">
        <f t="shared" si="61"/>
        <v>&lt;contact&gt;&lt;category&gt;0&lt;/category&gt;&lt;person&gt;&lt;realName&gt;Hares-Visser, Gemma (Klaprooslaan)   &lt;/realName&gt;&lt;/person&gt;</v>
      </c>
      <c r="E162" t="str">
        <f t="shared" si="62"/>
        <v>&lt;telephony nid="1"&gt;&lt;number id="0" prio="1" type="home"&gt;(06) 55 30 57 06&lt;/number&gt;&lt;/telephony&gt;</v>
      </c>
      <c r="F162" t="str">
        <f t="shared" si="63"/>
        <v>&lt;telephony nid="1"&gt;</v>
      </c>
      <c r="G162" t="str">
        <f t="shared" si="64"/>
        <v/>
      </c>
      <c r="H162" t="str">
        <f t="shared" si="65"/>
        <v>&lt;services nid="1"&gt;&lt;email id="0" classifier="private"&gt;&lt;/email&gt;&lt;/services&gt;&lt;setup /&gt;&lt;mod_time&gt;1500000010&lt;/mod_time&gt;&lt;uniqueid&gt;1&lt;/uniqueid&gt;&lt;/contact&gt;</v>
      </c>
      <c r="I162" t="str">
        <f t="shared" si="66"/>
        <v>&lt;services /&gt;&lt;setup /&gt;&lt;mod_time&gt;1500000010&lt;/mod_time&gt;&lt;uniqueid&gt;1&lt;/uniqueid&gt;&lt;/contact&gt;</v>
      </c>
      <c r="J162" t="str">
        <f t="shared" si="67"/>
        <v>&lt;services /&gt;&lt;setup /&gt;&lt;mod_time&gt;1500000010&lt;/mod_time&gt;&lt;uniqueid&gt;1&lt;/uniqueid&gt;&lt;/contact&gt;</v>
      </c>
      <c r="K162" s="5">
        <f t="shared" si="68"/>
        <v>0</v>
      </c>
      <c r="L162" s="5">
        <f t="shared" si="69"/>
        <v>0</v>
      </c>
      <c r="M162" s="5" t="str">
        <f>CONCATENATE(+Contacts!E162)</f>
        <v/>
      </c>
      <c r="N162" t="str">
        <f t="shared" si="70"/>
        <v>&lt;number id="0" prio="1" type="home"&gt;(06) 55 30 57 06&lt;/number&gt;</v>
      </c>
      <c r="O162" s="5">
        <f t="shared" si="71"/>
        <v>1</v>
      </c>
      <c r="P162" s="5">
        <f t="shared" si="72"/>
        <v>1</v>
      </c>
      <c r="Q162" s="5" t="str">
        <f>CONCATENATE(+Contacts!G162)</f>
        <v>(06) 55 30 57 06</v>
      </c>
      <c r="R162" t="str">
        <f t="shared" si="73"/>
        <v/>
      </c>
      <c r="S162" s="5">
        <f t="shared" si="74"/>
        <v>1</v>
      </c>
      <c r="T162" s="5">
        <f t="shared" si="75"/>
        <v>1</v>
      </c>
      <c r="U162" s="5" t="str">
        <f>CONCATENATE(+Contacts!H162)</f>
        <v/>
      </c>
      <c r="V162" t="str">
        <f t="shared" si="76"/>
        <v/>
      </c>
      <c r="W162" s="5">
        <f t="shared" si="77"/>
        <v>1</v>
      </c>
      <c r="X162" s="5">
        <f t="shared" si="78"/>
        <v>1</v>
      </c>
      <c r="Y162" s="5" t="str">
        <f>CONCATENATE(+Contacts!F162)</f>
        <v/>
      </c>
      <c r="Z162" s="2" t="str">
        <f t="shared" si="79"/>
        <v xml:space="preserve">Hares-Visser, Gemma (Klaprooslaan)   </v>
      </c>
      <c r="AA162" s="2" t="str">
        <f>CONCATENATE(+Contacts!C162)</f>
        <v>Hares-Visser</v>
      </c>
      <c r="AB162" s="2" t="str">
        <f t="shared" si="80"/>
        <v xml:space="preserve">, </v>
      </c>
      <c r="AC162" s="2" t="str">
        <f>CONCATENATE(+Contacts!A162)</f>
        <v>Gemma (Klaprooslaan)</v>
      </c>
      <c r="AD162" s="3" t="str">
        <f>CONCATENATE(" ",+Contacts!B162)</f>
        <v xml:space="preserve"> </v>
      </c>
      <c r="AE162" s="2" t="str">
        <f t="shared" si="81"/>
        <v xml:space="preserve"> </v>
      </c>
      <c r="AF162" s="3" t="str">
        <f>CONCATENATE(+Contacts!D162)</f>
        <v/>
      </c>
      <c r="AG162" s="2" t="str">
        <f t="shared" si="82"/>
        <v xml:space="preserve"> </v>
      </c>
      <c r="AH162" t="str">
        <f>CONCATENATE(+Contacts!I162)</f>
        <v/>
      </c>
      <c r="AI162">
        <v>1500000010</v>
      </c>
      <c r="AJ162" s="5">
        <f t="shared" si="83"/>
        <v>1</v>
      </c>
    </row>
    <row r="163" spans="1:36" x14ac:dyDescent="0.35">
      <c r="A163" s="7" t="str">
        <f t="shared" si="58"/>
        <v>&lt;contact&gt;&lt;category&gt;0&lt;/category&gt;&lt;person&gt;&lt;realName&gt;Harper, Katherine   &lt;/realName&gt;&lt;/person&gt;</v>
      </c>
      <c r="B163" s="7" t="str">
        <f t="shared" si="59"/>
        <v>&lt;telephony nid="2"&gt;&lt;number id="0" prio="1" type="home"&gt;+33 952654607&lt;/number&gt;&lt;number id="1" prio="0" type="mobile"&gt;+33 620283851&lt;/number&gt;&lt;/telephony&gt;</v>
      </c>
      <c r="C163" s="7" t="str">
        <f t="shared" si="60"/>
        <v>&lt;services nid="1"&gt;&lt;email id="0" classifier="private"&gt;katherine.harper@yahoo.fr&lt;/email&gt;&lt;/services&gt;&lt;setup /&gt;&lt;mod_time&gt;1500000010&lt;/mod_time&gt;&lt;uniqueid&gt;1&lt;/uniqueid&gt;&lt;/contact&gt;</v>
      </c>
      <c r="D163" t="str">
        <f t="shared" si="61"/>
        <v>&lt;contact&gt;&lt;category&gt;0&lt;/category&gt;&lt;person&gt;&lt;realName&gt;Harper, Katherine   &lt;/realName&gt;&lt;/person&gt;</v>
      </c>
      <c r="E163" t="str">
        <f t="shared" si="62"/>
        <v>&lt;telephony nid="2"&gt;&lt;number id="0" prio="1" type="home"&gt;+33 952654607&lt;/number&gt;&lt;number id="1" prio="0" type="mobile"&gt;+33 620283851&lt;/number&gt;&lt;/telephony&gt;</v>
      </c>
      <c r="F163" t="str">
        <f t="shared" si="63"/>
        <v>&lt;telephony nid="2"&gt;</v>
      </c>
      <c r="G163" t="str">
        <f t="shared" si="64"/>
        <v/>
      </c>
      <c r="H163" t="str">
        <f t="shared" si="65"/>
        <v>&lt;services nid="1"&gt;&lt;email id="0" classifier="private"&gt;katherine.harper@yahoo.fr&lt;/email&gt;&lt;/services&gt;&lt;setup /&gt;&lt;mod_time&gt;1500000010&lt;/mod_time&gt;&lt;uniqueid&gt;1&lt;/uniqueid&gt;&lt;/contact&gt;</v>
      </c>
      <c r="I163" t="str">
        <f t="shared" si="66"/>
        <v>&lt;services /&gt;&lt;setup /&gt;&lt;mod_time&gt;1500000010&lt;/mod_time&gt;&lt;uniqueid&gt;1&lt;/uniqueid&gt;&lt;/contact&gt;</v>
      </c>
      <c r="J163" t="str">
        <f t="shared" si="67"/>
        <v>&lt;services nid="1"&gt;&lt;email id="0" classifier="private"&gt;katherine.harper@yahoo.fr&lt;/email&gt;&lt;/services&gt;&lt;setup /&gt;&lt;mod_time&gt;1500000010&lt;/mod_time&gt;&lt;uniqueid&gt;1&lt;/uniqueid&gt;&lt;/contact&gt;</v>
      </c>
      <c r="K163" s="5">
        <f t="shared" si="68"/>
        <v>0</v>
      </c>
      <c r="L163" s="5">
        <f t="shared" si="69"/>
        <v>0</v>
      </c>
      <c r="M163" s="5" t="str">
        <f>CONCATENATE(+Contacts!E163)</f>
        <v/>
      </c>
      <c r="N163" t="str">
        <f t="shared" si="70"/>
        <v>&lt;number id="0" prio="1" type="home"&gt;+33 952654607&lt;/number&gt;</v>
      </c>
      <c r="O163" s="5">
        <f t="shared" si="71"/>
        <v>1</v>
      </c>
      <c r="P163" s="5">
        <f t="shared" si="72"/>
        <v>1</v>
      </c>
      <c r="Q163" s="5" t="str">
        <f>CONCATENATE(+Contacts!G163)</f>
        <v>+33 952654607</v>
      </c>
      <c r="R163" t="str">
        <f t="shared" si="73"/>
        <v>&lt;number id="1" prio="0" type="mobile"&gt;+33 620283851&lt;/number&gt;</v>
      </c>
      <c r="S163" s="5">
        <f t="shared" si="74"/>
        <v>2</v>
      </c>
      <c r="T163" s="5">
        <f t="shared" si="75"/>
        <v>0</v>
      </c>
      <c r="U163" s="5" t="str">
        <f>CONCATENATE(+Contacts!H163)</f>
        <v>+33 620283851</v>
      </c>
      <c r="V163" t="str">
        <f t="shared" si="76"/>
        <v/>
      </c>
      <c r="W163" s="5">
        <f t="shared" si="77"/>
        <v>2</v>
      </c>
      <c r="X163" s="5">
        <f t="shared" si="78"/>
        <v>0</v>
      </c>
      <c r="Y163" s="5" t="str">
        <f>CONCATENATE(+Contacts!F163)</f>
        <v/>
      </c>
      <c r="Z163" s="2" t="str">
        <f t="shared" si="79"/>
        <v xml:space="preserve">Harper, Katherine   </v>
      </c>
      <c r="AA163" s="2" t="str">
        <f>CONCATENATE(+Contacts!C163)</f>
        <v>Harper</v>
      </c>
      <c r="AB163" s="2" t="str">
        <f t="shared" si="80"/>
        <v xml:space="preserve">, </v>
      </c>
      <c r="AC163" s="2" t="str">
        <f>CONCATENATE(+Contacts!A163)</f>
        <v>Katherine</v>
      </c>
      <c r="AD163" s="3" t="str">
        <f>CONCATENATE(" ",+Contacts!B163)</f>
        <v xml:space="preserve"> </v>
      </c>
      <c r="AE163" s="2" t="str">
        <f t="shared" si="81"/>
        <v xml:space="preserve"> </v>
      </c>
      <c r="AF163" s="3" t="str">
        <f>CONCATENATE(+Contacts!D163)</f>
        <v/>
      </c>
      <c r="AG163" s="2" t="str">
        <f t="shared" si="82"/>
        <v xml:space="preserve"> </v>
      </c>
      <c r="AH163" t="str">
        <f>CONCATENATE(+Contacts!I163)</f>
        <v>katherine.harper@yahoo.fr</v>
      </c>
      <c r="AI163">
        <v>1500000010</v>
      </c>
      <c r="AJ163" s="5">
        <f t="shared" si="83"/>
        <v>1</v>
      </c>
    </row>
    <row r="164" spans="1:36" x14ac:dyDescent="0.35">
      <c r="A164" s="7" t="str">
        <f t="shared" si="58"/>
        <v>&lt;contact&gt;&lt;category&gt;0&lt;/category&gt;&lt;person&gt;&lt;realName&gt;Hartmanns, Leonieke   &lt;/realName&gt;&lt;/person&gt;</v>
      </c>
      <c r="B164" s="7" t="str">
        <f t="shared" si="59"/>
        <v>&lt;telephony nid="1"&gt;&lt;number id="0" prio="1" type="mobile"&gt;+31 611408358&lt;/number&gt;&lt;/telephony&gt;</v>
      </c>
      <c r="C164" s="7" t="str">
        <f t="shared" si="60"/>
        <v>&lt;services nid="1"&gt;&lt;email id="0" classifier="private"&gt;leonieke@ziggo.nl&lt;/email&gt;&lt;/services&gt;&lt;setup /&gt;&lt;mod_time&gt;1500000010&lt;/mod_time&gt;&lt;uniqueid&gt;1&lt;/uniqueid&gt;&lt;/contact&gt;</v>
      </c>
      <c r="D164" t="str">
        <f t="shared" si="61"/>
        <v>&lt;contact&gt;&lt;category&gt;0&lt;/category&gt;&lt;person&gt;&lt;realName&gt;Hartmanns, Leonieke   &lt;/realName&gt;&lt;/person&gt;</v>
      </c>
      <c r="E164" t="str">
        <f t="shared" si="62"/>
        <v>&lt;telephony nid="1"&gt;&lt;number id="0" prio="1" type="mobile"&gt;+31 611408358&lt;/number&gt;&lt;/telephony&gt;</v>
      </c>
      <c r="F164" t="str">
        <f t="shared" si="63"/>
        <v>&lt;telephony nid="1"&gt;</v>
      </c>
      <c r="G164" t="str">
        <f t="shared" si="64"/>
        <v/>
      </c>
      <c r="H164" t="str">
        <f t="shared" si="65"/>
        <v>&lt;services nid="1"&gt;&lt;email id="0" classifier="private"&gt;leonieke@ziggo.nl&lt;/email&gt;&lt;/services&gt;&lt;setup /&gt;&lt;mod_time&gt;1500000010&lt;/mod_time&gt;&lt;uniqueid&gt;1&lt;/uniqueid&gt;&lt;/contact&gt;</v>
      </c>
      <c r="I164" t="str">
        <f t="shared" si="66"/>
        <v>&lt;services /&gt;&lt;setup /&gt;&lt;mod_time&gt;1500000010&lt;/mod_time&gt;&lt;uniqueid&gt;1&lt;/uniqueid&gt;&lt;/contact&gt;</v>
      </c>
      <c r="J164" t="str">
        <f t="shared" si="67"/>
        <v>&lt;services nid="1"&gt;&lt;email id="0" classifier="private"&gt;leonieke@ziggo.nl&lt;/email&gt;&lt;/services&gt;&lt;setup /&gt;&lt;mod_time&gt;1500000010&lt;/mod_time&gt;&lt;uniqueid&gt;1&lt;/uniqueid&gt;&lt;/contact&gt;</v>
      </c>
      <c r="K164" s="5">
        <f t="shared" si="68"/>
        <v>0</v>
      </c>
      <c r="L164" s="5">
        <f t="shared" si="69"/>
        <v>0</v>
      </c>
      <c r="M164" s="5" t="str">
        <f>CONCATENATE(+Contacts!E164)</f>
        <v/>
      </c>
      <c r="N164" t="str">
        <f t="shared" si="70"/>
        <v/>
      </c>
      <c r="O164" s="5">
        <f t="shared" si="71"/>
        <v>0</v>
      </c>
      <c r="P164" s="5">
        <f t="shared" si="72"/>
        <v>0</v>
      </c>
      <c r="Q164" s="5" t="str">
        <f>CONCATENATE(+Contacts!G164)</f>
        <v/>
      </c>
      <c r="R164" t="str">
        <f t="shared" si="73"/>
        <v>&lt;number id="0" prio="1" type="mobile"&gt;+31 611408358&lt;/number&gt;</v>
      </c>
      <c r="S164" s="5">
        <f t="shared" si="74"/>
        <v>1</v>
      </c>
      <c r="T164" s="5">
        <f t="shared" si="75"/>
        <v>1</v>
      </c>
      <c r="U164" s="5" t="str">
        <f>CONCATENATE(+Contacts!H164)</f>
        <v>+31 611408358</v>
      </c>
      <c r="V164" t="str">
        <f t="shared" si="76"/>
        <v/>
      </c>
      <c r="W164" s="5">
        <f t="shared" si="77"/>
        <v>1</v>
      </c>
      <c r="X164" s="5">
        <f t="shared" si="78"/>
        <v>1</v>
      </c>
      <c r="Y164" s="5" t="str">
        <f>CONCATENATE(+Contacts!F164)</f>
        <v/>
      </c>
      <c r="Z164" s="2" t="str">
        <f t="shared" si="79"/>
        <v xml:space="preserve">Hartmanns, Leonieke   </v>
      </c>
      <c r="AA164" s="2" t="str">
        <f>CONCATENATE(+Contacts!C164)</f>
        <v>Hartmanns</v>
      </c>
      <c r="AB164" s="2" t="str">
        <f t="shared" si="80"/>
        <v xml:space="preserve">, </v>
      </c>
      <c r="AC164" s="2" t="str">
        <f>CONCATENATE(+Contacts!A164)</f>
        <v>Leonieke</v>
      </c>
      <c r="AD164" s="3" t="str">
        <f>CONCATENATE(" ",+Contacts!B164)</f>
        <v xml:space="preserve"> </v>
      </c>
      <c r="AE164" s="2" t="str">
        <f t="shared" si="81"/>
        <v xml:space="preserve"> </v>
      </c>
      <c r="AF164" s="3" t="str">
        <f>CONCATENATE(+Contacts!D164)</f>
        <v/>
      </c>
      <c r="AG164" s="2" t="str">
        <f t="shared" si="82"/>
        <v xml:space="preserve"> </v>
      </c>
      <c r="AH164" t="str">
        <f>CONCATENATE(+Contacts!I164)</f>
        <v>leonieke@ziggo.nl</v>
      </c>
      <c r="AI164">
        <v>1500000010</v>
      </c>
      <c r="AJ164" s="5">
        <f t="shared" si="83"/>
        <v>1</v>
      </c>
    </row>
    <row r="165" spans="1:36" x14ac:dyDescent="0.35">
      <c r="A165" s="7" t="str">
        <f t="shared" si="58"/>
        <v>&lt;contact&gt;&lt;category&gt;0&lt;/category&gt;&lt;person&gt;&lt;realName&gt;Hebly, Peter   &lt;/realName&gt;&lt;/person&gt;</v>
      </c>
      <c r="B165" s="7" t="str">
        <f t="shared" si="59"/>
        <v>&lt;telephony nid="1"&gt;&lt;number id="0" prio="1" type="home"&gt;+31 703946888&lt;/number&gt;&lt;/telephony&gt;</v>
      </c>
      <c r="C165" s="7" t="str">
        <f t="shared" si="60"/>
        <v>&lt;services nid="1"&gt;&lt;email id="0" classifier="private"&gt;p.hebly@casema.nl&lt;/email&gt;&lt;/services&gt;&lt;setup /&gt;&lt;mod_time&gt;1500000010&lt;/mod_time&gt;&lt;uniqueid&gt;1&lt;/uniqueid&gt;&lt;/contact&gt;</v>
      </c>
      <c r="D165" t="str">
        <f t="shared" si="61"/>
        <v>&lt;contact&gt;&lt;category&gt;0&lt;/category&gt;&lt;person&gt;&lt;realName&gt;Hebly, Peter   &lt;/realName&gt;&lt;/person&gt;</v>
      </c>
      <c r="E165" t="str">
        <f t="shared" si="62"/>
        <v>&lt;telephony nid="1"&gt;&lt;number id="0" prio="1" type="home"&gt;+31 703946888&lt;/number&gt;&lt;/telephony&gt;</v>
      </c>
      <c r="F165" t="str">
        <f t="shared" si="63"/>
        <v>&lt;telephony nid="1"&gt;</v>
      </c>
      <c r="G165" t="str">
        <f t="shared" si="64"/>
        <v/>
      </c>
      <c r="H165" t="str">
        <f t="shared" si="65"/>
        <v>&lt;services nid="1"&gt;&lt;email id="0" classifier="private"&gt;p.hebly@casema.nl&lt;/email&gt;&lt;/services&gt;&lt;setup /&gt;&lt;mod_time&gt;1500000010&lt;/mod_time&gt;&lt;uniqueid&gt;1&lt;/uniqueid&gt;&lt;/contact&gt;</v>
      </c>
      <c r="I165" t="str">
        <f t="shared" si="66"/>
        <v>&lt;services /&gt;&lt;setup /&gt;&lt;mod_time&gt;1500000010&lt;/mod_time&gt;&lt;uniqueid&gt;1&lt;/uniqueid&gt;&lt;/contact&gt;</v>
      </c>
      <c r="J165" t="str">
        <f t="shared" si="67"/>
        <v>&lt;services nid="1"&gt;&lt;email id="0" classifier="private"&gt;p.hebly@casema.nl&lt;/email&gt;&lt;/services&gt;&lt;setup /&gt;&lt;mod_time&gt;1500000010&lt;/mod_time&gt;&lt;uniqueid&gt;1&lt;/uniqueid&gt;&lt;/contact&gt;</v>
      </c>
      <c r="K165" s="5">
        <f t="shared" si="68"/>
        <v>0</v>
      </c>
      <c r="L165" s="5">
        <f t="shared" si="69"/>
        <v>0</v>
      </c>
      <c r="M165" s="5" t="str">
        <f>CONCATENATE(+Contacts!E165)</f>
        <v/>
      </c>
      <c r="N165" t="str">
        <f t="shared" si="70"/>
        <v>&lt;number id="0" prio="1" type="home"&gt;+31 703946888&lt;/number&gt;</v>
      </c>
      <c r="O165" s="5">
        <f t="shared" si="71"/>
        <v>1</v>
      </c>
      <c r="P165" s="5">
        <f t="shared" si="72"/>
        <v>1</v>
      </c>
      <c r="Q165" s="5" t="str">
        <f>CONCATENATE(+Contacts!G165)</f>
        <v>+31 703946888</v>
      </c>
      <c r="R165" t="str">
        <f t="shared" si="73"/>
        <v/>
      </c>
      <c r="S165" s="5">
        <f t="shared" si="74"/>
        <v>1</v>
      </c>
      <c r="T165" s="5">
        <f t="shared" si="75"/>
        <v>1</v>
      </c>
      <c r="U165" s="5" t="str">
        <f>CONCATENATE(+Contacts!H165)</f>
        <v/>
      </c>
      <c r="V165" t="str">
        <f t="shared" si="76"/>
        <v/>
      </c>
      <c r="W165" s="5">
        <f t="shared" si="77"/>
        <v>1</v>
      </c>
      <c r="X165" s="5">
        <f t="shared" si="78"/>
        <v>1</v>
      </c>
      <c r="Y165" s="5" t="str">
        <f>CONCATENATE(+Contacts!F165)</f>
        <v/>
      </c>
      <c r="Z165" s="2" t="str">
        <f t="shared" si="79"/>
        <v xml:space="preserve">Hebly, Peter   </v>
      </c>
      <c r="AA165" s="2" t="str">
        <f>CONCATENATE(+Contacts!C165)</f>
        <v>Hebly</v>
      </c>
      <c r="AB165" s="2" t="str">
        <f t="shared" si="80"/>
        <v xml:space="preserve">, </v>
      </c>
      <c r="AC165" s="2" t="str">
        <f>CONCATENATE(+Contacts!A165)</f>
        <v>Peter</v>
      </c>
      <c r="AD165" s="3" t="str">
        <f>CONCATENATE(" ",+Contacts!B165)</f>
        <v xml:space="preserve"> </v>
      </c>
      <c r="AE165" s="2" t="str">
        <f t="shared" si="81"/>
        <v xml:space="preserve"> </v>
      </c>
      <c r="AF165" s="3" t="str">
        <f>CONCATENATE(+Contacts!D165)</f>
        <v/>
      </c>
      <c r="AG165" s="2" t="str">
        <f t="shared" si="82"/>
        <v xml:space="preserve"> </v>
      </c>
      <c r="AH165" t="str">
        <f>CONCATENATE(+Contacts!I165)</f>
        <v>p.hebly@casema.nl</v>
      </c>
      <c r="AI165">
        <v>1500000010</v>
      </c>
      <c r="AJ165" s="5">
        <f t="shared" si="83"/>
        <v>1</v>
      </c>
    </row>
    <row r="166" spans="1:36" x14ac:dyDescent="0.35">
      <c r="A166" s="7" t="str">
        <f t="shared" si="58"/>
        <v>&lt;contact&gt;&lt;category&gt;0&lt;/category&gt;&lt;person&gt;&lt;realName&gt;Heenes, Coert (NulTien Makelaars)&lt;/realName&gt;&lt;/person&gt;</v>
      </c>
      <c r="B166" s="7" t="str">
        <f t="shared" si="59"/>
        <v>&lt;telephony nid="2"&gt;&lt;number id="0" prio="1" type="mobile"&gt;+31 613133611&lt;/number&gt;&lt;number id="1" prio="0" type="work"&gt;+31 104535924&lt;/number&gt;&lt;/telephony&gt;</v>
      </c>
      <c r="C166" s="7" t="str">
        <f t="shared" si="60"/>
        <v>&lt;services nid="1"&gt;&lt;email id="0" classifier="private"&gt;coertheenes@nultienmakelaars.nl&lt;/email&gt;&lt;/services&gt;&lt;setup /&gt;&lt;mod_time&gt;1500000010&lt;/mod_time&gt;&lt;uniqueid&gt;1&lt;/uniqueid&gt;&lt;/contact&gt;</v>
      </c>
      <c r="D166" t="str">
        <f t="shared" si="61"/>
        <v>&lt;contact&gt;&lt;category&gt;0&lt;/category&gt;&lt;person&gt;&lt;realName&gt;Heenes, Coert (NulTien Makelaars)&lt;/realName&gt;&lt;/person&gt;</v>
      </c>
      <c r="E166" t="str">
        <f t="shared" si="62"/>
        <v>&lt;telephony nid="2"&gt;&lt;number id="0" prio="1" type="mobile"&gt;+31 613133611&lt;/number&gt;&lt;number id="1" prio="0" type="work"&gt;+31 104535924&lt;/number&gt;&lt;/telephony&gt;</v>
      </c>
      <c r="F166" t="str">
        <f t="shared" si="63"/>
        <v>&lt;telephony nid="2"&gt;</v>
      </c>
      <c r="G166" t="str">
        <f t="shared" si="64"/>
        <v/>
      </c>
      <c r="H166" t="str">
        <f t="shared" si="65"/>
        <v>&lt;services nid="1"&gt;&lt;email id="0" classifier="private"&gt;coertheenes@nultienmakelaars.nl&lt;/email&gt;&lt;/services&gt;&lt;setup /&gt;&lt;mod_time&gt;1500000010&lt;/mod_time&gt;&lt;uniqueid&gt;1&lt;/uniqueid&gt;&lt;/contact&gt;</v>
      </c>
      <c r="I166" t="str">
        <f t="shared" si="66"/>
        <v>&lt;services /&gt;&lt;setup /&gt;&lt;mod_time&gt;1500000010&lt;/mod_time&gt;&lt;uniqueid&gt;1&lt;/uniqueid&gt;&lt;/contact&gt;</v>
      </c>
      <c r="J166" t="str">
        <f t="shared" si="67"/>
        <v>&lt;services nid="1"&gt;&lt;email id="0" classifier="private"&gt;coertheenes@nultienmakelaars.nl&lt;/email&gt;&lt;/services&gt;&lt;setup /&gt;&lt;mod_time&gt;1500000010&lt;/mod_time&gt;&lt;uniqueid&gt;1&lt;/uniqueid&gt;&lt;/contact&gt;</v>
      </c>
      <c r="K166" s="5">
        <f t="shared" si="68"/>
        <v>0</v>
      </c>
      <c r="L166" s="5">
        <f t="shared" si="69"/>
        <v>0</v>
      </c>
      <c r="M166" s="5" t="str">
        <f>CONCATENATE(+Contacts!E166)</f>
        <v/>
      </c>
      <c r="N166" t="str">
        <f t="shared" si="70"/>
        <v/>
      </c>
      <c r="O166" s="5">
        <f t="shared" si="71"/>
        <v>0</v>
      </c>
      <c r="P166" s="5">
        <f t="shared" si="72"/>
        <v>0</v>
      </c>
      <c r="Q166" s="5" t="str">
        <f>CONCATENATE(+Contacts!G166)</f>
        <v/>
      </c>
      <c r="R166" t="str">
        <f t="shared" si="73"/>
        <v>&lt;number id="0" prio="1" type="mobile"&gt;+31 613133611&lt;/number&gt;</v>
      </c>
      <c r="S166" s="5">
        <f t="shared" si="74"/>
        <v>1</v>
      </c>
      <c r="T166" s="5">
        <f t="shared" si="75"/>
        <v>1</v>
      </c>
      <c r="U166" s="5" t="str">
        <f>CONCATENATE(+Contacts!H166)</f>
        <v>+31 613133611</v>
      </c>
      <c r="V166" t="str">
        <f t="shared" si="76"/>
        <v>&lt;number id="1" prio="0" type="work"&gt;+31 104535924&lt;/number&gt;</v>
      </c>
      <c r="W166" s="5">
        <f t="shared" si="77"/>
        <v>2</v>
      </c>
      <c r="X166" s="5">
        <f t="shared" si="78"/>
        <v>0</v>
      </c>
      <c r="Y166" s="5" t="str">
        <f>CONCATENATE(+Contacts!F166)</f>
        <v>+31 104535924</v>
      </c>
      <c r="Z166" s="2" t="str">
        <f t="shared" si="79"/>
        <v>Heenes, Coert (NulTien Makelaars)</v>
      </c>
      <c r="AA166" s="2" t="str">
        <f>CONCATENATE(+Contacts!C166)</f>
        <v>Heenes</v>
      </c>
      <c r="AB166" s="2" t="str">
        <f t="shared" si="80"/>
        <v xml:space="preserve">, </v>
      </c>
      <c r="AC166" s="2" t="str">
        <f>CONCATENATE(+Contacts!A166)</f>
        <v>Coert</v>
      </c>
      <c r="AD166" s="3" t="str">
        <f>CONCATENATE(" ",+Contacts!B166)</f>
        <v xml:space="preserve"> </v>
      </c>
      <c r="AE166" s="2" t="str">
        <f t="shared" si="81"/>
        <v>(</v>
      </c>
      <c r="AF166" s="3" t="str">
        <f>CONCATENATE(+Contacts!D166)</f>
        <v>NulTien Makelaars</v>
      </c>
      <c r="AG166" s="2" t="str">
        <f t="shared" si="82"/>
        <v>)</v>
      </c>
      <c r="AH166" t="str">
        <f>CONCATENATE(+Contacts!I166)</f>
        <v>coertheenes@nultienmakelaars.nl</v>
      </c>
      <c r="AI166">
        <v>1500000010</v>
      </c>
      <c r="AJ166" s="5">
        <f t="shared" si="83"/>
        <v>1</v>
      </c>
    </row>
    <row r="167" spans="1:36" x14ac:dyDescent="0.35">
      <c r="A167" s="7" t="str">
        <f t="shared" si="58"/>
        <v/>
      </c>
      <c r="B167" s="7" t="str">
        <f t="shared" si="59"/>
        <v/>
      </c>
      <c r="C167" s="7" t="str">
        <f t="shared" si="60"/>
        <v/>
      </c>
      <c r="D167" t="str">
        <f t="shared" si="61"/>
        <v>&lt;contact&gt;&lt;category&gt;0&lt;/category&gt;&lt;person&gt;&lt;realName&gt;Heenes, Michael   &lt;/realName&gt;&lt;/person&gt;</v>
      </c>
      <c r="E167" t="str">
        <f t="shared" si="62"/>
        <v>&lt;telephony nid="0"&gt;&lt;/telephony&gt;</v>
      </c>
      <c r="F167" t="str">
        <f t="shared" si="63"/>
        <v>&lt;telephony nid="0"&gt;</v>
      </c>
      <c r="G167" t="str">
        <f t="shared" si="64"/>
        <v/>
      </c>
      <c r="H167" t="str">
        <f t="shared" si="65"/>
        <v>&lt;services nid="1"&gt;&lt;email id="0" classifier="private"&gt;michaelheenes922@hotmail.com&lt;/email&gt;&lt;/services&gt;&lt;setup /&gt;&lt;mod_time&gt;1500000010&lt;/mod_time&gt;&lt;uniqueid&gt;0&lt;/uniqueid&gt;&lt;/contact&gt;</v>
      </c>
      <c r="I167" t="str">
        <f t="shared" si="66"/>
        <v>&lt;services /&gt;&lt;setup /&gt;&lt;mod_time&gt;1500000010&lt;/mod_time&gt;&lt;uniqueid&gt;0&lt;/uniqueid&gt;&lt;/contact&gt;</v>
      </c>
      <c r="J167" t="str">
        <f t="shared" si="67"/>
        <v>&lt;services nid="1"&gt;&lt;email id="0" classifier="private"&gt;michaelheenes922@hotmail.com&lt;/email&gt;&lt;/services&gt;&lt;setup /&gt;&lt;mod_time&gt;1500000010&lt;/mod_time&gt;&lt;uniqueid&gt;0&lt;/uniqueid&gt;&lt;/contact&gt;</v>
      </c>
      <c r="K167" s="5">
        <f t="shared" si="68"/>
        <v>0</v>
      </c>
      <c r="L167" s="5">
        <f t="shared" si="69"/>
        <v>0</v>
      </c>
      <c r="M167" s="5" t="str">
        <f>CONCATENATE(+Contacts!E167)</f>
        <v/>
      </c>
      <c r="N167" t="str">
        <f t="shared" si="70"/>
        <v/>
      </c>
      <c r="O167" s="5">
        <f t="shared" si="71"/>
        <v>0</v>
      </c>
      <c r="P167" s="5">
        <f t="shared" si="72"/>
        <v>0</v>
      </c>
      <c r="Q167" s="5" t="str">
        <f>CONCATENATE(+Contacts!G167)</f>
        <v/>
      </c>
      <c r="R167" t="str">
        <f t="shared" si="73"/>
        <v/>
      </c>
      <c r="S167" s="5">
        <f t="shared" si="74"/>
        <v>0</v>
      </c>
      <c r="T167" s="5">
        <f t="shared" si="75"/>
        <v>0</v>
      </c>
      <c r="U167" s="5" t="str">
        <f>CONCATENATE(+Contacts!H167)</f>
        <v/>
      </c>
      <c r="V167" t="str">
        <f t="shared" si="76"/>
        <v/>
      </c>
      <c r="W167" s="5">
        <f t="shared" si="77"/>
        <v>0</v>
      </c>
      <c r="X167" s="5">
        <f t="shared" si="78"/>
        <v>0</v>
      </c>
      <c r="Y167" s="5" t="str">
        <f>CONCATENATE(+Contacts!F167)</f>
        <v/>
      </c>
      <c r="Z167" s="2" t="str">
        <f t="shared" si="79"/>
        <v xml:space="preserve">Heenes, Michael   </v>
      </c>
      <c r="AA167" s="2" t="str">
        <f>CONCATENATE(+Contacts!C167)</f>
        <v>Heenes</v>
      </c>
      <c r="AB167" s="2" t="str">
        <f t="shared" si="80"/>
        <v xml:space="preserve">, </v>
      </c>
      <c r="AC167" s="2" t="str">
        <f>CONCATENATE(+Contacts!A167)</f>
        <v>Michael</v>
      </c>
      <c r="AD167" s="3" t="str">
        <f>CONCATENATE(" ",+Contacts!B167)</f>
        <v xml:space="preserve"> </v>
      </c>
      <c r="AE167" s="2" t="str">
        <f t="shared" si="81"/>
        <v xml:space="preserve"> </v>
      </c>
      <c r="AF167" s="3" t="str">
        <f>CONCATENATE(+Contacts!D167)</f>
        <v/>
      </c>
      <c r="AG167" s="2" t="str">
        <f t="shared" si="82"/>
        <v xml:space="preserve"> </v>
      </c>
      <c r="AH167" t="str">
        <f>CONCATENATE(+Contacts!I167)</f>
        <v>michaelheenes922@hotmail.com</v>
      </c>
      <c r="AI167">
        <v>1500000010</v>
      </c>
      <c r="AJ167" s="5">
        <f t="shared" si="83"/>
        <v>0</v>
      </c>
    </row>
    <row r="168" spans="1:36" x14ac:dyDescent="0.35">
      <c r="A168" s="7" t="str">
        <f t="shared" si="58"/>
        <v>&lt;contact&gt;&lt;category&gt;0&lt;/category&gt;&lt;person&gt;&lt;realName&gt;Hehanussa, Alex   &lt;/realName&gt;&lt;/person&gt;</v>
      </c>
      <c r="B168" s="7" t="str">
        <f t="shared" si="59"/>
        <v>&lt;telephony nid="1"&gt;&lt;number id="0" prio="1" type="home"&gt;+31 181690818&lt;/number&gt;&lt;/telephony&gt;</v>
      </c>
      <c r="C168" s="7" t="str">
        <f t="shared" si="60"/>
        <v>&lt;services nid="1"&gt;&lt;email id="0" classifier="private"&gt;a.hehanussa@penta.nl&lt;/email&gt;&lt;/services&gt;&lt;setup /&gt;&lt;mod_time&gt;1500000010&lt;/mod_time&gt;&lt;uniqueid&gt;1&lt;/uniqueid&gt;&lt;/contact&gt;</v>
      </c>
      <c r="D168" t="str">
        <f t="shared" si="61"/>
        <v>&lt;contact&gt;&lt;category&gt;0&lt;/category&gt;&lt;person&gt;&lt;realName&gt;Hehanussa, Alex   &lt;/realName&gt;&lt;/person&gt;</v>
      </c>
      <c r="E168" t="str">
        <f t="shared" si="62"/>
        <v>&lt;telephony nid="1"&gt;&lt;number id="0" prio="1" type="home"&gt;+31 181690818&lt;/number&gt;&lt;/telephony&gt;</v>
      </c>
      <c r="F168" t="str">
        <f t="shared" si="63"/>
        <v>&lt;telephony nid="1"&gt;</v>
      </c>
      <c r="G168" t="str">
        <f t="shared" si="64"/>
        <v/>
      </c>
      <c r="H168" t="str">
        <f t="shared" si="65"/>
        <v>&lt;services nid="1"&gt;&lt;email id="0" classifier="private"&gt;a.hehanussa@penta.nl&lt;/email&gt;&lt;/services&gt;&lt;setup /&gt;&lt;mod_time&gt;1500000010&lt;/mod_time&gt;&lt;uniqueid&gt;1&lt;/uniqueid&gt;&lt;/contact&gt;</v>
      </c>
      <c r="I168" t="str">
        <f t="shared" si="66"/>
        <v>&lt;services /&gt;&lt;setup /&gt;&lt;mod_time&gt;1500000010&lt;/mod_time&gt;&lt;uniqueid&gt;1&lt;/uniqueid&gt;&lt;/contact&gt;</v>
      </c>
      <c r="J168" t="str">
        <f t="shared" si="67"/>
        <v>&lt;services nid="1"&gt;&lt;email id="0" classifier="private"&gt;a.hehanussa@penta.nl&lt;/email&gt;&lt;/services&gt;&lt;setup /&gt;&lt;mod_time&gt;1500000010&lt;/mod_time&gt;&lt;uniqueid&gt;1&lt;/uniqueid&gt;&lt;/contact&gt;</v>
      </c>
      <c r="K168" s="5">
        <f t="shared" si="68"/>
        <v>0</v>
      </c>
      <c r="L168" s="5">
        <f t="shared" si="69"/>
        <v>0</v>
      </c>
      <c r="M168" s="5" t="str">
        <f>CONCATENATE(+Contacts!E168)</f>
        <v/>
      </c>
      <c r="N168" t="str">
        <f t="shared" si="70"/>
        <v>&lt;number id="0" prio="1" type="home"&gt;+31 181690818&lt;/number&gt;</v>
      </c>
      <c r="O168" s="5">
        <f t="shared" si="71"/>
        <v>1</v>
      </c>
      <c r="P168" s="5">
        <f t="shared" si="72"/>
        <v>1</v>
      </c>
      <c r="Q168" s="5" t="str">
        <f>CONCATENATE(+Contacts!G168)</f>
        <v>+31 181690818</v>
      </c>
      <c r="R168" t="str">
        <f t="shared" si="73"/>
        <v/>
      </c>
      <c r="S168" s="5">
        <f t="shared" si="74"/>
        <v>1</v>
      </c>
      <c r="T168" s="5">
        <f t="shared" si="75"/>
        <v>1</v>
      </c>
      <c r="U168" s="5" t="str">
        <f>CONCATENATE(+Contacts!H168)</f>
        <v/>
      </c>
      <c r="V168" t="str">
        <f t="shared" si="76"/>
        <v/>
      </c>
      <c r="W168" s="5">
        <f t="shared" si="77"/>
        <v>1</v>
      </c>
      <c r="X168" s="5">
        <f t="shared" si="78"/>
        <v>1</v>
      </c>
      <c r="Y168" s="5" t="str">
        <f>CONCATENATE(+Contacts!F168)</f>
        <v/>
      </c>
      <c r="Z168" s="2" t="str">
        <f t="shared" si="79"/>
        <v xml:space="preserve">Hehanussa, Alex   </v>
      </c>
      <c r="AA168" s="2" t="str">
        <f>CONCATENATE(+Contacts!C168)</f>
        <v>Hehanussa</v>
      </c>
      <c r="AB168" s="2" t="str">
        <f t="shared" si="80"/>
        <v xml:space="preserve">, </v>
      </c>
      <c r="AC168" s="2" t="str">
        <f>CONCATENATE(+Contacts!A168)</f>
        <v>Alex</v>
      </c>
      <c r="AD168" s="3" t="str">
        <f>CONCATENATE(" ",+Contacts!B168)</f>
        <v xml:space="preserve"> </v>
      </c>
      <c r="AE168" s="2" t="str">
        <f t="shared" si="81"/>
        <v xml:space="preserve"> </v>
      </c>
      <c r="AF168" s="3" t="str">
        <f>CONCATENATE(+Contacts!D168)</f>
        <v/>
      </c>
      <c r="AG168" s="2" t="str">
        <f t="shared" si="82"/>
        <v xml:space="preserve"> </v>
      </c>
      <c r="AH168" t="str">
        <f>CONCATENATE(+Contacts!I168)</f>
        <v>a.hehanussa@penta.nl</v>
      </c>
      <c r="AI168">
        <v>1500000010</v>
      </c>
      <c r="AJ168" s="5">
        <f t="shared" si="83"/>
        <v>1</v>
      </c>
    </row>
    <row r="169" spans="1:36" x14ac:dyDescent="0.35">
      <c r="A169" s="7" t="str">
        <f t="shared" si="58"/>
        <v>&lt;contact&gt;&lt;category&gt;0&lt;/category&gt;&lt;person&gt;&lt;realName&gt;Hehanussa, Alex &amp;amp; Tineke   &lt;/realName&gt;&lt;/person&gt;</v>
      </c>
      <c r="B169" s="7" t="str">
        <f t="shared" si="59"/>
        <v>&lt;telephony nid="1"&gt;&lt;number id="0" prio="1" type="home"&gt;+31 181690818&lt;/number&gt;&lt;/telephony&gt;</v>
      </c>
      <c r="C169" s="7" t="str">
        <f t="shared" si="60"/>
        <v>&lt;services nid="1"&gt;&lt;email id="0" classifier="private"&gt;a.hehanussa@penta.nl&lt;/email&gt;&lt;/services&gt;&lt;setup /&gt;&lt;mod_time&gt;1500000010&lt;/mod_time&gt;&lt;uniqueid&gt;1&lt;/uniqueid&gt;&lt;/contact&gt;</v>
      </c>
      <c r="D169" t="str">
        <f t="shared" si="61"/>
        <v>&lt;contact&gt;&lt;category&gt;0&lt;/category&gt;&lt;person&gt;&lt;realName&gt;Hehanussa, Alex &amp;amp; Tineke   &lt;/realName&gt;&lt;/person&gt;</v>
      </c>
      <c r="E169" t="str">
        <f t="shared" si="62"/>
        <v>&lt;telephony nid="1"&gt;&lt;number id="0" prio="1" type="home"&gt;+31 181690818&lt;/number&gt;&lt;/telephony&gt;</v>
      </c>
      <c r="F169" t="str">
        <f t="shared" si="63"/>
        <v>&lt;telephony nid="1"&gt;</v>
      </c>
      <c r="G169" t="str">
        <f t="shared" si="64"/>
        <v/>
      </c>
      <c r="H169" t="str">
        <f t="shared" si="65"/>
        <v>&lt;services nid="1"&gt;&lt;email id="0" classifier="private"&gt;a.hehanussa@penta.nl&lt;/email&gt;&lt;/services&gt;&lt;setup /&gt;&lt;mod_time&gt;1500000010&lt;/mod_time&gt;&lt;uniqueid&gt;1&lt;/uniqueid&gt;&lt;/contact&gt;</v>
      </c>
      <c r="I169" t="str">
        <f t="shared" si="66"/>
        <v>&lt;services /&gt;&lt;setup /&gt;&lt;mod_time&gt;1500000010&lt;/mod_time&gt;&lt;uniqueid&gt;1&lt;/uniqueid&gt;&lt;/contact&gt;</v>
      </c>
      <c r="J169" t="str">
        <f t="shared" si="67"/>
        <v>&lt;services nid="1"&gt;&lt;email id="0" classifier="private"&gt;a.hehanussa@penta.nl&lt;/email&gt;&lt;/services&gt;&lt;setup /&gt;&lt;mod_time&gt;1500000010&lt;/mod_time&gt;&lt;uniqueid&gt;1&lt;/uniqueid&gt;&lt;/contact&gt;</v>
      </c>
      <c r="K169" s="5">
        <f t="shared" si="68"/>
        <v>0</v>
      </c>
      <c r="L169" s="5">
        <f t="shared" si="69"/>
        <v>0</v>
      </c>
      <c r="M169" s="5" t="str">
        <f>CONCATENATE(+Contacts!E169)</f>
        <v/>
      </c>
      <c r="N169" t="str">
        <f t="shared" si="70"/>
        <v>&lt;number id="0" prio="1" type="home"&gt;+31 181690818&lt;/number&gt;</v>
      </c>
      <c r="O169" s="5">
        <f t="shared" si="71"/>
        <v>1</v>
      </c>
      <c r="P169" s="5">
        <f t="shared" si="72"/>
        <v>1</v>
      </c>
      <c r="Q169" s="5" t="str">
        <f>CONCATENATE(+Contacts!G169)</f>
        <v>+31 181690818</v>
      </c>
      <c r="R169" t="str">
        <f t="shared" si="73"/>
        <v/>
      </c>
      <c r="S169" s="5">
        <f t="shared" si="74"/>
        <v>1</v>
      </c>
      <c r="T169" s="5">
        <f t="shared" si="75"/>
        <v>1</v>
      </c>
      <c r="U169" s="5" t="str">
        <f>CONCATENATE(+Contacts!H169)</f>
        <v/>
      </c>
      <c r="V169" t="str">
        <f t="shared" si="76"/>
        <v/>
      </c>
      <c r="W169" s="5">
        <f t="shared" si="77"/>
        <v>1</v>
      </c>
      <c r="X169" s="5">
        <f t="shared" si="78"/>
        <v>1</v>
      </c>
      <c r="Y169" s="5" t="str">
        <f>CONCATENATE(+Contacts!F169)</f>
        <v/>
      </c>
      <c r="Z169" s="2" t="str">
        <f t="shared" si="79"/>
        <v xml:space="preserve">Hehanussa, Alex &amp;amp; Tineke   </v>
      </c>
      <c r="AA169" s="2" t="str">
        <f>CONCATENATE(+Contacts!C169)</f>
        <v>Hehanussa</v>
      </c>
      <c r="AB169" s="2" t="str">
        <f t="shared" si="80"/>
        <v xml:space="preserve">, </v>
      </c>
      <c r="AC169" s="2" t="str">
        <f>CONCATENATE(+Contacts!A169)</f>
        <v>Alex &amp;amp; Tineke</v>
      </c>
      <c r="AD169" s="3" t="str">
        <f>CONCATENATE(" ",+Contacts!B169)</f>
        <v xml:space="preserve"> </v>
      </c>
      <c r="AE169" s="2" t="str">
        <f t="shared" si="81"/>
        <v xml:space="preserve"> </v>
      </c>
      <c r="AF169" s="3" t="str">
        <f>CONCATENATE(+Contacts!D169)</f>
        <v/>
      </c>
      <c r="AG169" s="2" t="str">
        <f t="shared" si="82"/>
        <v xml:space="preserve"> </v>
      </c>
      <c r="AH169" t="str">
        <f>CONCATENATE(+Contacts!I169)</f>
        <v>a.hehanussa@penta.nl</v>
      </c>
      <c r="AI169">
        <v>1500000010</v>
      </c>
      <c r="AJ169" s="5">
        <f t="shared" si="83"/>
        <v>1</v>
      </c>
    </row>
    <row r="170" spans="1:36" x14ac:dyDescent="0.35">
      <c r="A170" s="7" t="str">
        <f t="shared" si="58"/>
        <v>&lt;contact&gt;&lt;category&gt;0&lt;/category&gt;&lt;person&gt;&lt;realName&gt;Hehanussa, Tineke   &lt;/realName&gt;&lt;/person&gt;</v>
      </c>
      <c r="B170" s="7" t="str">
        <f t="shared" si="59"/>
        <v>&lt;telephony nid="1"&gt;&lt;number id="0" prio="1" type="home"&gt;+31 181690818&lt;/number&gt;&lt;/telephony&gt;</v>
      </c>
      <c r="C170" s="7" t="str">
        <f t="shared" si="60"/>
        <v>&lt;services /&gt;&lt;setup /&gt;&lt;mod_time&gt;1500000010&lt;/mod_time&gt;&lt;uniqueid&gt;1&lt;/uniqueid&gt;&lt;/contact&gt;</v>
      </c>
      <c r="D170" t="str">
        <f t="shared" si="61"/>
        <v>&lt;contact&gt;&lt;category&gt;0&lt;/category&gt;&lt;person&gt;&lt;realName&gt;Hehanussa, Tineke   &lt;/realName&gt;&lt;/person&gt;</v>
      </c>
      <c r="E170" t="str">
        <f t="shared" si="62"/>
        <v>&lt;telephony nid="1"&gt;&lt;number id="0" prio="1" type="home"&gt;+31 181690818&lt;/number&gt;&lt;/telephony&gt;</v>
      </c>
      <c r="F170" t="str">
        <f t="shared" si="63"/>
        <v>&lt;telephony nid="1"&gt;</v>
      </c>
      <c r="G170" t="str">
        <f t="shared" si="64"/>
        <v/>
      </c>
      <c r="H170" t="str">
        <f t="shared" si="65"/>
        <v>&lt;services nid="1"&gt;&lt;email id="0" classifier="private"&gt;&lt;/email&gt;&lt;/services&gt;&lt;setup /&gt;&lt;mod_time&gt;1500000010&lt;/mod_time&gt;&lt;uniqueid&gt;1&lt;/uniqueid&gt;&lt;/contact&gt;</v>
      </c>
      <c r="I170" t="str">
        <f t="shared" si="66"/>
        <v>&lt;services /&gt;&lt;setup /&gt;&lt;mod_time&gt;1500000010&lt;/mod_time&gt;&lt;uniqueid&gt;1&lt;/uniqueid&gt;&lt;/contact&gt;</v>
      </c>
      <c r="J170" t="str">
        <f t="shared" si="67"/>
        <v>&lt;services /&gt;&lt;setup /&gt;&lt;mod_time&gt;1500000010&lt;/mod_time&gt;&lt;uniqueid&gt;1&lt;/uniqueid&gt;&lt;/contact&gt;</v>
      </c>
      <c r="K170" s="5">
        <f t="shared" si="68"/>
        <v>0</v>
      </c>
      <c r="L170" s="5">
        <f t="shared" si="69"/>
        <v>0</v>
      </c>
      <c r="M170" s="5" t="str">
        <f>CONCATENATE(+Contacts!E170)</f>
        <v/>
      </c>
      <c r="N170" t="str">
        <f t="shared" si="70"/>
        <v>&lt;number id="0" prio="1" type="home"&gt;+31 181690818&lt;/number&gt;</v>
      </c>
      <c r="O170" s="5">
        <f t="shared" si="71"/>
        <v>1</v>
      </c>
      <c r="P170" s="5">
        <f t="shared" si="72"/>
        <v>1</v>
      </c>
      <c r="Q170" s="5" t="str">
        <f>CONCATENATE(+Contacts!G170)</f>
        <v>+31 181690818</v>
      </c>
      <c r="R170" t="str">
        <f t="shared" si="73"/>
        <v/>
      </c>
      <c r="S170" s="5">
        <f t="shared" si="74"/>
        <v>1</v>
      </c>
      <c r="T170" s="5">
        <f t="shared" si="75"/>
        <v>1</v>
      </c>
      <c r="U170" s="5" t="str">
        <f>CONCATENATE(+Contacts!H170)</f>
        <v/>
      </c>
      <c r="V170" t="str">
        <f t="shared" si="76"/>
        <v/>
      </c>
      <c r="W170" s="5">
        <f t="shared" si="77"/>
        <v>1</v>
      </c>
      <c r="X170" s="5">
        <f t="shared" si="78"/>
        <v>1</v>
      </c>
      <c r="Y170" s="5" t="str">
        <f>CONCATENATE(+Contacts!F170)</f>
        <v/>
      </c>
      <c r="Z170" s="2" t="str">
        <f t="shared" si="79"/>
        <v xml:space="preserve">Hehanussa, Tineke   </v>
      </c>
      <c r="AA170" s="2" t="str">
        <f>CONCATENATE(+Contacts!C170)</f>
        <v>Hehanussa</v>
      </c>
      <c r="AB170" s="2" t="str">
        <f t="shared" si="80"/>
        <v xml:space="preserve">, </v>
      </c>
      <c r="AC170" s="2" t="str">
        <f>CONCATENATE(+Contacts!A170)</f>
        <v>Tineke</v>
      </c>
      <c r="AD170" s="3" t="str">
        <f>CONCATENATE(" ",+Contacts!B170)</f>
        <v xml:space="preserve"> </v>
      </c>
      <c r="AE170" s="2" t="str">
        <f t="shared" si="81"/>
        <v xml:space="preserve"> </v>
      </c>
      <c r="AF170" s="3" t="str">
        <f>CONCATENATE(+Contacts!D170)</f>
        <v/>
      </c>
      <c r="AG170" s="2" t="str">
        <f t="shared" si="82"/>
        <v xml:space="preserve"> </v>
      </c>
      <c r="AH170" t="str">
        <f>CONCATENATE(+Contacts!I170)</f>
        <v/>
      </c>
      <c r="AI170">
        <v>1500000010</v>
      </c>
      <c r="AJ170" s="5">
        <f t="shared" si="83"/>
        <v>1</v>
      </c>
    </row>
    <row r="171" spans="1:36" x14ac:dyDescent="0.35">
      <c r="A171" s="7" t="str">
        <f t="shared" si="58"/>
        <v>&lt;contact&gt;&lt;category&gt;0&lt;/category&gt;&lt;person&gt;&lt;realName&gt;Heidebes-alert    &lt;/realName&gt;&lt;/person&gt;</v>
      </c>
      <c r="B171" s="7" t="str">
        <f t="shared" si="59"/>
        <v>&lt;telephony nid="1"&gt;&lt;number id="0" prio="1" type="mobile"&gt;+31 6 38100551&lt;/number&gt;&lt;/telephony&gt;</v>
      </c>
      <c r="C171" s="7" t="str">
        <f t="shared" si="60"/>
        <v>&lt;services /&gt;&lt;setup /&gt;&lt;mod_time&gt;1500000010&lt;/mod_time&gt;&lt;uniqueid&gt;1&lt;/uniqueid&gt;&lt;/contact&gt;</v>
      </c>
      <c r="D171" t="str">
        <f t="shared" si="61"/>
        <v>&lt;contact&gt;&lt;category&gt;0&lt;/category&gt;&lt;person&gt;&lt;realName&gt;Heidebes-alert    &lt;/realName&gt;&lt;/person&gt;</v>
      </c>
      <c r="E171" t="str">
        <f t="shared" si="62"/>
        <v>&lt;telephony nid="1"&gt;&lt;number id="0" prio="1" type="mobile"&gt;+31 6 38100551&lt;/number&gt;&lt;/telephony&gt;</v>
      </c>
      <c r="F171" t="str">
        <f t="shared" si="63"/>
        <v>&lt;telephony nid="1"&gt;</v>
      </c>
      <c r="G171" t="str">
        <f t="shared" si="64"/>
        <v/>
      </c>
      <c r="H171" t="str">
        <f t="shared" si="65"/>
        <v>&lt;services nid="1"&gt;&lt;email id="0" classifier="private"&gt;&lt;/email&gt;&lt;/services&gt;&lt;setup /&gt;&lt;mod_time&gt;1500000010&lt;/mod_time&gt;&lt;uniqueid&gt;1&lt;/uniqueid&gt;&lt;/contact&gt;</v>
      </c>
      <c r="I171" t="str">
        <f t="shared" si="66"/>
        <v>&lt;services /&gt;&lt;setup /&gt;&lt;mod_time&gt;1500000010&lt;/mod_time&gt;&lt;uniqueid&gt;1&lt;/uniqueid&gt;&lt;/contact&gt;</v>
      </c>
      <c r="J171" t="str">
        <f t="shared" si="67"/>
        <v>&lt;services /&gt;&lt;setup /&gt;&lt;mod_time&gt;1500000010&lt;/mod_time&gt;&lt;uniqueid&gt;1&lt;/uniqueid&gt;&lt;/contact&gt;</v>
      </c>
      <c r="K171" s="5">
        <f t="shared" si="68"/>
        <v>0</v>
      </c>
      <c r="L171" s="5">
        <f t="shared" si="69"/>
        <v>0</v>
      </c>
      <c r="M171" s="5" t="str">
        <f>CONCATENATE(+Contacts!E171)</f>
        <v/>
      </c>
      <c r="N171" t="str">
        <f t="shared" si="70"/>
        <v/>
      </c>
      <c r="O171" s="5">
        <f t="shared" si="71"/>
        <v>0</v>
      </c>
      <c r="P171" s="5">
        <f t="shared" si="72"/>
        <v>0</v>
      </c>
      <c r="Q171" s="5" t="str">
        <f>CONCATENATE(+Contacts!G171)</f>
        <v/>
      </c>
      <c r="R171" t="str">
        <f t="shared" si="73"/>
        <v>&lt;number id="0" prio="1" type="mobile"&gt;+31 6 38100551&lt;/number&gt;</v>
      </c>
      <c r="S171" s="5">
        <f t="shared" si="74"/>
        <v>1</v>
      </c>
      <c r="T171" s="5">
        <f t="shared" si="75"/>
        <v>1</v>
      </c>
      <c r="U171" s="5" t="str">
        <f>CONCATENATE(+Contacts!H171)</f>
        <v>+31 6 38100551</v>
      </c>
      <c r="V171" t="str">
        <f t="shared" si="76"/>
        <v/>
      </c>
      <c r="W171" s="5">
        <f t="shared" si="77"/>
        <v>1</v>
      </c>
      <c r="X171" s="5">
        <f t="shared" si="78"/>
        <v>1</v>
      </c>
      <c r="Y171" s="5" t="str">
        <f>CONCATENATE(+Contacts!F171)</f>
        <v/>
      </c>
      <c r="Z171" s="2" t="str">
        <f t="shared" si="79"/>
        <v xml:space="preserve">Heidebes-alert    </v>
      </c>
      <c r="AA171" s="2" t="str">
        <f>CONCATENATE(+Contacts!C171)</f>
        <v>Heidebes-alert</v>
      </c>
      <c r="AB171" s="2" t="str">
        <f t="shared" si="80"/>
        <v xml:space="preserve"> </v>
      </c>
      <c r="AC171" s="2" t="str">
        <f>CONCATENATE(+Contacts!A171)</f>
        <v/>
      </c>
      <c r="AD171" s="3" t="str">
        <f>CONCATENATE(" ",+Contacts!B171)</f>
        <v xml:space="preserve"> </v>
      </c>
      <c r="AE171" s="2" t="str">
        <f t="shared" si="81"/>
        <v xml:space="preserve"> </v>
      </c>
      <c r="AF171" s="3" t="str">
        <f>CONCATENATE(+Contacts!D171)</f>
        <v/>
      </c>
      <c r="AG171" s="2" t="str">
        <f t="shared" si="82"/>
        <v xml:space="preserve"> </v>
      </c>
      <c r="AH171" t="str">
        <f>CONCATENATE(+Contacts!I171)</f>
        <v/>
      </c>
      <c r="AI171">
        <v>1500000010</v>
      </c>
      <c r="AJ171" s="5">
        <f t="shared" si="83"/>
        <v>1</v>
      </c>
    </row>
    <row r="172" spans="1:36" x14ac:dyDescent="0.35">
      <c r="A172" s="7" t="str">
        <f t="shared" si="58"/>
        <v>&lt;contact&gt;&lt;category&gt;0&lt;/category&gt;&lt;person&gt;&lt;realName&gt;Heimers, Hans   &lt;/realName&gt;&lt;/person&gt;</v>
      </c>
      <c r="B172" s="7" t="str">
        <f t="shared" si="59"/>
        <v>&lt;telephony nid="1"&gt;&lt;number id="0" prio="1" type="mobile"&gt;+31 615 863015&lt;/number&gt;&lt;/telephony&gt;</v>
      </c>
      <c r="C172" s="7" t="str">
        <f t="shared" si="60"/>
        <v>&lt;services nid="1"&gt;&lt;email id="0" classifier="private"&gt;heimers@upcmail.nl&lt;/email&gt;&lt;/services&gt;&lt;setup /&gt;&lt;mod_time&gt;1500000010&lt;/mod_time&gt;&lt;uniqueid&gt;1&lt;/uniqueid&gt;&lt;/contact&gt;</v>
      </c>
      <c r="D172" t="str">
        <f t="shared" si="61"/>
        <v>&lt;contact&gt;&lt;category&gt;0&lt;/category&gt;&lt;person&gt;&lt;realName&gt;Heimers, Hans   &lt;/realName&gt;&lt;/person&gt;</v>
      </c>
      <c r="E172" t="str">
        <f t="shared" si="62"/>
        <v>&lt;telephony nid="1"&gt;&lt;number id="0" prio="1" type="mobile"&gt;+31 615 863015&lt;/number&gt;&lt;/telephony&gt;</v>
      </c>
      <c r="F172" t="str">
        <f t="shared" si="63"/>
        <v>&lt;telephony nid="1"&gt;</v>
      </c>
      <c r="G172" t="str">
        <f t="shared" si="64"/>
        <v/>
      </c>
      <c r="H172" t="str">
        <f t="shared" si="65"/>
        <v>&lt;services nid="1"&gt;&lt;email id="0" classifier="private"&gt;heimers@upcmail.nl&lt;/email&gt;&lt;/services&gt;&lt;setup /&gt;&lt;mod_time&gt;1500000010&lt;/mod_time&gt;&lt;uniqueid&gt;1&lt;/uniqueid&gt;&lt;/contact&gt;</v>
      </c>
      <c r="I172" t="str">
        <f t="shared" si="66"/>
        <v>&lt;services /&gt;&lt;setup /&gt;&lt;mod_time&gt;1500000010&lt;/mod_time&gt;&lt;uniqueid&gt;1&lt;/uniqueid&gt;&lt;/contact&gt;</v>
      </c>
      <c r="J172" t="str">
        <f t="shared" si="67"/>
        <v>&lt;services nid="1"&gt;&lt;email id="0" classifier="private"&gt;heimers@upcmail.nl&lt;/email&gt;&lt;/services&gt;&lt;setup /&gt;&lt;mod_time&gt;1500000010&lt;/mod_time&gt;&lt;uniqueid&gt;1&lt;/uniqueid&gt;&lt;/contact&gt;</v>
      </c>
      <c r="K172" s="5">
        <f t="shared" si="68"/>
        <v>0</v>
      </c>
      <c r="L172" s="5">
        <f t="shared" si="69"/>
        <v>0</v>
      </c>
      <c r="M172" s="5" t="str">
        <f>CONCATENATE(+Contacts!E172)</f>
        <v/>
      </c>
      <c r="N172" t="str">
        <f t="shared" si="70"/>
        <v/>
      </c>
      <c r="O172" s="5">
        <f t="shared" si="71"/>
        <v>0</v>
      </c>
      <c r="P172" s="5">
        <f t="shared" si="72"/>
        <v>0</v>
      </c>
      <c r="Q172" s="5" t="str">
        <f>CONCATENATE(+Contacts!G172)</f>
        <v/>
      </c>
      <c r="R172" t="str">
        <f t="shared" si="73"/>
        <v>&lt;number id="0" prio="1" type="mobile"&gt;+31 615 863015&lt;/number&gt;</v>
      </c>
      <c r="S172" s="5">
        <f t="shared" si="74"/>
        <v>1</v>
      </c>
      <c r="T172" s="5">
        <f t="shared" si="75"/>
        <v>1</v>
      </c>
      <c r="U172" s="5" t="str">
        <f>CONCATENATE(+Contacts!H172)</f>
        <v>+31 615 863015</v>
      </c>
      <c r="V172" t="str">
        <f t="shared" si="76"/>
        <v/>
      </c>
      <c r="W172" s="5">
        <f t="shared" si="77"/>
        <v>1</v>
      </c>
      <c r="X172" s="5">
        <f t="shared" si="78"/>
        <v>1</v>
      </c>
      <c r="Y172" s="5" t="str">
        <f>CONCATENATE(+Contacts!F172)</f>
        <v/>
      </c>
      <c r="Z172" s="2" t="str">
        <f t="shared" si="79"/>
        <v xml:space="preserve">Heimers, Hans   </v>
      </c>
      <c r="AA172" s="2" t="str">
        <f>CONCATENATE(+Contacts!C172)</f>
        <v>Heimers</v>
      </c>
      <c r="AB172" s="2" t="str">
        <f t="shared" si="80"/>
        <v xml:space="preserve">, </v>
      </c>
      <c r="AC172" s="2" t="str">
        <f>CONCATENATE(+Contacts!A172)</f>
        <v>Hans</v>
      </c>
      <c r="AD172" s="3" t="str">
        <f>CONCATENATE(" ",+Contacts!B172)</f>
        <v xml:space="preserve"> </v>
      </c>
      <c r="AE172" s="2" t="str">
        <f t="shared" si="81"/>
        <v xml:space="preserve"> </v>
      </c>
      <c r="AF172" s="3" t="str">
        <f>CONCATENATE(+Contacts!D172)</f>
        <v/>
      </c>
      <c r="AG172" s="2" t="str">
        <f t="shared" si="82"/>
        <v xml:space="preserve"> </v>
      </c>
      <c r="AH172" t="str">
        <f>CONCATENATE(+Contacts!I172)</f>
        <v>heimers@upcmail.nl</v>
      </c>
      <c r="AI172">
        <v>1500000010</v>
      </c>
      <c r="AJ172" s="5">
        <f t="shared" si="83"/>
        <v>1</v>
      </c>
    </row>
    <row r="173" spans="1:36" x14ac:dyDescent="0.35">
      <c r="A173" s="7" t="str">
        <f t="shared" si="58"/>
        <v>&lt;contact&gt;&lt;category&gt;0&lt;/category&gt;&lt;person&gt;&lt;realName&gt;Het Jagershof  (Hotel)&lt;/realName&gt;&lt;/person&gt;</v>
      </c>
      <c r="B173" s="7" t="str">
        <f t="shared" si="59"/>
        <v>&lt;telephony nid="1"&gt;&lt;number id="0" prio="1" type="work"&gt;+31 341252393&lt;/number&gt;&lt;/telephony&gt;</v>
      </c>
      <c r="C173" s="7" t="str">
        <f t="shared" si="60"/>
        <v>&lt;services /&gt;&lt;setup /&gt;&lt;mod_time&gt;1500000010&lt;/mod_time&gt;&lt;uniqueid&gt;1&lt;/uniqueid&gt;&lt;/contact&gt;</v>
      </c>
      <c r="D173" t="str">
        <f t="shared" si="61"/>
        <v>&lt;contact&gt;&lt;category&gt;0&lt;/category&gt;&lt;person&gt;&lt;realName&gt;Het Jagershof  (Hotel)&lt;/realName&gt;&lt;/person&gt;</v>
      </c>
      <c r="E173" t="str">
        <f t="shared" si="62"/>
        <v>&lt;telephony nid="1"&gt;&lt;number id="0" prio="1" type="work"&gt;+31 341252393&lt;/number&gt;&lt;/telephony&gt;</v>
      </c>
      <c r="F173" t="str">
        <f t="shared" si="63"/>
        <v>&lt;telephony nid="1"&gt;</v>
      </c>
      <c r="G173" t="str">
        <f t="shared" si="64"/>
        <v>&lt;number id="0" prio="1" type="work"&gt;+31 341252393&lt;/number&gt;</v>
      </c>
      <c r="H173" t="str">
        <f t="shared" si="65"/>
        <v>&lt;services nid="1"&gt;&lt;email id="0" classifier="private"&gt;&lt;/email&gt;&lt;/services&gt;&lt;setup /&gt;&lt;mod_time&gt;1500000010&lt;/mod_time&gt;&lt;uniqueid&gt;1&lt;/uniqueid&gt;&lt;/contact&gt;</v>
      </c>
      <c r="I173" t="str">
        <f t="shared" si="66"/>
        <v>&lt;services /&gt;&lt;setup /&gt;&lt;mod_time&gt;1500000010&lt;/mod_time&gt;&lt;uniqueid&gt;1&lt;/uniqueid&gt;&lt;/contact&gt;</v>
      </c>
      <c r="J173" t="str">
        <f t="shared" si="67"/>
        <v>&lt;services /&gt;&lt;setup /&gt;&lt;mod_time&gt;1500000010&lt;/mod_time&gt;&lt;uniqueid&gt;1&lt;/uniqueid&gt;&lt;/contact&gt;</v>
      </c>
      <c r="K173" s="5">
        <f t="shared" si="68"/>
        <v>1</v>
      </c>
      <c r="L173" s="5">
        <f t="shared" si="69"/>
        <v>1</v>
      </c>
      <c r="M173" s="5" t="str">
        <f>CONCATENATE(+Contacts!E173)</f>
        <v>+31 341252393</v>
      </c>
      <c r="N173" t="str">
        <f t="shared" si="70"/>
        <v/>
      </c>
      <c r="O173" s="5">
        <f t="shared" si="71"/>
        <v>1</v>
      </c>
      <c r="P173" s="5">
        <f t="shared" si="72"/>
        <v>1</v>
      </c>
      <c r="Q173" s="5" t="str">
        <f>CONCATENATE(+Contacts!G173)</f>
        <v/>
      </c>
      <c r="R173" t="str">
        <f t="shared" si="73"/>
        <v/>
      </c>
      <c r="S173" s="5">
        <f t="shared" si="74"/>
        <v>1</v>
      </c>
      <c r="T173" s="5">
        <f t="shared" si="75"/>
        <v>1</v>
      </c>
      <c r="U173" s="5" t="str">
        <f>CONCATENATE(+Contacts!H173)</f>
        <v/>
      </c>
      <c r="V173" t="str">
        <f t="shared" si="76"/>
        <v/>
      </c>
      <c r="W173" s="5">
        <f t="shared" si="77"/>
        <v>1</v>
      </c>
      <c r="X173" s="5">
        <f t="shared" si="78"/>
        <v>1</v>
      </c>
      <c r="Y173" s="5" t="str">
        <f>CONCATENATE(+Contacts!F173)</f>
        <v/>
      </c>
      <c r="Z173" s="2" t="str">
        <f t="shared" si="79"/>
        <v>Het Jagershof  (Hotel)</v>
      </c>
      <c r="AA173" s="2" t="str">
        <f>CONCATENATE(+Contacts!C173)</f>
        <v>Het Jagershof</v>
      </c>
      <c r="AB173" s="2" t="str">
        <f t="shared" si="80"/>
        <v xml:space="preserve"> </v>
      </c>
      <c r="AC173" s="2" t="str">
        <f>CONCATENATE(+Contacts!A173)</f>
        <v/>
      </c>
      <c r="AD173" s="3" t="str">
        <f>CONCATENATE(" ",+Contacts!B173)</f>
        <v xml:space="preserve"> </v>
      </c>
      <c r="AE173" s="2" t="str">
        <f t="shared" si="81"/>
        <v>(</v>
      </c>
      <c r="AF173" s="3" t="str">
        <f>CONCATENATE(+Contacts!D173)</f>
        <v>Hotel</v>
      </c>
      <c r="AG173" s="2" t="str">
        <f t="shared" si="82"/>
        <v>)</v>
      </c>
      <c r="AH173" t="str">
        <f>CONCATENATE(+Contacts!I173)</f>
        <v/>
      </c>
      <c r="AI173">
        <v>1500000010</v>
      </c>
      <c r="AJ173" s="5">
        <f t="shared" si="83"/>
        <v>1</v>
      </c>
    </row>
    <row r="174" spans="1:36" x14ac:dyDescent="0.35">
      <c r="A174" s="7" t="str">
        <f t="shared" si="58"/>
        <v>&lt;contact&gt;&lt;category&gt;0&lt;/category&gt;&lt;person&gt;&lt;realName&gt;Het Ouwe Bruggetje  (Restaurant)&lt;/realName&gt;&lt;/person&gt;</v>
      </c>
      <c r="B174" s="7" t="str">
        <f t="shared" si="59"/>
        <v>&lt;telephony nid="1"&gt;&lt;number id="0" prio="1" type="work"&gt;+31 104773499&lt;/number&gt;&lt;/telephony&gt;</v>
      </c>
      <c r="C174" s="7" t="str">
        <f t="shared" si="60"/>
        <v>&lt;services /&gt;&lt;setup /&gt;&lt;mod_time&gt;1500000010&lt;/mod_time&gt;&lt;uniqueid&gt;1&lt;/uniqueid&gt;&lt;/contact&gt;</v>
      </c>
      <c r="D174" t="str">
        <f t="shared" si="61"/>
        <v>&lt;contact&gt;&lt;category&gt;0&lt;/category&gt;&lt;person&gt;&lt;realName&gt;Het Ouwe Bruggetje  (Restaurant)&lt;/realName&gt;&lt;/person&gt;</v>
      </c>
      <c r="E174" t="str">
        <f t="shared" si="62"/>
        <v>&lt;telephony nid="1"&gt;&lt;number id="0" prio="1" type="work"&gt;+31 104773499&lt;/number&gt;&lt;/telephony&gt;</v>
      </c>
      <c r="F174" t="str">
        <f t="shared" si="63"/>
        <v>&lt;telephony nid="1"&gt;</v>
      </c>
      <c r="G174" t="str">
        <f t="shared" si="64"/>
        <v>&lt;number id="0" prio="1" type="work"&gt;+31 104773499&lt;/number&gt;</v>
      </c>
      <c r="H174" t="str">
        <f t="shared" si="65"/>
        <v>&lt;services nid="1"&gt;&lt;email id="0" classifier="private"&gt;&lt;/email&gt;&lt;/services&gt;&lt;setup /&gt;&lt;mod_time&gt;1500000010&lt;/mod_time&gt;&lt;uniqueid&gt;1&lt;/uniqueid&gt;&lt;/contact&gt;</v>
      </c>
      <c r="I174" t="str">
        <f t="shared" si="66"/>
        <v>&lt;services /&gt;&lt;setup /&gt;&lt;mod_time&gt;1500000010&lt;/mod_time&gt;&lt;uniqueid&gt;1&lt;/uniqueid&gt;&lt;/contact&gt;</v>
      </c>
      <c r="J174" t="str">
        <f t="shared" si="67"/>
        <v>&lt;services /&gt;&lt;setup /&gt;&lt;mod_time&gt;1500000010&lt;/mod_time&gt;&lt;uniqueid&gt;1&lt;/uniqueid&gt;&lt;/contact&gt;</v>
      </c>
      <c r="K174" s="5">
        <f t="shared" si="68"/>
        <v>1</v>
      </c>
      <c r="L174" s="5">
        <f t="shared" si="69"/>
        <v>1</v>
      </c>
      <c r="M174" s="5" t="str">
        <f>CONCATENATE(+Contacts!E174)</f>
        <v>+31 104773499</v>
      </c>
      <c r="N174" t="str">
        <f t="shared" si="70"/>
        <v/>
      </c>
      <c r="O174" s="5">
        <f t="shared" si="71"/>
        <v>1</v>
      </c>
      <c r="P174" s="5">
        <f t="shared" si="72"/>
        <v>1</v>
      </c>
      <c r="Q174" s="5" t="str">
        <f>CONCATENATE(+Contacts!G174)</f>
        <v/>
      </c>
      <c r="R174" t="str">
        <f t="shared" si="73"/>
        <v/>
      </c>
      <c r="S174" s="5">
        <f t="shared" si="74"/>
        <v>1</v>
      </c>
      <c r="T174" s="5">
        <f t="shared" si="75"/>
        <v>1</v>
      </c>
      <c r="U174" s="5" t="str">
        <f>CONCATENATE(+Contacts!H174)</f>
        <v/>
      </c>
      <c r="V174" t="str">
        <f t="shared" si="76"/>
        <v/>
      </c>
      <c r="W174" s="5">
        <f t="shared" si="77"/>
        <v>1</v>
      </c>
      <c r="X174" s="5">
        <f t="shared" si="78"/>
        <v>1</v>
      </c>
      <c r="Y174" s="5" t="str">
        <f>CONCATENATE(+Contacts!F174)</f>
        <v/>
      </c>
      <c r="Z174" s="2" t="str">
        <f t="shared" si="79"/>
        <v>Het Ouwe Bruggetje  (Restaurant)</v>
      </c>
      <c r="AA174" s="2" t="str">
        <f>CONCATENATE(+Contacts!C174)</f>
        <v>Het Ouwe Bruggetje</v>
      </c>
      <c r="AB174" s="2" t="str">
        <f t="shared" si="80"/>
        <v xml:space="preserve"> </v>
      </c>
      <c r="AC174" s="2" t="str">
        <f>CONCATENATE(+Contacts!A174)</f>
        <v/>
      </c>
      <c r="AD174" s="3" t="str">
        <f>CONCATENATE(" ",+Contacts!B174)</f>
        <v xml:space="preserve"> </v>
      </c>
      <c r="AE174" s="2" t="str">
        <f t="shared" si="81"/>
        <v>(</v>
      </c>
      <c r="AF174" s="3" t="str">
        <f>CONCATENATE(+Contacts!D174)</f>
        <v>Restaurant</v>
      </c>
      <c r="AG174" s="2" t="str">
        <f t="shared" si="82"/>
        <v>)</v>
      </c>
      <c r="AH174" t="str">
        <f>CONCATENATE(+Contacts!I174)</f>
        <v/>
      </c>
      <c r="AI174">
        <v>1500000010</v>
      </c>
      <c r="AJ174" s="5">
        <f t="shared" si="83"/>
        <v>1</v>
      </c>
    </row>
    <row r="175" spans="1:36" x14ac:dyDescent="0.35">
      <c r="A175" s="7" t="str">
        <f t="shared" si="58"/>
        <v>&lt;contact&gt;&lt;category&gt;0&lt;/category&gt;&lt;person&gt;&lt;realName&gt;Hoebeke, Arianka   &lt;/realName&gt;&lt;/person&gt;</v>
      </c>
      <c r="B175" s="7" t="str">
        <f t="shared" si="59"/>
        <v>&lt;telephony nid="1"&gt;&lt;number id="0" prio="1" type="mobile"&gt;+31 633 893 930&lt;/number&gt;&lt;/telephony&gt;</v>
      </c>
      <c r="C175" s="7" t="str">
        <f t="shared" si="60"/>
        <v>&lt;services nid="1"&gt;&lt;email id="0" classifier="private"&gt;arianka10a@hotmail.com&lt;/email&gt;&lt;/services&gt;&lt;setup /&gt;&lt;mod_time&gt;1500000010&lt;/mod_time&gt;&lt;uniqueid&gt;1&lt;/uniqueid&gt;&lt;/contact&gt;</v>
      </c>
      <c r="D175" t="str">
        <f t="shared" si="61"/>
        <v>&lt;contact&gt;&lt;category&gt;0&lt;/category&gt;&lt;person&gt;&lt;realName&gt;Hoebeke, Arianka   &lt;/realName&gt;&lt;/person&gt;</v>
      </c>
      <c r="E175" t="str">
        <f t="shared" si="62"/>
        <v>&lt;telephony nid="1"&gt;&lt;number id="0" prio="1" type="mobile"&gt;+31 633 893 930&lt;/number&gt;&lt;/telephony&gt;</v>
      </c>
      <c r="F175" t="str">
        <f t="shared" si="63"/>
        <v>&lt;telephony nid="1"&gt;</v>
      </c>
      <c r="G175" t="str">
        <f t="shared" si="64"/>
        <v/>
      </c>
      <c r="H175" t="str">
        <f t="shared" si="65"/>
        <v>&lt;services nid="1"&gt;&lt;email id="0" classifier="private"&gt;arianka10a@hotmail.com&lt;/email&gt;&lt;/services&gt;&lt;setup /&gt;&lt;mod_time&gt;1500000010&lt;/mod_time&gt;&lt;uniqueid&gt;1&lt;/uniqueid&gt;&lt;/contact&gt;</v>
      </c>
      <c r="I175" t="str">
        <f t="shared" si="66"/>
        <v>&lt;services /&gt;&lt;setup /&gt;&lt;mod_time&gt;1500000010&lt;/mod_time&gt;&lt;uniqueid&gt;1&lt;/uniqueid&gt;&lt;/contact&gt;</v>
      </c>
      <c r="J175" t="str">
        <f t="shared" si="67"/>
        <v>&lt;services nid="1"&gt;&lt;email id="0" classifier="private"&gt;arianka10a@hotmail.com&lt;/email&gt;&lt;/services&gt;&lt;setup /&gt;&lt;mod_time&gt;1500000010&lt;/mod_time&gt;&lt;uniqueid&gt;1&lt;/uniqueid&gt;&lt;/contact&gt;</v>
      </c>
      <c r="K175" s="5">
        <f t="shared" si="68"/>
        <v>0</v>
      </c>
      <c r="L175" s="5">
        <f t="shared" si="69"/>
        <v>0</v>
      </c>
      <c r="M175" s="5" t="str">
        <f>CONCATENATE(+Contacts!E175)</f>
        <v/>
      </c>
      <c r="N175" t="str">
        <f t="shared" si="70"/>
        <v/>
      </c>
      <c r="O175" s="5">
        <f t="shared" si="71"/>
        <v>0</v>
      </c>
      <c r="P175" s="5">
        <f t="shared" si="72"/>
        <v>0</v>
      </c>
      <c r="Q175" s="5" t="str">
        <f>CONCATENATE(+Contacts!G175)</f>
        <v/>
      </c>
      <c r="R175" t="str">
        <f t="shared" si="73"/>
        <v>&lt;number id="0" prio="1" type="mobile"&gt;+31 633 893 930&lt;/number&gt;</v>
      </c>
      <c r="S175" s="5">
        <f t="shared" si="74"/>
        <v>1</v>
      </c>
      <c r="T175" s="5">
        <f t="shared" si="75"/>
        <v>1</v>
      </c>
      <c r="U175" s="5" t="str">
        <f>CONCATENATE(+Contacts!H175)</f>
        <v>+31 633 893 930</v>
      </c>
      <c r="V175" t="str">
        <f t="shared" si="76"/>
        <v/>
      </c>
      <c r="W175" s="5">
        <f t="shared" si="77"/>
        <v>1</v>
      </c>
      <c r="X175" s="5">
        <f t="shared" si="78"/>
        <v>1</v>
      </c>
      <c r="Y175" s="5" t="str">
        <f>CONCATENATE(+Contacts!F175)</f>
        <v/>
      </c>
      <c r="Z175" s="2" t="str">
        <f t="shared" si="79"/>
        <v xml:space="preserve">Hoebeke, Arianka   </v>
      </c>
      <c r="AA175" s="2" t="str">
        <f>CONCATENATE(+Contacts!C175)</f>
        <v>Hoebeke</v>
      </c>
      <c r="AB175" s="2" t="str">
        <f t="shared" si="80"/>
        <v xml:space="preserve">, </v>
      </c>
      <c r="AC175" s="2" t="str">
        <f>CONCATENATE(+Contacts!A175)</f>
        <v>Arianka</v>
      </c>
      <c r="AD175" s="3" t="str">
        <f>CONCATENATE(" ",+Contacts!B175)</f>
        <v xml:space="preserve"> </v>
      </c>
      <c r="AE175" s="2" t="str">
        <f t="shared" si="81"/>
        <v xml:space="preserve"> </v>
      </c>
      <c r="AF175" s="3" t="str">
        <f>CONCATENATE(+Contacts!D175)</f>
        <v/>
      </c>
      <c r="AG175" s="2" t="str">
        <f t="shared" si="82"/>
        <v xml:space="preserve"> </v>
      </c>
      <c r="AH175" t="str">
        <f>CONCATENATE(+Contacts!I175)</f>
        <v>arianka10a@hotmail.com</v>
      </c>
      <c r="AI175">
        <v>1500000010</v>
      </c>
      <c r="AJ175" s="5">
        <f t="shared" si="83"/>
        <v>1</v>
      </c>
    </row>
    <row r="176" spans="1:36" x14ac:dyDescent="0.35">
      <c r="A176" s="7" t="str">
        <f t="shared" si="58"/>
        <v>&lt;contact&gt;&lt;category&gt;0&lt;/category&gt;&lt;person&gt;&lt;realName&gt;Hoebeke, Fam.   &lt;/realName&gt;&lt;/person&gt;</v>
      </c>
      <c r="B176" s="7" t="str">
        <f t="shared" si="59"/>
        <v>&lt;telephony nid="1"&gt;&lt;number id="0" prio="1" type="home"&gt;+31 105115863&lt;/number&gt;&lt;/telephony&gt;</v>
      </c>
      <c r="C176" s="7" t="str">
        <f t="shared" si="60"/>
        <v>&lt;services /&gt;&lt;setup /&gt;&lt;mod_time&gt;1500000010&lt;/mod_time&gt;&lt;uniqueid&gt;1&lt;/uniqueid&gt;&lt;/contact&gt;</v>
      </c>
      <c r="D176" t="str">
        <f t="shared" si="61"/>
        <v>&lt;contact&gt;&lt;category&gt;0&lt;/category&gt;&lt;person&gt;&lt;realName&gt;Hoebeke, Fam.   &lt;/realName&gt;&lt;/person&gt;</v>
      </c>
      <c r="E176" t="str">
        <f t="shared" si="62"/>
        <v>&lt;telephony nid="1"&gt;&lt;number id="0" prio="1" type="home"&gt;+31 105115863&lt;/number&gt;&lt;/telephony&gt;</v>
      </c>
      <c r="F176" t="str">
        <f t="shared" si="63"/>
        <v>&lt;telephony nid="1"&gt;</v>
      </c>
      <c r="G176" t="str">
        <f t="shared" si="64"/>
        <v/>
      </c>
      <c r="H176" t="str">
        <f t="shared" si="65"/>
        <v>&lt;services nid="1"&gt;&lt;email id="0" classifier="private"&gt;&lt;/email&gt;&lt;/services&gt;&lt;setup /&gt;&lt;mod_time&gt;1500000010&lt;/mod_time&gt;&lt;uniqueid&gt;1&lt;/uniqueid&gt;&lt;/contact&gt;</v>
      </c>
      <c r="I176" t="str">
        <f t="shared" si="66"/>
        <v>&lt;services /&gt;&lt;setup /&gt;&lt;mod_time&gt;1500000010&lt;/mod_time&gt;&lt;uniqueid&gt;1&lt;/uniqueid&gt;&lt;/contact&gt;</v>
      </c>
      <c r="J176" t="str">
        <f t="shared" si="67"/>
        <v>&lt;services /&gt;&lt;setup /&gt;&lt;mod_time&gt;1500000010&lt;/mod_time&gt;&lt;uniqueid&gt;1&lt;/uniqueid&gt;&lt;/contact&gt;</v>
      </c>
      <c r="K176" s="5">
        <f t="shared" si="68"/>
        <v>0</v>
      </c>
      <c r="L176" s="5">
        <f t="shared" si="69"/>
        <v>0</v>
      </c>
      <c r="M176" s="5" t="str">
        <f>CONCATENATE(+Contacts!E176)</f>
        <v/>
      </c>
      <c r="N176" t="str">
        <f t="shared" si="70"/>
        <v>&lt;number id="0" prio="1" type="home"&gt;+31 105115863&lt;/number&gt;</v>
      </c>
      <c r="O176" s="5">
        <f t="shared" si="71"/>
        <v>1</v>
      </c>
      <c r="P176" s="5">
        <f t="shared" si="72"/>
        <v>1</v>
      </c>
      <c r="Q176" s="5" t="str">
        <f>CONCATENATE(+Contacts!G176)</f>
        <v>+31 105115863</v>
      </c>
      <c r="R176" t="str">
        <f t="shared" si="73"/>
        <v/>
      </c>
      <c r="S176" s="5">
        <f t="shared" si="74"/>
        <v>1</v>
      </c>
      <c r="T176" s="5">
        <f t="shared" si="75"/>
        <v>1</v>
      </c>
      <c r="U176" s="5" t="str">
        <f>CONCATENATE(+Contacts!H176)</f>
        <v/>
      </c>
      <c r="V176" t="str">
        <f t="shared" si="76"/>
        <v/>
      </c>
      <c r="W176" s="5">
        <f t="shared" si="77"/>
        <v>1</v>
      </c>
      <c r="X176" s="5">
        <f t="shared" si="78"/>
        <v>1</v>
      </c>
      <c r="Y176" s="5" t="str">
        <f>CONCATENATE(+Contacts!F176)</f>
        <v/>
      </c>
      <c r="Z176" s="2" t="str">
        <f t="shared" si="79"/>
        <v xml:space="preserve">Hoebeke, Fam.   </v>
      </c>
      <c r="AA176" s="2" t="str">
        <f>CONCATENATE(+Contacts!C176)</f>
        <v>Hoebeke</v>
      </c>
      <c r="AB176" s="2" t="str">
        <f t="shared" si="80"/>
        <v xml:space="preserve">, </v>
      </c>
      <c r="AC176" s="2" t="str">
        <f>CONCATENATE(+Contacts!A176)</f>
        <v>Fam.</v>
      </c>
      <c r="AD176" s="3" t="str">
        <f>CONCATENATE(" ",+Contacts!B176)</f>
        <v xml:space="preserve"> </v>
      </c>
      <c r="AE176" s="2" t="str">
        <f t="shared" si="81"/>
        <v xml:space="preserve"> </v>
      </c>
      <c r="AF176" s="3" t="str">
        <f>CONCATENATE(+Contacts!D176)</f>
        <v/>
      </c>
      <c r="AG176" s="2" t="str">
        <f t="shared" si="82"/>
        <v xml:space="preserve"> </v>
      </c>
      <c r="AH176" t="str">
        <f>CONCATENATE(+Contacts!I176)</f>
        <v/>
      </c>
      <c r="AI176">
        <v>1500000010</v>
      </c>
      <c r="AJ176" s="5">
        <f t="shared" si="83"/>
        <v>1</v>
      </c>
    </row>
    <row r="177" spans="1:36" x14ac:dyDescent="0.35">
      <c r="A177" s="7" t="str">
        <f t="shared" si="58"/>
        <v>&lt;contact&gt;&lt;category&gt;0&lt;/category&gt;&lt;person&gt;&lt;realName&gt;Hoebeke, Peter   &lt;/realName&gt;&lt;/person&gt;</v>
      </c>
      <c r="B177" s="7" t="str">
        <f t="shared" si="59"/>
        <v>&lt;telephony nid="2"&gt;&lt;number id="0" prio="1" type="home"&gt;+47 64934186&lt;/number&gt;&lt;number id="1" prio="0" type="mobile"&gt;4748395952&lt;/number&gt;&lt;/telephony&gt;</v>
      </c>
      <c r="C177" s="7" t="str">
        <f t="shared" si="60"/>
        <v>&lt;services nid="1"&gt;&lt;email id="0" classifier="private"&gt;peter.hoebeke@outlook.com&lt;/email&gt;&lt;/services&gt;&lt;setup /&gt;&lt;mod_time&gt;1500000010&lt;/mod_time&gt;&lt;uniqueid&gt;1&lt;/uniqueid&gt;&lt;/contact&gt;</v>
      </c>
      <c r="D177" t="str">
        <f t="shared" si="61"/>
        <v>&lt;contact&gt;&lt;category&gt;0&lt;/category&gt;&lt;person&gt;&lt;realName&gt;Hoebeke, Peter   &lt;/realName&gt;&lt;/person&gt;</v>
      </c>
      <c r="E177" t="str">
        <f t="shared" si="62"/>
        <v>&lt;telephony nid="2"&gt;&lt;number id="0" prio="1" type="home"&gt;+47 64934186&lt;/number&gt;&lt;number id="1" prio="0" type="mobile"&gt;4748395952&lt;/number&gt;&lt;/telephony&gt;</v>
      </c>
      <c r="F177" t="str">
        <f t="shared" si="63"/>
        <v>&lt;telephony nid="2"&gt;</v>
      </c>
      <c r="G177" t="str">
        <f t="shared" si="64"/>
        <v/>
      </c>
      <c r="H177" t="str">
        <f t="shared" si="65"/>
        <v>&lt;services nid="1"&gt;&lt;email id="0" classifier="private"&gt;peter.hoebeke@outlook.com&lt;/email&gt;&lt;/services&gt;&lt;setup /&gt;&lt;mod_time&gt;1500000010&lt;/mod_time&gt;&lt;uniqueid&gt;1&lt;/uniqueid&gt;&lt;/contact&gt;</v>
      </c>
      <c r="I177" t="str">
        <f t="shared" si="66"/>
        <v>&lt;services /&gt;&lt;setup /&gt;&lt;mod_time&gt;1500000010&lt;/mod_time&gt;&lt;uniqueid&gt;1&lt;/uniqueid&gt;&lt;/contact&gt;</v>
      </c>
      <c r="J177" t="str">
        <f t="shared" si="67"/>
        <v>&lt;services nid="1"&gt;&lt;email id="0" classifier="private"&gt;peter.hoebeke@outlook.com&lt;/email&gt;&lt;/services&gt;&lt;setup /&gt;&lt;mod_time&gt;1500000010&lt;/mod_time&gt;&lt;uniqueid&gt;1&lt;/uniqueid&gt;&lt;/contact&gt;</v>
      </c>
      <c r="K177" s="5">
        <f t="shared" si="68"/>
        <v>0</v>
      </c>
      <c r="L177" s="5">
        <f t="shared" si="69"/>
        <v>0</v>
      </c>
      <c r="M177" s="5" t="str">
        <f>CONCATENATE(+Contacts!E177)</f>
        <v/>
      </c>
      <c r="N177" t="str">
        <f t="shared" si="70"/>
        <v>&lt;number id="0" prio="1" type="home"&gt;+47 64934186&lt;/number&gt;</v>
      </c>
      <c r="O177" s="5">
        <f t="shared" si="71"/>
        <v>1</v>
      </c>
      <c r="P177" s="5">
        <f t="shared" si="72"/>
        <v>1</v>
      </c>
      <c r="Q177" s="5" t="str">
        <f>CONCATENATE(+Contacts!G177)</f>
        <v>+47 64934186</v>
      </c>
      <c r="R177" t="str">
        <f t="shared" si="73"/>
        <v>&lt;number id="1" prio="0" type="mobile"&gt;4748395952&lt;/number&gt;</v>
      </c>
      <c r="S177" s="5">
        <f t="shared" si="74"/>
        <v>2</v>
      </c>
      <c r="T177" s="5">
        <f t="shared" si="75"/>
        <v>0</v>
      </c>
      <c r="U177" s="5" t="str">
        <f>CONCATENATE(+Contacts!H177)</f>
        <v>4748395952</v>
      </c>
      <c r="V177" t="str">
        <f t="shared" si="76"/>
        <v/>
      </c>
      <c r="W177" s="5">
        <f t="shared" si="77"/>
        <v>2</v>
      </c>
      <c r="X177" s="5">
        <f t="shared" si="78"/>
        <v>0</v>
      </c>
      <c r="Y177" s="5" t="str">
        <f>CONCATENATE(+Contacts!F177)</f>
        <v/>
      </c>
      <c r="Z177" s="2" t="str">
        <f t="shared" si="79"/>
        <v xml:space="preserve">Hoebeke, Peter   </v>
      </c>
      <c r="AA177" s="2" t="str">
        <f>CONCATENATE(+Contacts!C177)</f>
        <v>Hoebeke</v>
      </c>
      <c r="AB177" s="2" t="str">
        <f t="shared" si="80"/>
        <v xml:space="preserve">, </v>
      </c>
      <c r="AC177" s="2" t="str">
        <f>CONCATENATE(+Contacts!A177)</f>
        <v>Peter</v>
      </c>
      <c r="AD177" s="3" t="str">
        <f>CONCATENATE(" ",+Contacts!B177)</f>
        <v xml:space="preserve"> </v>
      </c>
      <c r="AE177" s="2" t="str">
        <f t="shared" si="81"/>
        <v xml:space="preserve"> </v>
      </c>
      <c r="AF177" s="3" t="str">
        <f>CONCATENATE(+Contacts!D177)</f>
        <v/>
      </c>
      <c r="AG177" s="2" t="str">
        <f t="shared" si="82"/>
        <v xml:space="preserve"> </v>
      </c>
      <c r="AH177" t="str">
        <f>CONCATENATE(+Contacts!I177)</f>
        <v>peter.hoebeke@outlook.com</v>
      </c>
      <c r="AI177">
        <v>1500000010</v>
      </c>
      <c r="AJ177" s="5">
        <f t="shared" si="83"/>
        <v>1</v>
      </c>
    </row>
    <row r="178" spans="1:36" x14ac:dyDescent="0.35">
      <c r="A178" s="7" t="str">
        <f t="shared" si="58"/>
        <v>&lt;contact&gt;&lt;category&gt;0&lt;/category&gt;&lt;person&gt;&lt;realName&gt;Hoed &amp;amp; Hetty Storm, Aart den  &lt;/realName&gt;&lt;/person&gt;</v>
      </c>
      <c r="B178" s="7" t="str">
        <f t="shared" si="59"/>
        <v>&lt;telephony nid="1"&gt;&lt;number id="0" prio="1" type="home"&gt;+31 104209524&lt;/number&gt;&lt;/telephony&gt;</v>
      </c>
      <c r="C178" s="7" t="str">
        <f t="shared" si="60"/>
        <v>&lt;services nid="1"&gt;&lt;email id="0" classifier="private"&gt;hoesto@hoedstorm.nl&lt;/email&gt;&lt;/services&gt;&lt;setup /&gt;&lt;mod_time&gt;1500000010&lt;/mod_time&gt;&lt;uniqueid&gt;1&lt;/uniqueid&gt;&lt;/contact&gt;</v>
      </c>
      <c r="D178" t="str">
        <f t="shared" si="61"/>
        <v>&lt;contact&gt;&lt;category&gt;0&lt;/category&gt;&lt;person&gt;&lt;realName&gt;Hoed &amp;amp; Hetty Storm, Aart den  &lt;/realName&gt;&lt;/person&gt;</v>
      </c>
      <c r="E178" t="str">
        <f t="shared" si="62"/>
        <v>&lt;telephony nid="1"&gt;&lt;number id="0" prio="1" type="home"&gt;+31 104209524&lt;/number&gt;&lt;/telephony&gt;</v>
      </c>
      <c r="F178" t="str">
        <f t="shared" si="63"/>
        <v>&lt;telephony nid="1"&gt;</v>
      </c>
      <c r="G178" t="str">
        <f t="shared" si="64"/>
        <v/>
      </c>
      <c r="H178" t="str">
        <f t="shared" si="65"/>
        <v>&lt;services nid="1"&gt;&lt;email id="0" classifier="private"&gt;hoesto@hoedstorm.nl&lt;/email&gt;&lt;/services&gt;&lt;setup /&gt;&lt;mod_time&gt;1500000010&lt;/mod_time&gt;&lt;uniqueid&gt;1&lt;/uniqueid&gt;&lt;/contact&gt;</v>
      </c>
      <c r="I178" t="str">
        <f t="shared" si="66"/>
        <v>&lt;services /&gt;&lt;setup /&gt;&lt;mod_time&gt;1500000010&lt;/mod_time&gt;&lt;uniqueid&gt;1&lt;/uniqueid&gt;&lt;/contact&gt;</v>
      </c>
      <c r="J178" t="str">
        <f t="shared" si="67"/>
        <v>&lt;services nid="1"&gt;&lt;email id="0" classifier="private"&gt;hoesto@hoedstorm.nl&lt;/email&gt;&lt;/services&gt;&lt;setup /&gt;&lt;mod_time&gt;1500000010&lt;/mod_time&gt;&lt;uniqueid&gt;1&lt;/uniqueid&gt;&lt;/contact&gt;</v>
      </c>
      <c r="K178" s="5">
        <f t="shared" si="68"/>
        <v>0</v>
      </c>
      <c r="L178" s="5">
        <f t="shared" si="69"/>
        <v>0</v>
      </c>
      <c r="M178" s="5" t="str">
        <f>CONCATENATE(+Contacts!E178)</f>
        <v/>
      </c>
      <c r="N178" t="str">
        <f t="shared" si="70"/>
        <v>&lt;number id="0" prio="1" type="home"&gt;+31 104209524&lt;/number&gt;</v>
      </c>
      <c r="O178" s="5">
        <f t="shared" si="71"/>
        <v>1</v>
      </c>
      <c r="P178" s="5">
        <f t="shared" si="72"/>
        <v>1</v>
      </c>
      <c r="Q178" s="5" t="str">
        <f>CONCATENATE(+Contacts!G178)</f>
        <v>+31 104209524</v>
      </c>
      <c r="R178" t="str">
        <f t="shared" si="73"/>
        <v/>
      </c>
      <c r="S178" s="5">
        <f t="shared" si="74"/>
        <v>1</v>
      </c>
      <c r="T178" s="5">
        <f t="shared" si="75"/>
        <v>1</v>
      </c>
      <c r="U178" s="5" t="str">
        <f>CONCATENATE(+Contacts!H178)</f>
        <v/>
      </c>
      <c r="V178" t="str">
        <f t="shared" si="76"/>
        <v/>
      </c>
      <c r="W178" s="5">
        <f t="shared" si="77"/>
        <v>1</v>
      </c>
      <c r="X178" s="5">
        <f t="shared" si="78"/>
        <v>1</v>
      </c>
      <c r="Y178" s="5" t="str">
        <f>CONCATENATE(+Contacts!F178)</f>
        <v/>
      </c>
      <c r="Z178" s="2" t="str">
        <f t="shared" si="79"/>
        <v xml:space="preserve">Hoed &amp;amp; Hetty Storm, Aart den  </v>
      </c>
      <c r="AA178" s="2" t="str">
        <f>CONCATENATE(+Contacts!C178)</f>
        <v>Hoed &amp;amp; Hetty Storm</v>
      </c>
      <c r="AB178" s="2" t="str">
        <f t="shared" si="80"/>
        <v xml:space="preserve">, </v>
      </c>
      <c r="AC178" s="2" t="str">
        <f>CONCATENATE(+Contacts!A178)</f>
        <v>Aart</v>
      </c>
      <c r="AD178" s="3" t="str">
        <f>CONCATENATE(" ",+Contacts!B178)</f>
        <v xml:space="preserve"> den</v>
      </c>
      <c r="AE178" s="2" t="str">
        <f t="shared" si="81"/>
        <v xml:space="preserve"> </v>
      </c>
      <c r="AF178" s="3" t="str">
        <f>CONCATENATE(+Contacts!D178)</f>
        <v/>
      </c>
      <c r="AG178" s="2" t="str">
        <f t="shared" si="82"/>
        <v xml:space="preserve"> </v>
      </c>
      <c r="AH178" t="str">
        <f>CONCATENATE(+Contacts!I178)</f>
        <v>hoesto@hoedstorm.nl</v>
      </c>
      <c r="AI178">
        <v>1500000010</v>
      </c>
      <c r="AJ178" s="5">
        <f t="shared" si="83"/>
        <v>1</v>
      </c>
    </row>
    <row r="179" spans="1:36" x14ac:dyDescent="0.35">
      <c r="A179" s="7" t="str">
        <f t="shared" si="58"/>
        <v>&lt;contact&gt;&lt;category&gt;0&lt;/category&gt;&lt;person&gt;&lt;realName&gt;Hoed, Aart den  &lt;/realName&gt;&lt;/person&gt;</v>
      </c>
      <c r="B179" s="7" t="str">
        <f t="shared" si="59"/>
        <v>&lt;telephony nid="2"&gt;&lt;number id="0" prio="1" type="home"&gt;+31 104209524&lt;/number&gt;&lt;number id="1" prio="0" type="mobile"&gt;+31 610015349&lt;/number&gt;&lt;/telephony&gt;</v>
      </c>
      <c r="C179" s="7" t="str">
        <f t="shared" si="60"/>
        <v>&lt;services nid="1"&gt;&lt;email id="0" classifier="private"&gt;aart@hoedstorm.nl&lt;/email&gt;&lt;/services&gt;&lt;setup /&gt;&lt;mod_time&gt;1500000010&lt;/mod_time&gt;&lt;uniqueid&gt;1&lt;/uniqueid&gt;&lt;/contact&gt;</v>
      </c>
      <c r="D179" t="str">
        <f t="shared" si="61"/>
        <v>&lt;contact&gt;&lt;category&gt;0&lt;/category&gt;&lt;person&gt;&lt;realName&gt;Hoed, Aart den  &lt;/realName&gt;&lt;/person&gt;</v>
      </c>
      <c r="E179" t="str">
        <f t="shared" si="62"/>
        <v>&lt;telephony nid="2"&gt;&lt;number id="0" prio="1" type="home"&gt;+31 104209524&lt;/number&gt;&lt;number id="1" prio="0" type="mobile"&gt;+31 610015349&lt;/number&gt;&lt;/telephony&gt;</v>
      </c>
      <c r="F179" t="str">
        <f t="shared" si="63"/>
        <v>&lt;telephony nid="2"&gt;</v>
      </c>
      <c r="G179" t="str">
        <f t="shared" si="64"/>
        <v/>
      </c>
      <c r="H179" t="str">
        <f t="shared" si="65"/>
        <v>&lt;services nid="1"&gt;&lt;email id="0" classifier="private"&gt;aart@hoedstorm.nl&lt;/email&gt;&lt;/services&gt;&lt;setup /&gt;&lt;mod_time&gt;1500000010&lt;/mod_time&gt;&lt;uniqueid&gt;1&lt;/uniqueid&gt;&lt;/contact&gt;</v>
      </c>
      <c r="I179" t="str">
        <f t="shared" si="66"/>
        <v>&lt;services /&gt;&lt;setup /&gt;&lt;mod_time&gt;1500000010&lt;/mod_time&gt;&lt;uniqueid&gt;1&lt;/uniqueid&gt;&lt;/contact&gt;</v>
      </c>
      <c r="J179" t="str">
        <f t="shared" si="67"/>
        <v>&lt;services nid="1"&gt;&lt;email id="0" classifier="private"&gt;aart@hoedstorm.nl&lt;/email&gt;&lt;/services&gt;&lt;setup /&gt;&lt;mod_time&gt;1500000010&lt;/mod_time&gt;&lt;uniqueid&gt;1&lt;/uniqueid&gt;&lt;/contact&gt;</v>
      </c>
      <c r="K179" s="5">
        <f t="shared" si="68"/>
        <v>0</v>
      </c>
      <c r="L179" s="5">
        <f t="shared" si="69"/>
        <v>0</v>
      </c>
      <c r="M179" s="5" t="str">
        <f>CONCATENATE(+Contacts!E179)</f>
        <v/>
      </c>
      <c r="N179" t="str">
        <f t="shared" si="70"/>
        <v>&lt;number id="0" prio="1" type="home"&gt;+31 104209524&lt;/number&gt;</v>
      </c>
      <c r="O179" s="5">
        <f t="shared" si="71"/>
        <v>1</v>
      </c>
      <c r="P179" s="5">
        <f t="shared" si="72"/>
        <v>1</v>
      </c>
      <c r="Q179" s="5" t="str">
        <f>CONCATENATE(+Contacts!G179)</f>
        <v>+31 104209524</v>
      </c>
      <c r="R179" t="str">
        <f t="shared" si="73"/>
        <v>&lt;number id="1" prio="0" type="mobile"&gt;+31 610015349&lt;/number&gt;</v>
      </c>
      <c r="S179" s="5">
        <f t="shared" si="74"/>
        <v>2</v>
      </c>
      <c r="T179" s="5">
        <f t="shared" si="75"/>
        <v>0</v>
      </c>
      <c r="U179" s="5" t="str">
        <f>CONCATENATE(+Contacts!H179)</f>
        <v>+31 610015349</v>
      </c>
      <c r="V179" t="str">
        <f t="shared" si="76"/>
        <v/>
      </c>
      <c r="W179" s="5">
        <f t="shared" si="77"/>
        <v>2</v>
      </c>
      <c r="X179" s="5">
        <f t="shared" si="78"/>
        <v>0</v>
      </c>
      <c r="Y179" s="5" t="str">
        <f>CONCATENATE(+Contacts!F179)</f>
        <v/>
      </c>
      <c r="Z179" s="2" t="str">
        <f t="shared" si="79"/>
        <v xml:space="preserve">Hoed, Aart den  </v>
      </c>
      <c r="AA179" s="2" t="str">
        <f>CONCATENATE(+Contacts!C179)</f>
        <v>Hoed</v>
      </c>
      <c r="AB179" s="2" t="str">
        <f t="shared" si="80"/>
        <v xml:space="preserve">, </v>
      </c>
      <c r="AC179" s="2" t="str">
        <f>CONCATENATE(+Contacts!A179)</f>
        <v>Aart</v>
      </c>
      <c r="AD179" s="3" t="str">
        <f>CONCATENATE(" ",+Contacts!B179)</f>
        <v xml:space="preserve"> den</v>
      </c>
      <c r="AE179" s="2" t="str">
        <f t="shared" si="81"/>
        <v xml:space="preserve"> </v>
      </c>
      <c r="AF179" s="3" t="str">
        <f>CONCATENATE(+Contacts!D179)</f>
        <v/>
      </c>
      <c r="AG179" s="2" t="str">
        <f t="shared" si="82"/>
        <v xml:space="preserve"> </v>
      </c>
      <c r="AH179" t="str">
        <f>CONCATENATE(+Contacts!I179)</f>
        <v>aart@hoedstorm.nl</v>
      </c>
      <c r="AI179">
        <v>1500000010</v>
      </c>
      <c r="AJ179" s="5">
        <f t="shared" si="83"/>
        <v>1</v>
      </c>
    </row>
    <row r="180" spans="1:36" x14ac:dyDescent="0.35">
      <c r="A180" s="7" t="str">
        <f t="shared" si="58"/>
        <v>&lt;contact&gt;&lt;category&gt;0&lt;/category&gt;&lt;person&gt;&lt;realName&gt;Hoed, Gervan den  &lt;/realName&gt;&lt;/person&gt;</v>
      </c>
      <c r="B180" s="7" t="str">
        <f t="shared" si="59"/>
        <v>&lt;telephony nid="2"&gt;&lt;number id="0" prio="1" type="home"&gt;+31 104216277&lt;/number&gt;&lt;number id="1" prio="0" type="mobile"&gt;+31 636221825&lt;/number&gt;&lt;/telephony&gt;</v>
      </c>
      <c r="C180" s="7" t="str">
        <f t="shared" si="60"/>
        <v>&lt;services nid="1"&gt;&lt;email id="0" classifier="private"&gt;gervan.den.hoed@gmail.com&lt;/email&gt;&lt;/services&gt;&lt;setup /&gt;&lt;mod_time&gt;1500000010&lt;/mod_time&gt;&lt;uniqueid&gt;1&lt;/uniqueid&gt;&lt;/contact&gt;</v>
      </c>
      <c r="D180" t="str">
        <f t="shared" si="61"/>
        <v>&lt;contact&gt;&lt;category&gt;0&lt;/category&gt;&lt;person&gt;&lt;realName&gt;Hoed, Gervan den  &lt;/realName&gt;&lt;/person&gt;</v>
      </c>
      <c r="E180" t="str">
        <f t="shared" si="62"/>
        <v>&lt;telephony nid="2"&gt;&lt;number id="0" prio="1" type="home"&gt;+31 104216277&lt;/number&gt;&lt;number id="1" prio="0" type="mobile"&gt;+31 636221825&lt;/number&gt;&lt;/telephony&gt;</v>
      </c>
      <c r="F180" t="str">
        <f t="shared" si="63"/>
        <v>&lt;telephony nid="2"&gt;</v>
      </c>
      <c r="G180" t="str">
        <f t="shared" si="64"/>
        <v/>
      </c>
      <c r="H180" t="str">
        <f t="shared" si="65"/>
        <v>&lt;services nid="1"&gt;&lt;email id="0" classifier="private"&gt;gervan.den.hoed@gmail.com&lt;/email&gt;&lt;/services&gt;&lt;setup /&gt;&lt;mod_time&gt;1500000010&lt;/mod_time&gt;&lt;uniqueid&gt;1&lt;/uniqueid&gt;&lt;/contact&gt;</v>
      </c>
      <c r="I180" t="str">
        <f t="shared" si="66"/>
        <v>&lt;services /&gt;&lt;setup /&gt;&lt;mod_time&gt;1500000010&lt;/mod_time&gt;&lt;uniqueid&gt;1&lt;/uniqueid&gt;&lt;/contact&gt;</v>
      </c>
      <c r="J180" t="str">
        <f t="shared" si="67"/>
        <v>&lt;services nid="1"&gt;&lt;email id="0" classifier="private"&gt;gervan.den.hoed@gmail.com&lt;/email&gt;&lt;/services&gt;&lt;setup /&gt;&lt;mod_time&gt;1500000010&lt;/mod_time&gt;&lt;uniqueid&gt;1&lt;/uniqueid&gt;&lt;/contact&gt;</v>
      </c>
      <c r="K180" s="5">
        <f t="shared" si="68"/>
        <v>0</v>
      </c>
      <c r="L180" s="5">
        <f t="shared" si="69"/>
        <v>0</v>
      </c>
      <c r="M180" s="5" t="str">
        <f>CONCATENATE(+Contacts!E180)</f>
        <v/>
      </c>
      <c r="N180" t="str">
        <f t="shared" si="70"/>
        <v>&lt;number id="0" prio="1" type="home"&gt;+31 104216277&lt;/number&gt;</v>
      </c>
      <c r="O180" s="5">
        <f t="shared" si="71"/>
        <v>1</v>
      </c>
      <c r="P180" s="5">
        <f t="shared" si="72"/>
        <v>1</v>
      </c>
      <c r="Q180" s="5" t="str">
        <f>CONCATENATE(+Contacts!G180)</f>
        <v>+31 104216277</v>
      </c>
      <c r="R180" t="str">
        <f t="shared" si="73"/>
        <v>&lt;number id="1" prio="0" type="mobile"&gt;+31 636221825&lt;/number&gt;</v>
      </c>
      <c r="S180" s="5">
        <f t="shared" si="74"/>
        <v>2</v>
      </c>
      <c r="T180" s="5">
        <f t="shared" si="75"/>
        <v>0</v>
      </c>
      <c r="U180" s="5" t="str">
        <f>CONCATENATE(+Contacts!H180)</f>
        <v>+31 636221825</v>
      </c>
      <c r="V180" t="str">
        <f t="shared" si="76"/>
        <v/>
      </c>
      <c r="W180" s="5">
        <f t="shared" si="77"/>
        <v>2</v>
      </c>
      <c r="X180" s="5">
        <f t="shared" si="78"/>
        <v>0</v>
      </c>
      <c r="Y180" s="5" t="str">
        <f>CONCATENATE(+Contacts!F180)</f>
        <v/>
      </c>
      <c r="Z180" s="2" t="str">
        <f t="shared" si="79"/>
        <v xml:space="preserve">Hoed, Gervan den  </v>
      </c>
      <c r="AA180" s="2" t="str">
        <f>CONCATENATE(+Contacts!C180)</f>
        <v>Hoed</v>
      </c>
      <c r="AB180" s="2" t="str">
        <f t="shared" si="80"/>
        <v xml:space="preserve">, </v>
      </c>
      <c r="AC180" s="2" t="str">
        <f>CONCATENATE(+Contacts!A180)</f>
        <v>Gervan</v>
      </c>
      <c r="AD180" s="3" t="str">
        <f>CONCATENATE(" ",+Contacts!B180)</f>
        <v xml:space="preserve"> den</v>
      </c>
      <c r="AE180" s="2" t="str">
        <f t="shared" si="81"/>
        <v xml:space="preserve"> </v>
      </c>
      <c r="AF180" s="3" t="str">
        <f>CONCATENATE(+Contacts!D180)</f>
        <v/>
      </c>
      <c r="AG180" s="2" t="str">
        <f t="shared" si="82"/>
        <v xml:space="preserve"> </v>
      </c>
      <c r="AH180" t="str">
        <f>CONCATENATE(+Contacts!I180)</f>
        <v>gervan.den.hoed@gmail.com</v>
      </c>
      <c r="AI180">
        <v>1500000010</v>
      </c>
      <c r="AJ180" s="5">
        <f t="shared" si="83"/>
        <v>1</v>
      </c>
    </row>
    <row r="181" spans="1:36" x14ac:dyDescent="0.35">
      <c r="A181" s="7" t="str">
        <f t="shared" si="58"/>
        <v>&lt;contact&gt;&lt;category&gt;0&lt;/category&gt;&lt;person&gt;&lt;realName&gt;Hoed, Michel den  &lt;/realName&gt;&lt;/person&gt;</v>
      </c>
      <c r="B181" s="7" t="str">
        <f t="shared" si="59"/>
        <v>&lt;telephony nid="2"&gt;&lt;number id="0" prio="1" type="home"&gt;+31 235407392&lt;/number&gt;&lt;number id="1" prio="0" type="mobile"&gt;+31 630453072&lt;/number&gt;&lt;/telephony&gt;</v>
      </c>
      <c r="C181" s="7" t="str">
        <f t="shared" si="60"/>
        <v>&lt;services nid="1"&gt;&lt;email id="0" classifier="private"&gt;m.hoed3@upcmail.nl&lt;/email&gt;&lt;/services&gt;&lt;setup /&gt;&lt;mod_time&gt;1500000010&lt;/mod_time&gt;&lt;uniqueid&gt;1&lt;/uniqueid&gt;&lt;/contact&gt;</v>
      </c>
      <c r="D181" t="str">
        <f t="shared" si="61"/>
        <v>&lt;contact&gt;&lt;category&gt;0&lt;/category&gt;&lt;person&gt;&lt;realName&gt;Hoed, Michel den  &lt;/realName&gt;&lt;/person&gt;</v>
      </c>
      <c r="E181" t="str">
        <f t="shared" si="62"/>
        <v>&lt;telephony nid="2"&gt;&lt;number id="0" prio="1" type="home"&gt;+31 235407392&lt;/number&gt;&lt;number id="1" prio="0" type="mobile"&gt;+31 630453072&lt;/number&gt;&lt;/telephony&gt;</v>
      </c>
      <c r="F181" t="str">
        <f t="shared" si="63"/>
        <v>&lt;telephony nid="2"&gt;</v>
      </c>
      <c r="G181" t="str">
        <f t="shared" si="64"/>
        <v/>
      </c>
      <c r="H181" t="str">
        <f t="shared" si="65"/>
        <v>&lt;services nid="1"&gt;&lt;email id="0" classifier="private"&gt;m.hoed3@upcmail.nl&lt;/email&gt;&lt;/services&gt;&lt;setup /&gt;&lt;mod_time&gt;1500000010&lt;/mod_time&gt;&lt;uniqueid&gt;1&lt;/uniqueid&gt;&lt;/contact&gt;</v>
      </c>
      <c r="I181" t="str">
        <f t="shared" si="66"/>
        <v>&lt;services /&gt;&lt;setup /&gt;&lt;mod_time&gt;1500000010&lt;/mod_time&gt;&lt;uniqueid&gt;1&lt;/uniqueid&gt;&lt;/contact&gt;</v>
      </c>
      <c r="J181" t="str">
        <f t="shared" si="67"/>
        <v>&lt;services nid="1"&gt;&lt;email id="0" classifier="private"&gt;m.hoed3@upcmail.nl&lt;/email&gt;&lt;/services&gt;&lt;setup /&gt;&lt;mod_time&gt;1500000010&lt;/mod_time&gt;&lt;uniqueid&gt;1&lt;/uniqueid&gt;&lt;/contact&gt;</v>
      </c>
      <c r="K181" s="5">
        <f t="shared" si="68"/>
        <v>0</v>
      </c>
      <c r="L181" s="5">
        <f t="shared" si="69"/>
        <v>0</v>
      </c>
      <c r="M181" s="5" t="str">
        <f>CONCATENATE(+Contacts!E181)</f>
        <v/>
      </c>
      <c r="N181" t="str">
        <f t="shared" si="70"/>
        <v>&lt;number id="0" prio="1" type="home"&gt;+31 235407392&lt;/number&gt;</v>
      </c>
      <c r="O181" s="5">
        <f t="shared" si="71"/>
        <v>1</v>
      </c>
      <c r="P181" s="5">
        <f t="shared" si="72"/>
        <v>1</v>
      </c>
      <c r="Q181" s="5" t="str">
        <f>CONCATENATE(+Contacts!G181)</f>
        <v>+31 235407392</v>
      </c>
      <c r="R181" t="str">
        <f t="shared" si="73"/>
        <v>&lt;number id="1" prio="0" type="mobile"&gt;+31 630453072&lt;/number&gt;</v>
      </c>
      <c r="S181" s="5">
        <f t="shared" si="74"/>
        <v>2</v>
      </c>
      <c r="T181" s="5">
        <f t="shared" si="75"/>
        <v>0</v>
      </c>
      <c r="U181" s="5" t="str">
        <f>CONCATENATE(+Contacts!H181)</f>
        <v>+31 630453072</v>
      </c>
      <c r="V181" t="str">
        <f t="shared" si="76"/>
        <v/>
      </c>
      <c r="W181" s="5">
        <f t="shared" si="77"/>
        <v>2</v>
      </c>
      <c r="X181" s="5">
        <f t="shared" si="78"/>
        <v>0</v>
      </c>
      <c r="Y181" s="5" t="str">
        <f>CONCATENATE(+Contacts!F181)</f>
        <v/>
      </c>
      <c r="Z181" s="2" t="str">
        <f t="shared" si="79"/>
        <v xml:space="preserve">Hoed, Michel den  </v>
      </c>
      <c r="AA181" s="2" t="str">
        <f>CONCATENATE(+Contacts!C181)</f>
        <v>Hoed</v>
      </c>
      <c r="AB181" s="2" t="str">
        <f t="shared" si="80"/>
        <v xml:space="preserve">, </v>
      </c>
      <c r="AC181" s="2" t="str">
        <f>CONCATENATE(+Contacts!A181)</f>
        <v>Michel</v>
      </c>
      <c r="AD181" s="3" t="str">
        <f>CONCATENATE(" ",+Contacts!B181)</f>
        <v xml:space="preserve"> den</v>
      </c>
      <c r="AE181" s="2" t="str">
        <f t="shared" si="81"/>
        <v xml:space="preserve"> </v>
      </c>
      <c r="AF181" s="3" t="str">
        <f>CONCATENATE(+Contacts!D181)</f>
        <v/>
      </c>
      <c r="AG181" s="2" t="str">
        <f t="shared" si="82"/>
        <v xml:space="preserve"> </v>
      </c>
      <c r="AH181" t="str">
        <f>CONCATENATE(+Contacts!I181)</f>
        <v>m.hoed3@upcmail.nl</v>
      </c>
      <c r="AI181">
        <v>1500000010</v>
      </c>
      <c r="AJ181" s="5">
        <f t="shared" si="83"/>
        <v>1</v>
      </c>
    </row>
    <row r="182" spans="1:36" x14ac:dyDescent="0.35">
      <c r="A182" s="7" t="str">
        <f t="shared" si="58"/>
        <v>&lt;contact&gt;&lt;category&gt;0&lt;/category&gt;&lt;person&gt;&lt;realName&gt;Hoed, Mirjam den  &lt;/realName&gt;&lt;/person&gt;</v>
      </c>
      <c r="B182" s="7" t="str">
        <f t="shared" si="59"/>
        <v>&lt;telephony nid="1"&gt;&lt;number id="0" prio="1" type="mobile"&gt;+31 634211665&lt;/number&gt;&lt;/telephony&gt;</v>
      </c>
      <c r="C182" s="7" t="str">
        <f t="shared" si="60"/>
        <v>&lt;services nid="1"&gt;&lt;email id="0" classifier="private"&gt;mirjam_den_hoed@hotmail.com&lt;/email&gt;&lt;/services&gt;&lt;setup /&gt;&lt;mod_time&gt;1500000010&lt;/mod_time&gt;&lt;uniqueid&gt;1&lt;/uniqueid&gt;&lt;/contact&gt;</v>
      </c>
      <c r="D182" t="str">
        <f t="shared" si="61"/>
        <v>&lt;contact&gt;&lt;category&gt;0&lt;/category&gt;&lt;person&gt;&lt;realName&gt;Hoed, Mirjam den  &lt;/realName&gt;&lt;/person&gt;</v>
      </c>
      <c r="E182" t="str">
        <f t="shared" si="62"/>
        <v>&lt;telephony nid="1"&gt;&lt;number id="0" prio="1" type="mobile"&gt;+31 634211665&lt;/number&gt;&lt;/telephony&gt;</v>
      </c>
      <c r="F182" t="str">
        <f t="shared" si="63"/>
        <v>&lt;telephony nid="1"&gt;</v>
      </c>
      <c r="G182" t="str">
        <f t="shared" si="64"/>
        <v/>
      </c>
      <c r="H182" t="str">
        <f t="shared" si="65"/>
        <v>&lt;services nid="1"&gt;&lt;email id="0" classifier="private"&gt;mirjam_den_hoed@hotmail.com&lt;/email&gt;&lt;/services&gt;&lt;setup /&gt;&lt;mod_time&gt;1500000010&lt;/mod_time&gt;&lt;uniqueid&gt;1&lt;/uniqueid&gt;&lt;/contact&gt;</v>
      </c>
      <c r="I182" t="str">
        <f t="shared" si="66"/>
        <v>&lt;services /&gt;&lt;setup /&gt;&lt;mod_time&gt;1500000010&lt;/mod_time&gt;&lt;uniqueid&gt;1&lt;/uniqueid&gt;&lt;/contact&gt;</v>
      </c>
      <c r="J182" t="str">
        <f t="shared" si="67"/>
        <v>&lt;services nid="1"&gt;&lt;email id="0" classifier="private"&gt;mirjam_den_hoed@hotmail.com&lt;/email&gt;&lt;/services&gt;&lt;setup /&gt;&lt;mod_time&gt;1500000010&lt;/mod_time&gt;&lt;uniqueid&gt;1&lt;/uniqueid&gt;&lt;/contact&gt;</v>
      </c>
      <c r="K182" s="5">
        <f t="shared" si="68"/>
        <v>0</v>
      </c>
      <c r="L182" s="5">
        <f t="shared" si="69"/>
        <v>0</v>
      </c>
      <c r="M182" s="5" t="str">
        <f>CONCATENATE(+Contacts!E182)</f>
        <v/>
      </c>
      <c r="N182" t="str">
        <f t="shared" si="70"/>
        <v/>
      </c>
      <c r="O182" s="5">
        <f t="shared" si="71"/>
        <v>0</v>
      </c>
      <c r="P182" s="5">
        <f t="shared" si="72"/>
        <v>0</v>
      </c>
      <c r="Q182" s="5" t="str">
        <f>CONCATENATE(+Contacts!G182)</f>
        <v/>
      </c>
      <c r="R182" t="str">
        <f t="shared" si="73"/>
        <v>&lt;number id="0" prio="1" type="mobile"&gt;+31 634211665&lt;/number&gt;</v>
      </c>
      <c r="S182" s="5">
        <f t="shared" si="74"/>
        <v>1</v>
      </c>
      <c r="T182" s="5">
        <f t="shared" si="75"/>
        <v>1</v>
      </c>
      <c r="U182" s="5" t="str">
        <f>CONCATENATE(+Contacts!H182)</f>
        <v>+31 634211665</v>
      </c>
      <c r="V182" t="str">
        <f t="shared" si="76"/>
        <v/>
      </c>
      <c r="W182" s="5">
        <f t="shared" si="77"/>
        <v>1</v>
      </c>
      <c r="X182" s="5">
        <f t="shared" si="78"/>
        <v>1</v>
      </c>
      <c r="Y182" s="5" t="str">
        <f>CONCATENATE(+Contacts!F182)</f>
        <v/>
      </c>
      <c r="Z182" s="2" t="str">
        <f t="shared" si="79"/>
        <v xml:space="preserve">Hoed, Mirjam den  </v>
      </c>
      <c r="AA182" s="2" t="str">
        <f>CONCATENATE(+Contacts!C182)</f>
        <v>Hoed</v>
      </c>
      <c r="AB182" s="2" t="str">
        <f t="shared" si="80"/>
        <v xml:space="preserve">, </v>
      </c>
      <c r="AC182" s="2" t="str">
        <f>CONCATENATE(+Contacts!A182)</f>
        <v>Mirjam</v>
      </c>
      <c r="AD182" s="3" t="str">
        <f>CONCATENATE(" ",+Contacts!B182)</f>
        <v xml:space="preserve"> den</v>
      </c>
      <c r="AE182" s="2" t="str">
        <f t="shared" si="81"/>
        <v xml:space="preserve"> </v>
      </c>
      <c r="AF182" s="3" t="str">
        <f>CONCATENATE(+Contacts!D182)</f>
        <v/>
      </c>
      <c r="AG182" s="2" t="str">
        <f t="shared" si="82"/>
        <v xml:space="preserve"> </v>
      </c>
      <c r="AH182" t="str">
        <f>CONCATENATE(+Contacts!I182)</f>
        <v>mirjam_den_hoed@hotmail.com</v>
      </c>
      <c r="AI182">
        <v>1500000010</v>
      </c>
      <c r="AJ182" s="5">
        <f t="shared" si="83"/>
        <v>1</v>
      </c>
    </row>
    <row r="183" spans="1:36" x14ac:dyDescent="0.35">
      <c r="A183" s="7" t="str">
        <f t="shared" si="58"/>
        <v>&lt;contact&gt;&lt;category&gt;0&lt;/category&gt;&lt;person&gt;&lt;realName&gt;Hoed, Renée den  &lt;/realName&gt;&lt;/person&gt;</v>
      </c>
      <c r="B183" s="7" t="str">
        <f t="shared" si="59"/>
        <v>&lt;telephony nid="1"&gt;&lt;number id="0" prio="1" type="mobile"&gt;31643797331&lt;/number&gt;&lt;/telephony&gt;</v>
      </c>
      <c r="C183" s="7" t="str">
        <f t="shared" si="60"/>
        <v>&lt;services nid="1"&gt;&lt;email id="0" classifier="private"&gt;renee_den_hoed@hotmail.com&lt;/email&gt;&lt;/services&gt;&lt;setup /&gt;&lt;mod_time&gt;1500000010&lt;/mod_time&gt;&lt;uniqueid&gt;1&lt;/uniqueid&gt;&lt;/contact&gt;</v>
      </c>
      <c r="D183" t="str">
        <f t="shared" si="61"/>
        <v>&lt;contact&gt;&lt;category&gt;0&lt;/category&gt;&lt;person&gt;&lt;realName&gt;Hoed, Renée den  &lt;/realName&gt;&lt;/person&gt;</v>
      </c>
      <c r="E183" t="str">
        <f t="shared" si="62"/>
        <v>&lt;telephony nid="1"&gt;&lt;number id="0" prio="1" type="mobile"&gt;31643797331&lt;/number&gt;&lt;/telephony&gt;</v>
      </c>
      <c r="F183" t="str">
        <f t="shared" si="63"/>
        <v>&lt;telephony nid="1"&gt;</v>
      </c>
      <c r="G183" t="str">
        <f t="shared" si="64"/>
        <v/>
      </c>
      <c r="H183" t="str">
        <f t="shared" si="65"/>
        <v>&lt;services nid="1"&gt;&lt;email id="0" classifier="private"&gt;renee_den_hoed@hotmail.com&lt;/email&gt;&lt;/services&gt;&lt;setup /&gt;&lt;mod_time&gt;1500000010&lt;/mod_time&gt;&lt;uniqueid&gt;1&lt;/uniqueid&gt;&lt;/contact&gt;</v>
      </c>
      <c r="I183" t="str">
        <f t="shared" si="66"/>
        <v>&lt;services /&gt;&lt;setup /&gt;&lt;mod_time&gt;1500000010&lt;/mod_time&gt;&lt;uniqueid&gt;1&lt;/uniqueid&gt;&lt;/contact&gt;</v>
      </c>
      <c r="J183" t="str">
        <f t="shared" si="67"/>
        <v>&lt;services nid="1"&gt;&lt;email id="0" classifier="private"&gt;renee_den_hoed@hotmail.com&lt;/email&gt;&lt;/services&gt;&lt;setup /&gt;&lt;mod_time&gt;1500000010&lt;/mod_time&gt;&lt;uniqueid&gt;1&lt;/uniqueid&gt;&lt;/contact&gt;</v>
      </c>
      <c r="K183" s="5">
        <f t="shared" si="68"/>
        <v>0</v>
      </c>
      <c r="L183" s="5">
        <f t="shared" si="69"/>
        <v>0</v>
      </c>
      <c r="M183" s="5" t="str">
        <f>CONCATENATE(+Contacts!E183)</f>
        <v/>
      </c>
      <c r="N183" t="str">
        <f t="shared" si="70"/>
        <v/>
      </c>
      <c r="O183" s="5">
        <f t="shared" si="71"/>
        <v>0</v>
      </c>
      <c r="P183" s="5">
        <f t="shared" si="72"/>
        <v>0</v>
      </c>
      <c r="Q183" s="5" t="str">
        <f>CONCATENATE(+Contacts!G183)</f>
        <v/>
      </c>
      <c r="R183" t="str">
        <f t="shared" si="73"/>
        <v>&lt;number id="0" prio="1" type="mobile"&gt;31643797331&lt;/number&gt;</v>
      </c>
      <c r="S183" s="5">
        <f t="shared" si="74"/>
        <v>1</v>
      </c>
      <c r="T183" s="5">
        <f t="shared" si="75"/>
        <v>1</v>
      </c>
      <c r="U183" s="5" t="str">
        <f>CONCATENATE(+Contacts!H183)</f>
        <v>31643797331</v>
      </c>
      <c r="V183" t="str">
        <f t="shared" si="76"/>
        <v/>
      </c>
      <c r="W183" s="5">
        <f t="shared" si="77"/>
        <v>1</v>
      </c>
      <c r="X183" s="5">
        <f t="shared" si="78"/>
        <v>1</v>
      </c>
      <c r="Y183" s="5" t="str">
        <f>CONCATENATE(+Contacts!F183)</f>
        <v/>
      </c>
      <c r="Z183" s="2" t="str">
        <f t="shared" si="79"/>
        <v xml:space="preserve">Hoed, Renée den  </v>
      </c>
      <c r="AA183" s="2" t="str">
        <f>CONCATENATE(+Contacts!C183)</f>
        <v>Hoed</v>
      </c>
      <c r="AB183" s="2" t="str">
        <f t="shared" si="80"/>
        <v xml:space="preserve">, </v>
      </c>
      <c r="AC183" s="2" t="str">
        <f>CONCATENATE(+Contacts!A183)</f>
        <v>Renée</v>
      </c>
      <c r="AD183" s="3" t="str">
        <f>CONCATENATE(" ",+Contacts!B183)</f>
        <v xml:space="preserve"> den</v>
      </c>
      <c r="AE183" s="2" t="str">
        <f t="shared" si="81"/>
        <v xml:space="preserve"> </v>
      </c>
      <c r="AF183" s="3" t="str">
        <f>CONCATENATE(+Contacts!D183)</f>
        <v/>
      </c>
      <c r="AG183" s="2" t="str">
        <f t="shared" si="82"/>
        <v xml:space="preserve"> </v>
      </c>
      <c r="AH183" t="str">
        <f>CONCATENATE(+Contacts!I183)</f>
        <v>renee_den_hoed@hotmail.com</v>
      </c>
      <c r="AI183">
        <v>1500000010</v>
      </c>
      <c r="AJ183" s="5">
        <f t="shared" si="83"/>
        <v>1</v>
      </c>
    </row>
    <row r="184" spans="1:36" x14ac:dyDescent="0.35">
      <c r="A184" s="7" t="str">
        <f t="shared" si="58"/>
        <v>&lt;contact&gt;&lt;category&gt;0&lt;/category&gt;&lt;person&gt;&lt;realName&gt;Hoed, Yvonne den  &lt;/realName&gt;&lt;/person&gt;</v>
      </c>
      <c r="B184" s="7" t="str">
        <f t="shared" si="59"/>
        <v>&lt;telephony nid="2"&gt;&lt;number id="0" prio="1" type="home"&gt;+31 104651485&lt;/number&gt;&lt;number id="1" prio="0" type="mobile"&gt;+31 634493563&lt;/number&gt;&lt;/telephony&gt;</v>
      </c>
      <c r="C184" s="7" t="str">
        <f t="shared" si="60"/>
        <v>&lt;services nid="1"&gt;&lt;email id="0" classifier="private"&gt;yvonne@hoedstorm.nl&lt;/email&gt;&lt;/services&gt;&lt;setup /&gt;&lt;mod_time&gt;1500000010&lt;/mod_time&gt;&lt;uniqueid&gt;1&lt;/uniqueid&gt;&lt;/contact&gt;</v>
      </c>
      <c r="D184" t="str">
        <f t="shared" si="61"/>
        <v>&lt;contact&gt;&lt;category&gt;0&lt;/category&gt;&lt;person&gt;&lt;realName&gt;Hoed, Yvonne den  &lt;/realName&gt;&lt;/person&gt;</v>
      </c>
      <c r="E184" t="str">
        <f t="shared" si="62"/>
        <v>&lt;telephony nid="2"&gt;&lt;number id="0" prio="1" type="home"&gt;+31 104651485&lt;/number&gt;&lt;number id="1" prio="0" type="mobile"&gt;+31 634493563&lt;/number&gt;&lt;/telephony&gt;</v>
      </c>
      <c r="F184" t="str">
        <f t="shared" si="63"/>
        <v>&lt;telephony nid="2"&gt;</v>
      </c>
      <c r="G184" t="str">
        <f t="shared" si="64"/>
        <v/>
      </c>
      <c r="H184" t="str">
        <f t="shared" si="65"/>
        <v>&lt;services nid="1"&gt;&lt;email id="0" classifier="private"&gt;yvonne@hoedstorm.nl&lt;/email&gt;&lt;/services&gt;&lt;setup /&gt;&lt;mod_time&gt;1500000010&lt;/mod_time&gt;&lt;uniqueid&gt;1&lt;/uniqueid&gt;&lt;/contact&gt;</v>
      </c>
      <c r="I184" t="str">
        <f t="shared" si="66"/>
        <v>&lt;services /&gt;&lt;setup /&gt;&lt;mod_time&gt;1500000010&lt;/mod_time&gt;&lt;uniqueid&gt;1&lt;/uniqueid&gt;&lt;/contact&gt;</v>
      </c>
      <c r="J184" t="str">
        <f t="shared" si="67"/>
        <v>&lt;services nid="1"&gt;&lt;email id="0" classifier="private"&gt;yvonne@hoedstorm.nl&lt;/email&gt;&lt;/services&gt;&lt;setup /&gt;&lt;mod_time&gt;1500000010&lt;/mod_time&gt;&lt;uniqueid&gt;1&lt;/uniqueid&gt;&lt;/contact&gt;</v>
      </c>
      <c r="K184" s="5">
        <f t="shared" si="68"/>
        <v>0</v>
      </c>
      <c r="L184" s="5">
        <f t="shared" si="69"/>
        <v>0</v>
      </c>
      <c r="M184" s="5" t="str">
        <f>CONCATENATE(+Contacts!E184)</f>
        <v/>
      </c>
      <c r="N184" t="str">
        <f t="shared" si="70"/>
        <v>&lt;number id="0" prio="1" type="home"&gt;+31 104651485&lt;/number&gt;</v>
      </c>
      <c r="O184" s="5">
        <f t="shared" si="71"/>
        <v>1</v>
      </c>
      <c r="P184" s="5">
        <f t="shared" si="72"/>
        <v>1</v>
      </c>
      <c r="Q184" s="5" t="str">
        <f>CONCATENATE(+Contacts!G184)</f>
        <v>+31 104651485</v>
      </c>
      <c r="R184" t="str">
        <f t="shared" si="73"/>
        <v>&lt;number id="1" prio="0" type="mobile"&gt;+31 634493563&lt;/number&gt;</v>
      </c>
      <c r="S184" s="5">
        <f t="shared" si="74"/>
        <v>2</v>
      </c>
      <c r="T184" s="5">
        <f t="shared" si="75"/>
        <v>0</v>
      </c>
      <c r="U184" s="5" t="str">
        <f>CONCATENATE(+Contacts!H184)</f>
        <v>+31 634493563</v>
      </c>
      <c r="V184" t="str">
        <f t="shared" si="76"/>
        <v/>
      </c>
      <c r="W184" s="5">
        <f t="shared" si="77"/>
        <v>2</v>
      </c>
      <c r="X184" s="5">
        <f t="shared" si="78"/>
        <v>0</v>
      </c>
      <c r="Y184" s="5" t="str">
        <f>CONCATENATE(+Contacts!F184)</f>
        <v/>
      </c>
      <c r="Z184" s="2" t="str">
        <f t="shared" si="79"/>
        <v xml:space="preserve">Hoed, Yvonne den  </v>
      </c>
      <c r="AA184" s="2" t="str">
        <f>CONCATENATE(+Contacts!C184)</f>
        <v>Hoed</v>
      </c>
      <c r="AB184" s="2" t="str">
        <f t="shared" si="80"/>
        <v xml:space="preserve">, </v>
      </c>
      <c r="AC184" s="2" t="str">
        <f>CONCATENATE(+Contacts!A184)</f>
        <v>Yvonne</v>
      </c>
      <c r="AD184" s="3" t="str">
        <f>CONCATENATE(" ",+Contacts!B184)</f>
        <v xml:space="preserve"> den</v>
      </c>
      <c r="AE184" s="2" t="str">
        <f t="shared" si="81"/>
        <v xml:space="preserve"> </v>
      </c>
      <c r="AF184" s="3" t="str">
        <f>CONCATENATE(+Contacts!D184)</f>
        <v/>
      </c>
      <c r="AG184" s="2" t="str">
        <f t="shared" si="82"/>
        <v xml:space="preserve"> </v>
      </c>
      <c r="AH184" t="str">
        <f>CONCATENATE(+Contacts!I184)</f>
        <v>yvonne@hoedstorm.nl</v>
      </c>
      <c r="AI184">
        <v>1500000010</v>
      </c>
      <c r="AJ184" s="5">
        <f t="shared" si="83"/>
        <v>1</v>
      </c>
    </row>
    <row r="185" spans="1:36" x14ac:dyDescent="0.35">
      <c r="A185" s="7" t="str">
        <f t="shared" si="58"/>
        <v>&lt;contact&gt;&lt;category&gt;0&lt;/category&gt;&lt;person&gt;&lt;realName&gt;Hoek, Fred van den  &lt;/realName&gt;&lt;/person&gt;</v>
      </c>
      <c r="B185" s="7" t="str">
        <f t="shared" si="59"/>
        <v>&lt;telephony nid="1"&gt;&lt;number id="0" prio="1" type="mobile"&gt;+31 650540356&lt;/number&gt;&lt;/telephony&gt;</v>
      </c>
      <c r="C185" s="7" t="str">
        <f t="shared" si="60"/>
        <v>&lt;services /&gt;&lt;setup /&gt;&lt;mod_time&gt;1500000010&lt;/mod_time&gt;&lt;uniqueid&gt;1&lt;/uniqueid&gt;&lt;/contact&gt;</v>
      </c>
      <c r="D185" t="str">
        <f t="shared" si="61"/>
        <v>&lt;contact&gt;&lt;category&gt;0&lt;/category&gt;&lt;person&gt;&lt;realName&gt;Hoek, Fred van den  &lt;/realName&gt;&lt;/person&gt;</v>
      </c>
      <c r="E185" t="str">
        <f t="shared" si="62"/>
        <v>&lt;telephony nid="1"&gt;&lt;number id="0" prio="1" type="mobile"&gt;+31 650540356&lt;/number&gt;&lt;/telephony&gt;</v>
      </c>
      <c r="F185" t="str">
        <f t="shared" si="63"/>
        <v>&lt;telephony nid="1"&gt;</v>
      </c>
      <c r="G185" t="str">
        <f t="shared" si="64"/>
        <v/>
      </c>
      <c r="H185" t="str">
        <f t="shared" si="65"/>
        <v>&lt;services nid="1"&gt;&lt;email id="0" classifier="private"&gt;&lt;/email&gt;&lt;/services&gt;&lt;setup /&gt;&lt;mod_time&gt;1500000010&lt;/mod_time&gt;&lt;uniqueid&gt;1&lt;/uniqueid&gt;&lt;/contact&gt;</v>
      </c>
      <c r="I185" t="str">
        <f t="shared" si="66"/>
        <v>&lt;services /&gt;&lt;setup /&gt;&lt;mod_time&gt;1500000010&lt;/mod_time&gt;&lt;uniqueid&gt;1&lt;/uniqueid&gt;&lt;/contact&gt;</v>
      </c>
      <c r="J185" t="str">
        <f t="shared" si="67"/>
        <v>&lt;services /&gt;&lt;setup /&gt;&lt;mod_time&gt;1500000010&lt;/mod_time&gt;&lt;uniqueid&gt;1&lt;/uniqueid&gt;&lt;/contact&gt;</v>
      </c>
      <c r="K185" s="5">
        <f t="shared" si="68"/>
        <v>0</v>
      </c>
      <c r="L185" s="5">
        <f t="shared" si="69"/>
        <v>0</v>
      </c>
      <c r="M185" s="5" t="str">
        <f>CONCATENATE(+Contacts!E185)</f>
        <v/>
      </c>
      <c r="N185" t="str">
        <f t="shared" si="70"/>
        <v/>
      </c>
      <c r="O185" s="5">
        <f t="shared" si="71"/>
        <v>0</v>
      </c>
      <c r="P185" s="5">
        <f t="shared" si="72"/>
        <v>0</v>
      </c>
      <c r="Q185" s="5" t="str">
        <f>CONCATENATE(+Contacts!G185)</f>
        <v/>
      </c>
      <c r="R185" t="str">
        <f t="shared" si="73"/>
        <v>&lt;number id="0" prio="1" type="mobile"&gt;+31 650540356&lt;/number&gt;</v>
      </c>
      <c r="S185" s="5">
        <f t="shared" si="74"/>
        <v>1</v>
      </c>
      <c r="T185" s="5">
        <f t="shared" si="75"/>
        <v>1</v>
      </c>
      <c r="U185" s="5" t="str">
        <f>CONCATENATE(+Contacts!H185)</f>
        <v>+31 650540356</v>
      </c>
      <c r="V185" t="str">
        <f t="shared" si="76"/>
        <v/>
      </c>
      <c r="W185" s="5">
        <f t="shared" si="77"/>
        <v>1</v>
      </c>
      <c r="X185" s="5">
        <f t="shared" si="78"/>
        <v>1</v>
      </c>
      <c r="Y185" s="5" t="str">
        <f>CONCATENATE(+Contacts!F185)</f>
        <v/>
      </c>
      <c r="Z185" s="2" t="str">
        <f t="shared" si="79"/>
        <v xml:space="preserve">Hoek, Fred van den  </v>
      </c>
      <c r="AA185" s="2" t="str">
        <f>CONCATENATE(+Contacts!C185)</f>
        <v>Hoek</v>
      </c>
      <c r="AB185" s="2" t="str">
        <f t="shared" si="80"/>
        <v xml:space="preserve">, </v>
      </c>
      <c r="AC185" s="2" t="str">
        <f>CONCATENATE(+Contacts!A185)</f>
        <v>Fred</v>
      </c>
      <c r="AD185" s="3" t="str">
        <f>CONCATENATE(" ",+Contacts!B185)</f>
        <v xml:space="preserve"> van den</v>
      </c>
      <c r="AE185" s="2" t="str">
        <f t="shared" si="81"/>
        <v xml:space="preserve"> </v>
      </c>
      <c r="AF185" s="3" t="str">
        <f>CONCATENATE(+Contacts!D185)</f>
        <v/>
      </c>
      <c r="AG185" s="2" t="str">
        <f t="shared" si="82"/>
        <v xml:space="preserve"> </v>
      </c>
      <c r="AH185" t="str">
        <f>CONCATENATE(+Contacts!I185)</f>
        <v/>
      </c>
      <c r="AI185">
        <v>1500000010</v>
      </c>
      <c r="AJ185" s="5">
        <f t="shared" si="83"/>
        <v>1</v>
      </c>
    </row>
    <row r="186" spans="1:36" x14ac:dyDescent="0.35">
      <c r="A186" s="7" t="str">
        <f t="shared" si="58"/>
        <v>&lt;contact&gt;&lt;category&gt;0&lt;/category&gt;&lt;person&gt;&lt;realName&gt;Hoek, Henk &amp;amp; Wilma   &lt;/realName&gt;&lt;/person&gt;</v>
      </c>
      <c r="B186" s="7" t="str">
        <f t="shared" si="59"/>
        <v>&lt;telephony nid="2"&gt;&lt;number id="0" prio="1" type="home"&gt;+46 706447951&lt;/number&gt;&lt;number id="1" prio="0" type="mobile"&gt;+31 641698456&lt;/number&gt;&lt;/telephony&gt;</v>
      </c>
      <c r="C186" s="7" t="str">
        <f t="shared" si="60"/>
        <v>&lt;services nid="1"&gt;&lt;email id="0" classifier="private"&gt;henkdemoos@gmail.com&lt;/email&gt;&lt;/services&gt;&lt;setup /&gt;&lt;mod_time&gt;1500000010&lt;/mod_time&gt;&lt;uniqueid&gt;1&lt;/uniqueid&gt;&lt;/contact&gt;</v>
      </c>
      <c r="D186" t="str">
        <f t="shared" si="61"/>
        <v>&lt;contact&gt;&lt;category&gt;0&lt;/category&gt;&lt;person&gt;&lt;realName&gt;Hoek, Henk &amp;amp; Wilma   &lt;/realName&gt;&lt;/person&gt;</v>
      </c>
      <c r="E186" t="str">
        <f t="shared" si="62"/>
        <v>&lt;telephony nid="2"&gt;&lt;number id="0" prio="1" type="home"&gt;+46 706447951&lt;/number&gt;&lt;number id="1" prio="0" type="mobile"&gt;+31 641698456&lt;/number&gt;&lt;/telephony&gt;</v>
      </c>
      <c r="F186" t="str">
        <f t="shared" si="63"/>
        <v>&lt;telephony nid="2"&gt;</v>
      </c>
      <c r="G186" t="str">
        <f t="shared" si="64"/>
        <v/>
      </c>
      <c r="H186" t="str">
        <f t="shared" si="65"/>
        <v>&lt;services nid="1"&gt;&lt;email id="0" classifier="private"&gt;henkdemoos@gmail.com&lt;/email&gt;&lt;/services&gt;&lt;setup /&gt;&lt;mod_time&gt;1500000010&lt;/mod_time&gt;&lt;uniqueid&gt;1&lt;/uniqueid&gt;&lt;/contact&gt;</v>
      </c>
      <c r="I186" t="str">
        <f t="shared" si="66"/>
        <v>&lt;services /&gt;&lt;setup /&gt;&lt;mod_time&gt;1500000010&lt;/mod_time&gt;&lt;uniqueid&gt;1&lt;/uniqueid&gt;&lt;/contact&gt;</v>
      </c>
      <c r="J186" t="str">
        <f t="shared" si="67"/>
        <v>&lt;services nid="1"&gt;&lt;email id="0" classifier="private"&gt;henkdemoos@gmail.com&lt;/email&gt;&lt;/services&gt;&lt;setup /&gt;&lt;mod_time&gt;1500000010&lt;/mod_time&gt;&lt;uniqueid&gt;1&lt;/uniqueid&gt;&lt;/contact&gt;</v>
      </c>
      <c r="K186" s="5">
        <f t="shared" si="68"/>
        <v>0</v>
      </c>
      <c r="L186" s="5">
        <f t="shared" si="69"/>
        <v>0</v>
      </c>
      <c r="M186" s="5" t="str">
        <f>CONCATENATE(+Contacts!E186)</f>
        <v/>
      </c>
      <c r="N186" t="str">
        <f t="shared" si="70"/>
        <v>&lt;number id="0" prio="1" type="home"&gt;+46 706447951&lt;/number&gt;</v>
      </c>
      <c r="O186" s="5">
        <f t="shared" si="71"/>
        <v>1</v>
      </c>
      <c r="P186" s="5">
        <f t="shared" si="72"/>
        <v>1</v>
      </c>
      <c r="Q186" s="5" t="str">
        <f>CONCATENATE(+Contacts!G186)</f>
        <v>+46 706447951</v>
      </c>
      <c r="R186" t="str">
        <f t="shared" si="73"/>
        <v>&lt;number id="1" prio="0" type="mobile"&gt;+31 641698456&lt;/number&gt;</v>
      </c>
      <c r="S186" s="5">
        <f t="shared" si="74"/>
        <v>2</v>
      </c>
      <c r="T186" s="5">
        <f t="shared" si="75"/>
        <v>0</v>
      </c>
      <c r="U186" s="5" t="str">
        <f>CONCATENATE(+Contacts!H186)</f>
        <v>+31 641698456</v>
      </c>
      <c r="V186" t="str">
        <f t="shared" si="76"/>
        <v/>
      </c>
      <c r="W186" s="5">
        <f t="shared" si="77"/>
        <v>2</v>
      </c>
      <c r="X186" s="5">
        <f t="shared" si="78"/>
        <v>0</v>
      </c>
      <c r="Y186" s="5" t="str">
        <f>CONCATENATE(+Contacts!F186)</f>
        <v/>
      </c>
      <c r="Z186" s="2" t="str">
        <f t="shared" si="79"/>
        <v xml:space="preserve">Hoek, Henk &amp;amp; Wilma   </v>
      </c>
      <c r="AA186" s="2" t="str">
        <f>CONCATENATE(+Contacts!C186)</f>
        <v>Hoek</v>
      </c>
      <c r="AB186" s="2" t="str">
        <f t="shared" si="80"/>
        <v xml:space="preserve">, </v>
      </c>
      <c r="AC186" s="2" t="str">
        <f>CONCATENATE(+Contacts!A186)</f>
        <v>Henk &amp;amp; Wilma</v>
      </c>
      <c r="AD186" s="3" t="str">
        <f>CONCATENATE(" ",+Contacts!B186)</f>
        <v xml:space="preserve"> </v>
      </c>
      <c r="AE186" s="2" t="str">
        <f t="shared" si="81"/>
        <v xml:space="preserve"> </v>
      </c>
      <c r="AF186" s="3" t="str">
        <f>CONCATENATE(+Contacts!D186)</f>
        <v/>
      </c>
      <c r="AG186" s="2" t="str">
        <f t="shared" si="82"/>
        <v xml:space="preserve"> </v>
      </c>
      <c r="AH186" t="str">
        <f>CONCATENATE(+Contacts!I186)</f>
        <v>henkdemoos@gmail.com</v>
      </c>
      <c r="AI186">
        <v>1500000010</v>
      </c>
      <c r="AJ186" s="5">
        <f t="shared" si="83"/>
        <v>1</v>
      </c>
    </row>
    <row r="187" spans="1:36" x14ac:dyDescent="0.35">
      <c r="A187" s="7" t="str">
        <f t="shared" si="58"/>
        <v>&lt;contact&gt;&lt;category&gt;0&lt;/category&gt;&lt;person&gt;&lt;realName&gt;Hoeven, Barbet van der  &lt;/realName&gt;&lt;/person&gt;</v>
      </c>
      <c r="B187" s="7" t="str">
        <f t="shared" si="59"/>
        <v>&lt;telephony nid="1"&gt;&lt;number id="0" prio="1" type="mobile"&gt;+31 6 11758748&lt;/number&gt;&lt;/telephony&gt;</v>
      </c>
      <c r="C187" s="7" t="str">
        <f t="shared" si="60"/>
        <v>&lt;services nid="1"&gt;&lt;email id="0" classifier="private"&gt;barbet_van_der_hoeven@hotmail.com&lt;/email&gt;&lt;/services&gt;&lt;setup /&gt;&lt;mod_time&gt;1500000010&lt;/mod_time&gt;&lt;uniqueid&gt;1&lt;/uniqueid&gt;&lt;/contact&gt;</v>
      </c>
      <c r="D187" t="str">
        <f t="shared" si="61"/>
        <v>&lt;contact&gt;&lt;category&gt;0&lt;/category&gt;&lt;person&gt;&lt;realName&gt;Hoeven, Barbet van der  &lt;/realName&gt;&lt;/person&gt;</v>
      </c>
      <c r="E187" t="str">
        <f t="shared" si="62"/>
        <v>&lt;telephony nid="1"&gt;&lt;number id="0" prio="1" type="mobile"&gt;+31 6 11758748&lt;/number&gt;&lt;/telephony&gt;</v>
      </c>
      <c r="F187" t="str">
        <f t="shared" si="63"/>
        <v>&lt;telephony nid="1"&gt;</v>
      </c>
      <c r="G187" t="str">
        <f t="shared" si="64"/>
        <v/>
      </c>
      <c r="H187" t="str">
        <f t="shared" si="65"/>
        <v>&lt;services nid="1"&gt;&lt;email id="0" classifier="private"&gt;barbet_van_der_hoeven@hotmail.com&lt;/email&gt;&lt;/services&gt;&lt;setup /&gt;&lt;mod_time&gt;1500000010&lt;/mod_time&gt;&lt;uniqueid&gt;1&lt;/uniqueid&gt;&lt;/contact&gt;</v>
      </c>
      <c r="I187" t="str">
        <f t="shared" si="66"/>
        <v>&lt;services /&gt;&lt;setup /&gt;&lt;mod_time&gt;1500000010&lt;/mod_time&gt;&lt;uniqueid&gt;1&lt;/uniqueid&gt;&lt;/contact&gt;</v>
      </c>
      <c r="J187" t="str">
        <f t="shared" si="67"/>
        <v>&lt;services nid="1"&gt;&lt;email id="0" classifier="private"&gt;barbet_van_der_hoeven@hotmail.com&lt;/email&gt;&lt;/services&gt;&lt;setup /&gt;&lt;mod_time&gt;1500000010&lt;/mod_time&gt;&lt;uniqueid&gt;1&lt;/uniqueid&gt;&lt;/contact&gt;</v>
      </c>
      <c r="K187" s="5">
        <f t="shared" si="68"/>
        <v>0</v>
      </c>
      <c r="L187" s="5">
        <f t="shared" si="69"/>
        <v>0</v>
      </c>
      <c r="M187" s="5" t="str">
        <f>CONCATENATE(+Contacts!E187)</f>
        <v/>
      </c>
      <c r="N187" t="str">
        <f t="shared" si="70"/>
        <v/>
      </c>
      <c r="O187" s="5">
        <f t="shared" si="71"/>
        <v>0</v>
      </c>
      <c r="P187" s="5">
        <f t="shared" si="72"/>
        <v>0</v>
      </c>
      <c r="Q187" s="5" t="str">
        <f>CONCATENATE(+Contacts!G187)</f>
        <v/>
      </c>
      <c r="R187" t="str">
        <f t="shared" si="73"/>
        <v>&lt;number id="0" prio="1" type="mobile"&gt;+31 6 11758748&lt;/number&gt;</v>
      </c>
      <c r="S187" s="5">
        <f t="shared" si="74"/>
        <v>1</v>
      </c>
      <c r="T187" s="5">
        <f t="shared" si="75"/>
        <v>1</v>
      </c>
      <c r="U187" s="5" t="str">
        <f>CONCATENATE(+Contacts!H187)</f>
        <v>+31 6 11758748</v>
      </c>
      <c r="V187" t="str">
        <f t="shared" si="76"/>
        <v/>
      </c>
      <c r="W187" s="5">
        <f t="shared" si="77"/>
        <v>1</v>
      </c>
      <c r="X187" s="5">
        <f t="shared" si="78"/>
        <v>1</v>
      </c>
      <c r="Y187" s="5" t="str">
        <f>CONCATENATE(+Contacts!F187)</f>
        <v/>
      </c>
      <c r="Z187" s="2" t="str">
        <f t="shared" si="79"/>
        <v xml:space="preserve">Hoeven, Barbet van der  </v>
      </c>
      <c r="AA187" s="2" t="str">
        <f>CONCATENATE(+Contacts!C187)</f>
        <v>Hoeven</v>
      </c>
      <c r="AB187" s="2" t="str">
        <f t="shared" si="80"/>
        <v xml:space="preserve">, </v>
      </c>
      <c r="AC187" s="2" t="str">
        <f>CONCATENATE(+Contacts!A187)</f>
        <v>Barbet</v>
      </c>
      <c r="AD187" s="3" t="str">
        <f>CONCATENATE(" ",+Contacts!B187)</f>
        <v xml:space="preserve"> van der</v>
      </c>
      <c r="AE187" s="2" t="str">
        <f t="shared" si="81"/>
        <v xml:space="preserve"> </v>
      </c>
      <c r="AF187" s="3" t="str">
        <f>CONCATENATE(+Contacts!D187)</f>
        <v/>
      </c>
      <c r="AG187" s="2" t="str">
        <f t="shared" si="82"/>
        <v xml:space="preserve"> </v>
      </c>
      <c r="AH187" t="str">
        <f>CONCATENATE(+Contacts!I187)</f>
        <v>barbet_van_der_hoeven@hotmail.com</v>
      </c>
      <c r="AI187">
        <v>1500000010</v>
      </c>
      <c r="AJ187" s="5">
        <f t="shared" si="83"/>
        <v>1</v>
      </c>
    </row>
    <row r="188" spans="1:36" x14ac:dyDescent="0.35">
      <c r="A188" s="7" t="str">
        <f t="shared" si="58"/>
        <v>&lt;contact&gt;&lt;category&gt;0&lt;/category&gt;&lt;person&gt;&lt;realName&gt;Hof, Alda van &amp;apos;t  &lt;/realName&gt;&lt;/person&gt;</v>
      </c>
      <c r="B188" s="7" t="str">
        <f t="shared" si="59"/>
        <v>&lt;telephony nid="1"&gt;&lt;number id="0" prio="1" type="mobile"&gt;+31 617778401&lt;/number&gt;&lt;/telephony&gt;</v>
      </c>
      <c r="C188" s="7" t="str">
        <f t="shared" si="60"/>
        <v>&lt;services nid="1"&gt;&lt;email id="0" classifier="private"&gt;alda.vanthof@ziggo.nl&lt;/email&gt;&lt;/services&gt;&lt;setup /&gt;&lt;mod_time&gt;1500000010&lt;/mod_time&gt;&lt;uniqueid&gt;1&lt;/uniqueid&gt;&lt;/contact&gt;</v>
      </c>
      <c r="D188" t="str">
        <f t="shared" si="61"/>
        <v>&lt;contact&gt;&lt;category&gt;0&lt;/category&gt;&lt;person&gt;&lt;realName&gt;Hof, Alda van &amp;apos;t  &lt;/realName&gt;&lt;/person&gt;</v>
      </c>
      <c r="E188" t="str">
        <f t="shared" si="62"/>
        <v>&lt;telephony nid="1"&gt;&lt;number id="0" prio="1" type="mobile"&gt;+31 617778401&lt;/number&gt;&lt;/telephony&gt;</v>
      </c>
      <c r="F188" t="str">
        <f t="shared" si="63"/>
        <v>&lt;telephony nid="1"&gt;</v>
      </c>
      <c r="G188" t="str">
        <f t="shared" si="64"/>
        <v/>
      </c>
      <c r="H188" t="str">
        <f t="shared" si="65"/>
        <v>&lt;services nid="1"&gt;&lt;email id="0" classifier="private"&gt;alda.vanthof@ziggo.nl&lt;/email&gt;&lt;/services&gt;&lt;setup /&gt;&lt;mod_time&gt;1500000010&lt;/mod_time&gt;&lt;uniqueid&gt;1&lt;/uniqueid&gt;&lt;/contact&gt;</v>
      </c>
      <c r="I188" t="str">
        <f t="shared" si="66"/>
        <v>&lt;services /&gt;&lt;setup /&gt;&lt;mod_time&gt;1500000010&lt;/mod_time&gt;&lt;uniqueid&gt;1&lt;/uniqueid&gt;&lt;/contact&gt;</v>
      </c>
      <c r="J188" t="str">
        <f t="shared" si="67"/>
        <v>&lt;services nid="1"&gt;&lt;email id="0" classifier="private"&gt;alda.vanthof@ziggo.nl&lt;/email&gt;&lt;/services&gt;&lt;setup /&gt;&lt;mod_time&gt;1500000010&lt;/mod_time&gt;&lt;uniqueid&gt;1&lt;/uniqueid&gt;&lt;/contact&gt;</v>
      </c>
      <c r="K188" s="5">
        <f t="shared" si="68"/>
        <v>0</v>
      </c>
      <c r="L188" s="5">
        <f t="shared" si="69"/>
        <v>0</v>
      </c>
      <c r="M188" s="5" t="str">
        <f>CONCATENATE(+Contacts!E188)</f>
        <v/>
      </c>
      <c r="N188" t="str">
        <f t="shared" si="70"/>
        <v/>
      </c>
      <c r="O188" s="5">
        <f t="shared" si="71"/>
        <v>0</v>
      </c>
      <c r="P188" s="5">
        <f t="shared" si="72"/>
        <v>0</v>
      </c>
      <c r="Q188" s="5" t="str">
        <f>CONCATENATE(+Contacts!G188)</f>
        <v/>
      </c>
      <c r="R188" t="str">
        <f t="shared" si="73"/>
        <v>&lt;number id="0" prio="1" type="mobile"&gt;+31 617778401&lt;/number&gt;</v>
      </c>
      <c r="S188" s="5">
        <f t="shared" si="74"/>
        <v>1</v>
      </c>
      <c r="T188" s="5">
        <f t="shared" si="75"/>
        <v>1</v>
      </c>
      <c r="U188" s="5" t="str">
        <f>CONCATENATE(+Contacts!H188)</f>
        <v>+31 617778401</v>
      </c>
      <c r="V188" t="str">
        <f t="shared" si="76"/>
        <v/>
      </c>
      <c r="W188" s="5">
        <f t="shared" si="77"/>
        <v>1</v>
      </c>
      <c r="X188" s="5">
        <f t="shared" si="78"/>
        <v>1</v>
      </c>
      <c r="Y188" s="5" t="str">
        <f>CONCATENATE(+Contacts!F188)</f>
        <v/>
      </c>
      <c r="Z188" s="2" t="str">
        <f t="shared" si="79"/>
        <v xml:space="preserve">Hof, Alda van &amp;apos;t  </v>
      </c>
      <c r="AA188" s="2" t="str">
        <f>CONCATENATE(+Contacts!C188)</f>
        <v>Hof</v>
      </c>
      <c r="AB188" s="2" t="str">
        <f t="shared" si="80"/>
        <v xml:space="preserve">, </v>
      </c>
      <c r="AC188" s="2" t="str">
        <f>CONCATENATE(+Contacts!A188)</f>
        <v>Alda</v>
      </c>
      <c r="AD188" s="3" t="str">
        <f>CONCATENATE(" ",+Contacts!B188)</f>
        <v xml:space="preserve"> van &amp;apos;t</v>
      </c>
      <c r="AE188" s="2" t="str">
        <f t="shared" si="81"/>
        <v xml:space="preserve"> </v>
      </c>
      <c r="AF188" s="3" t="str">
        <f>CONCATENATE(+Contacts!D188)</f>
        <v/>
      </c>
      <c r="AG188" s="2" t="str">
        <f t="shared" si="82"/>
        <v xml:space="preserve"> </v>
      </c>
      <c r="AH188" t="str">
        <f>CONCATENATE(+Contacts!I188)</f>
        <v>alda.vanthof@ziggo.nl</v>
      </c>
      <c r="AI188">
        <v>1500000010</v>
      </c>
      <c r="AJ188" s="5">
        <f t="shared" si="83"/>
        <v>1</v>
      </c>
    </row>
    <row r="189" spans="1:36" x14ac:dyDescent="0.35">
      <c r="A189" s="7" t="str">
        <f t="shared" si="58"/>
        <v/>
      </c>
      <c r="B189" s="7" t="str">
        <f t="shared" si="59"/>
        <v/>
      </c>
      <c r="C189" s="7" t="str">
        <f t="shared" si="60"/>
        <v/>
      </c>
      <c r="D189" t="str">
        <f t="shared" si="61"/>
        <v>&lt;contact&gt;&lt;category&gt;0&lt;/category&gt;&lt;person&gt;&lt;realName&gt;Hoffmann, Boaz   &lt;/realName&gt;&lt;/person&gt;</v>
      </c>
      <c r="E189" t="str">
        <f t="shared" si="62"/>
        <v>&lt;telephony nid="0"&gt;&lt;/telephony&gt;</v>
      </c>
      <c r="F189" t="str">
        <f t="shared" si="63"/>
        <v>&lt;telephony nid="0"&gt;</v>
      </c>
      <c r="G189" t="str">
        <f t="shared" si="64"/>
        <v/>
      </c>
      <c r="H189" t="str">
        <f t="shared" si="65"/>
        <v>&lt;services nid="1"&gt;&lt;email id="0" classifier="private"&gt;boazhoffmann@gmail.com&lt;/email&gt;&lt;/services&gt;&lt;setup /&gt;&lt;mod_time&gt;1500000010&lt;/mod_time&gt;&lt;uniqueid&gt;0&lt;/uniqueid&gt;&lt;/contact&gt;</v>
      </c>
      <c r="I189" t="str">
        <f t="shared" si="66"/>
        <v>&lt;services /&gt;&lt;setup /&gt;&lt;mod_time&gt;1500000010&lt;/mod_time&gt;&lt;uniqueid&gt;0&lt;/uniqueid&gt;&lt;/contact&gt;</v>
      </c>
      <c r="J189" t="str">
        <f t="shared" si="67"/>
        <v>&lt;services nid="1"&gt;&lt;email id="0" classifier="private"&gt;boazhoffmann@gmail.com&lt;/email&gt;&lt;/services&gt;&lt;setup /&gt;&lt;mod_time&gt;1500000010&lt;/mod_time&gt;&lt;uniqueid&gt;0&lt;/uniqueid&gt;&lt;/contact&gt;</v>
      </c>
      <c r="K189" s="5">
        <f t="shared" si="68"/>
        <v>0</v>
      </c>
      <c r="L189" s="5">
        <f t="shared" si="69"/>
        <v>0</v>
      </c>
      <c r="M189" s="5" t="str">
        <f>CONCATENATE(+Contacts!E189)</f>
        <v/>
      </c>
      <c r="N189" t="str">
        <f t="shared" si="70"/>
        <v/>
      </c>
      <c r="O189" s="5">
        <f t="shared" si="71"/>
        <v>0</v>
      </c>
      <c r="P189" s="5">
        <f t="shared" si="72"/>
        <v>0</v>
      </c>
      <c r="Q189" s="5" t="str">
        <f>CONCATENATE(+Contacts!G189)</f>
        <v/>
      </c>
      <c r="R189" t="str">
        <f t="shared" si="73"/>
        <v/>
      </c>
      <c r="S189" s="5">
        <f t="shared" si="74"/>
        <v>0</v>
      </c>
      <c r="T189" s="5">
        <f t="shared" si="75"/>
        <v>0</v>
      </c>
      <c r="U189" s="5" t="str">
        <f>CONCATENATE(+Contacts!H189)</f>
        <v/>
      </c>
      <c r="V189" t="str">
        <f t="shared" si="76"/>
        <v/>
      </c>
      <c r="W189" s="5">
        <f t="shared" si="77"/>
        <v>0</v>
      </c>
      <c r="X189" s="5">
        <f t="shared" si="78"/>
        <v>0</v>
      </c>
      <c r="Y189" s="5" t="str">
        <f>CONCATENATE(+Contacts!F189)</f>
        <v/>
      </c>
      <c r="Z189" s="2" t="str">
        <f t="shared" si="79"/>
        <v xml:space="preserve">Hoffmann, Boaz   </v>
      </c>
      <c r="AA189" s="2" t="str">
        <f>CONCATENATE(+Contacts!C189)</f>
        <v>Hoffmann</v>
      </c>
      <c r="AB189" s="2" t="str">
        <f t="shared" si="80"/>
        <v xml:space="preserve">, </v>
      </c>
      <c r="AC189" s="2" t="str">
        <f>CONCATENATE(+Contacts!A189)</f>
        <v>Boaz</v>
      </c>
      <c r="AD189" s="3" t="str">
        <f>CONCATENATE(" ",+Contacts!B189)</f>
        <v xml:space="preserve"> </v>
      </c>
      <c r="AE189" s="2" t="str">
        <f t="shared" si="81"/>
        <v xml:space="preserve"> </v>
      </c>
      <c r="AF189" s="3" t="str">
        <f>CONCATENATE(+Contacts!D189)</f>
        <v/>
      </c>
      <c r="AG189" s="2" t="str">
        <f t="shared" si="82"/>
        <v xml:space="preserve"> </v>
      </c>
      <c r="AH189" t="str">
        <f>CONCATENATE(+Contacts!I189)</f>
        <v>boazhoffmann@gmail.com</v>
      </c>
      <c r="AI189">
        <v>1500000010</v>
      </c>
      <c r="AJ189" s="5">
        <f t="shared" si="83"/>
        <v>0</v>
      </c>
    </row>
    <row r="190" spans="1:36" x14ac:dyDescent="0.35">
      <c r="A190" s="7" t="str">
        <f t="shared" si="58"/>
        <v>&lt;contact&gt;&lt;category&gt;0&lt;/category&gt;&lt;person&gt;&lt;realName&gt;Hoffmann, Cornelius   &lt;/realName&gt;&lt;/person&gt;</v>
      </c>
      <c r="B190" s="7" t="str">
        <f t="shared" si="59"/>
        <v>&lt;telephony nid="1"&gt;&lt;number id="0" prio="1" type="mobile"&gt;+49 17632678717&lt;/number&gt;&lt;/telephony&gt;</v>
      </c>
      <c r="C190" s="7" t="str">
        <f t="shared" si="60"/>
        <v>&lt;services nid="1"&gt;&lt;email id="0" classifier="private"&gt;hangin.wang@gmail.com&lt;/email&gt;&lt;/services&gt;&lt;setup /&gt;&lt;mod_time&gt;1500000010&lt;/mod_time&gt;&lt;uniqueid&gt;1&lt;/uniqueid&gt;&lt;/contact&gt;</v>
      </c>
      <c r="D190" t="str">
        <f t="shared" si="61"/>
        <v>&lt;contact&gt;&lt;category&gt;0&lt;/category&gt;&lt;person&gt;&lt;realName&gt;Hoffmann, Cornelius   &lt;/realName&gt;&lt;/person&gt;</v>
      </c>
      <c r="E190" t="str">
        <f t="shared" si="62"/>
        <v>&lt;telephony nid="1"&gt;&lt;number id="0" prio="1" type="mobile"&gt;+49 17632678717&lt;/number&gt;&lt;/telephony&gt;</v>
      </c>
      <c r="F190" t="str">
        <f t="shared" si="63"/>
        <v>&lt;telephony nid="1"&gt;</v>
      </c>
      <c r="G190" t="str">
        <f t="shared" si="64"/>
        <v/>
      </c>
      <c r="H190" t="str">
        <f t="shared" si="65"/>
        <v>&lt;services nid="1"&gt;&lt;email id="0" classifier="private"&gt;hangin.wang@gmail.com&lt;/email&gt;&lt;/services&gt;&lt;setup /&gt;&lt;mod_time&gt;1500000010&lt;/mod_time&gt;&lt;uniqueid&gt;1&lt;/uniqueid&gt;&lt;/contact&gt;</v>
      </c>
      <c r="I190" t="str">
        <f t="shared" si="66"/>
        <v>&lt;services /&gt;&lt;setup /&gt;&lt;mod_time&gt;1500000010&lt;/mod_time&gt;&lt;uniqueid&gt;1&lt;/uniqueid&gt;&lt;/contact&gt;</v>
      </c>
      <c r="J190" t="str">
        <f t="shared" si="67"/>
        <v>&lt;services nid="1"&gt;&lt;email id="0" classifier="private"&gt;hangin.wang@gmail.com&lt;/email&gt;&lt;/services&gt;&lt;setup /&gt;&lt;mod_time&gt;1500000010&lt;/mod_time&gt;&lt;uniqueid&gt;1&lt;/uniqueid&gt;&lt;/contact&gt;</v>
      </c>
      <c r="K190" s="5">
        <f t="shared" si="68"/>
        <v>0</v>
      </c>
      <c r="L190" s="5">
        <f t="shared" si="69"/>
        <v>0</v>
      </c>
      <c r="M190" s="5" t="str">
        <f>CONCATENATE(+Contacts!E190)</f>
        <v/>
      </c>
      <c r="N190" t="str">
        <f t="shared" si="70"/>
        <v/>
      </c>
      <c r="O190" s="5">
        <f t="shared" si="71"/>
        <v>0</v>
      </c>
      <c r="P190" s="5">
        <f t="shared" si="72"/>
        <v>0</v>
      </c>
      <c r="Q190" s="5" t="str">
        <f>CONCATENATE(+Contacts!G190)</f>
        <v/>
      </c>
      <c r="R190" t="str">
        <f t="shared" si="73"/>
        <v>&lt;number id="0" prio="1" type="mobile"&gt;+49 17632678717&lt;/number&gt;</v>
      </c>
      <c r="S190" s="5">
        <f t="shared" si="74"/>
        <v>1</v>
      </c>
      <c r="T190" s="5">
        <f t="shared" si="75"/>
        <v>1</v>
      </c>
      <c r="U190" s="5" t="str">
        <f>CONCATENATE(+Contacts!H190)</f>
        <v>+49 17632678717</v>
      </c>
      <c r="V190" t="str">
        <f t="shared" si="76"/>
        <v/>
      </c>
      <c r="W190" s="5">
        <f t="shared" si="77"/>
        <v>1</v>
      </c>
      <c r="X190" s="5">
        <f t="shared" si="78"/>
        <v>1</v>
      </c>
      <c r="Y190" s="5" t="str">
        <f>CONCATENATE(+Contacts!F190)</f>
        <v/>
      </c>
      <c r="Z190" s="2" t="str">
        <f t="shared" si="79"/>
        <v xml:space="preserve">Hoffmann, Cornelius   </v>
      </c>
      <c r="AA190" s="2" t="str">
        <f>CONCATENATE(+Contacts!C190)</f>
        <v>Hoffmann</v>
      </c>
      <c r="AB190" s="2" t="str">
        <f t="shared" si="80"/>
        <v xml:space="preserve">, </v>
      </c>
      <c r="AC190" s="2" t="str">
        <f>CONCATENATE(+Contacts!A190)</f>
        <v>Cornelius</v>
      </c>
      <c r="AD190" s="3" t="str">
        <f>CONCATENATE(" ",+Contacts!B190)</f>
        <v xml:space="preserve"> </v>
      </c>
      <c r="AE190" s="2" t="str">
        <f t="shared" si="81"/>
        <v xml:space="preserve"> </v>
      </c>
      <c r="AF190" s="3" t="str">
        <f>CONCATENATE(+Contacts!D190)</f>
        <v/>
      </c>
      <c r="AG190" s="2" t="str">
        <f t="shared" si="82"/>
        <v xml:space="preserve"> </v>
      </c>
      <c r="AH190" t="str">
        <f>CONCATENATE(+Contacts!I190)</f>
        <v>hangin.wang@gmail.com</v>
      </c>
      <c r="AI190">
        <v>1500000010</v>
      </c>
      <c r="AJ190" s="5">
        <f t="shared" si="83"/>
        <v>1</v>
      </c>
    </row>
    <row r="191" spans="1:36" x14ac:dyDescent="0.35">
      <c r="A191" s="7" t="str">
        <f t="shared" si="58"/>
        <v/>
      </c>
      <c r="B191" s="7" t="str">
        <f t="shared" si="59"/>
        <v/>
      </c>
      <c r="C191" s="7" t="str">
        <f t="shared" si="60"/>
        <v/>
      </c>
      <c r="D191" t="str">
        <f t="shared" si="61"/>
        <v>&lt;contact&gt;&lt;category&gt;0&lt;/category&gt;&lt;person&gt;&lt;realName&gt;Hoffmann, Jürgen &amp;amp; Jane    &lt;/realName&gt;&lt;/person&gt;</v>
      </c>
      <c r="E191" t="str">
        <f t="shared" si="62"/>
        <v>&lt;telephony nid="0"&gt;&lt;/telephony&gt;</v>
      </c>
      <c r="F191" t="str">
        <f t="shared" si="63"/>
        <v>&lt;telephony nid="0"&gt;</v>
      </c>
      <c r="G191" t="str">
        <f t="shared" si="64"/>
        <v/>
      </c>
      <c r="H191" t="str">
        <f t="shared" si="65"/>
        <v>&lt;services nid="1"&gt;&lt;email id="0" classifier="private"&gt;&lt;/email&gt;&lt;/services&gt;&lt;setup /&gt;&lt;mod_time&gt;1500000010&lt;/mod_time&gt;&lt;uniqueid&gt;0&lt;/uniqueid&gt;&lt;/contact&gt;</v>
      </c>
      <c r="I191" t="str">
        <f t="shared" si="66"/>
        <v>&lt;services /&gt;&lt;setup /&gt;&lt;mod_time&gt;1500000010&lt;/mod_time&gt;&lt;uniqueid&gt;0&lt;/uniqueid&gt;&lt;/contact&gt;</v>
      </c>
      <c r="J191" t="str">
        <f t="shared" si="67"/>
        <v>&lt;services /&gt;&lt;setup /&gt;&lt;mod_time&gt;1500000010&lt;/mod_time&gt;&lt;uniqueid&gt;0&lt;/uniqueid&gt;&lt;/contact&gt;</v>
      </c>
      <c r="K191" s="5">
        <f t="shared" si="68"/>
        <v>0</v>
      </c>
      <c r="L191" s="5">
        <f t="shared" si="69"/>
        <v>0</v>
      </c>
      <c r="M191" s="5" t="str">
        <f>CONCATENATE(+Contacts!E191)</f>
        <v/>
      </c>
      <c r="N191" t="str">
        <f t="shared" si="70"/>
        <v/>
      </c>
      <c r="O191" s="5">
        <f t="shared" si="71"/>
        <v>0</v>
      </c>
      <c r="P191" s="5">
        <f t="shared" si="72"/>
        <v>0</v>
      </c>
      <c r="Q191" s="5" t="str">
        <f>CONCATENATE(+Contacts!G191)</f>
        <v/>
      </c>
      <c r="R191" t="str">
        <f t="shared" si="73"/>
        <v/>
      </c>
      <c r="S191" s="5">
        <f t="shared" si="74"/>
        <v>0</v>
      </c>
      <c r="T191" s="5">
        <f t="shared" si="75"/>
        <v>0</v>
      </c>
      <c r="U191" s="5" t="str">
        <f>CONCATENATE(+Contacts!H191)</f>
        <v/>
      </c>
      <c r="V191" t="str">
        <f t="shared" si="76"/>
        <v/>
      </c>
      <c r="W191" s="5">
        <f t="shared" si="77"/>
        <v>0</v>
      </c>
      <c r="X191" s="5">
        <f t="shared" si="78"/>
        <v>0</v>
      </c>
      <c r="Y191" s="5" t="str">
        <f>CONCATENATE(+Contacts!F191)</f>
        <v/>
      </c>
      <c r="Z191" s="2" t="str">
        <f t="shared" si="79"/>
        <v xml:space="preserve">Hoffmann, Jürgen &amp;amp; Jane    </v>
      </c>
      <c r="AA191" s="2" t="str">
        <f>CONCATENATE(+Contacts!C191)</f>
        <v>Hoffmann</v>
      </c>
      <c r="AB191" s="2" t="str">
        <f t="shared" si="80"/>
        <v xml:space="preserve">, </v>
      </c>
      <c r="AC191" s="2" t="str">
        <f>CONCATENATE(+Contacts!A191)</f>
        <v xml:space="preserve">Jürgen &amp;amp; Jane </v>
      </c>
      <c r="AD191" s="3" t="str">
        <f>CONCATENATE(" ",+Contacts!B191)</f>
        <v xml:space="preserve"> </v>
      </c>
      <c r="AE191" s="2" t="str">
        <f t="shared" si="81"/>
        <v xml:space="preserve"> </v>
      </c>
      <c r="AF191" s="3" t="str">
        <f>CONCATENATE(+Contacts!D191)</f>
        <v/>
      </c>
      <c r="AG191" s="2" t="str">
        <f t="shared" si="82"/>
        <v xml:space="preserve"> </v>
      </c>
      <c r="AH191" t="str">
        <f>CONCATENATE(+Contacts!I191)</f>
        <v/>
      </c>
      <c r="AI191">
        <v>1500000010</v>
      </c>
      <c r="AJ191" s="5">
        <f t="shared" si="83"/>
        <v>0</v>
      </c>
    </row>
    <row r="192" spans="1:36" x14ac:dyDescent="0.35">
      <c r="A192" s="7" t="str">
        <f t="shared" si="58"/>
        <v>&lt;contact&gt;&lt;category&gt;0&lt;/category&gt;&lt;person&gt;&lt;realName&gt;Hofman, Lisette   &lt;/realName&gt;&lt;/person&gt;</v>
      </c>
      <c r="B192" s="7" t="str">
        <f t="shared" si="59"/>
        <v>&lt;telephony nid="1"&gt;&lt;number id="0" prio="1" type="mobile"&gt;+31  ‎ 6 14800245&lt;/number&gt;&lt;/telephony&gt;</v>
      </c>
      <c r="C192" s="7" t="str">
        <f t="shared" si="60"/>
        <v>&lt;services nid="1"&gt;&lt;email id="0" classifier="private"&gt;lisette.hofman@online.nl&lt;/email&gt;&lt;/services&gt;&lt;setup /&gt;&lt;mod_time&gt;1500000010&lt;/mod_time&gt;&lt;uniqueid&gt;1&lt;/uniqueid&gt;&lt;/contact&gt;</v>
      </c>
      <c r="D192" t="str">
        <f t="shared" si="61"/>
        <v>&lt;contact&gt;&lt;category&gt;0&lt;/category&gt;&lt;person&gt;&lt;realName&gt;Hofman, Lisette   &lt;/realName&gt;&lt;/person&gt;</v>
      </c>
      <c r="E192" t="str">
        <f t="shared" si="62"/>
        <v>&lt;telephony nid="1"&gt;&lt;number id="0" prio="1" type="mobile"&gt;+31  ‎ 6 14800245&lt;/number&gt;&lt;/telephony&gt;</v>
      </c>
      <c r="F192" t="str">
        <f t="shared" si="63"/>
        <v>&lt;telephony nid="1"&gt;</v>
      </c>
      <c r="G192" t="str">
        <f t="shared" si="64"/>
        <v/>
      </c>
      <c r="H192" t="str">
        <f t="shared" si="65"/>
        <v>&lt;services nid="1"&gt;&lt;email id="0" classifier="private"&gt;lisette.hofman@online.nl&lt;/email&gt;&lt;/services&gt;&lt;setup /&gt;&lt;mod_time&gt;1500000010&lt;/mod_time&gt;&lt;uniqueid&gt;1&lt;/uniqueid&gt;&lt;/contact&gt;</v>
      </c>
      <c r="I192" t="str">
        <f t="shared" si="66"/>
        <v>&lt;services /&gt;&lt;setup /&gt;&lt;mod_time&gt;1500000010&lt;/mod_time&gt;&lt;uniqueid&gt;1&lt;/uniqueid&gt;&lt;/contact&gt;</v>
      </c>
      <c r="J192" t="str">
        <f t="shared" si="67"/>
        <v>&lt;services nid="1"&gt;&lt;email id="0" classifier="private"&gt;lisette.hofman@online.nl&lt;/email&gt;&lt;/services&gt;&lt;setup /&gt;&lt;mod_time&gt;1500000010&lt;/mod_time&gt;&lt;uniqueid&gt;1&lt;/uniqueid&gt;&lt;/contact&gt;</v>
      </c>
      <c r="K192" s="5">
        <f t="shared" si="68"/>
        <v>0</v>
      </c>
      <c r="L192" s="5">
        <f t="shared" si="69"/>
        <v>0</v>
      </c>
      <c r="M192" s="5" t="str">
        <f>CONCATENATE(+Contacts!E192)</f>
        <v/>
      </c>
      <c r="N192" t="str">
        <f t="shared" si="70"/>
        <v/>
      </c>
      <c r="O192" s="5">
        <f t="shared" si="71"/>
        <v>0</v>
      </c>
      <c r="P192" s="5">
        <f t="shared" si="72"/>
        <v>0</v>
      </c>
      <c r="Q192" s="5" t="str">
        <f>CONCATENATE(+Contacts!G192)</f>
        <v/>
      </c>
      <c r="R192" t="str">
        <f t="shared" si="73"/>
        <v>&lt;number id="0" prio="1" type="mobile"&gt;+31  ‎ 6 14800245&lt;/number&gt;</v>
      </c>
      <c r="S192" s="5">
        <f t="shared" si="74"/>
        <v>1</v>
      </c>
      <c r="T192" s="5">
        <f t="shared" si="75"/>
        <v>1</v>
      </c>
      <c r="U192" s="5" t="str">
        <f>CONCATENATE(+Contacts!H192)</f>
        <v>+31  ‎ 6 14800245</v>
      </c>
      <c r="V192" t="str">
        <f t="shared" si="76"/>
        <v/>
      </c>
      <c r="W192" s="5">
        <f t="shared" si="77"/>
        <v>1</v>
      </c>
      <c r="X192" s="5">
        <f t="shared" si="78"/>
        <v>1</v>
      </c>
      <c r="Y192" s="5" t="str">
        <f>CONCATENATE(+Contacts!F192)</f>
        <v/>
      </c>
      <c r="Z192" s="2" t="str">
        <f t="shared" si="79"/>
        <v xml:space="preserve">Hofman, Lisette   </v>
      </c>
      <c r="AA192" s="2" t="str">
        <f>CONCATENATE(+Contacts!C192)</f>
        <v>Hofman</v>
      </c>
      <c r="AB192" s="2" t="str">
        <f t="shared" si="80"/>
        <v xml:space="preserve">, </v>
      </c>
      <c r="AC192" s="2" t="str">
        <f>CONCATENATE(+Contacts!A192)</f>
        <v>Lisette</v>
      </c>
      <c r="AD192" s="3" t="str">
        <f>CONCATENATE(" ",+Contacts!B192)</f>
        <v xml:space="preserve"> </v>
      </c>
      <c r="AE192" s="2" t="str">
        <f t="shared" si="81"/>
        <v xml:space="preserve"> </v>
      </c>
      <c r="AF192" s="3" t="str">
        <f>CONCATENATE(+Contacts!D192)</f>
        <v/>
      </c>
      <c r="AG192" s="2" t="str">
        <f t="shared" si="82"/>
        <v xml:space="preserve"> </v>
      </c>
      <c r="AH192" t="str">
        <f>CONCATENATE(+Contacts!I192)</f>
        <v>lisette.hofman@online.nl</v>
      </c>
      <c r="AI192">
        <v>1500000010</v>
      </c>
      <c r="AJ192" s="5">
        <f t="shared" si="83"/>
        <v>1</v>
      </c>
    </row>
    <row r="193" spans="1:36" x14ac:dyDescent="0.35">
      <c r="A193" s="7" t="str">
        <f t="shared" si="58"/>
        <v>&lt;contact&gt;&lt;category&gt;0&lt;/category&gt;&lt;person&gt;&lt;realName&gt;Hoofd = Xavier, Secretariaat Thuiszorg Aafje    &lt;/realName&gt;&lt;/person&gt;</v>
      </c>
      <c r="B193" s="7" t="str">
        <f t="shared" si="59"/>
        <v>&lt;telephony nid="1"&gt;&lt;number id="0" prio="1" type="home"&gt;(06) 46 64 25 00&lt;/number&gt;&lt;/telephony&gt;</v>
      </c>
      <c r="C193" s="7" t="str">
        <f t="shared" si="60"/>
        <v>&lt;services /&gt;&lt;setup /&gt;&lt;mod_time&gt;1500000010&lt;/mod_time&gt;&lt;uniqueid&gt;1&lt;/uniqueid&gt;&lt;/contact&gt;</v>
      </c>
      <c r="D193" t="str">
        <f t="shared" si="61"/>
        <v>&lt;contact&gt;&lt;category&gt;0&lt;/category&gt;&lt;person&gt;&lt;realName&gt;Hoofd = Xavier, Secretariaat Thuiszorg Aafje    &lt;/realName&gt;&lt;/person&gt;</v>
      </c>
      <c r="E193" t="str">
        <f t="shared" si="62"/>
        <v>&lt;telephony nid="1"&gt;&lt;number id="0" prio="1" type="home"&gt;(06) 46 64 25 00&lt;/number&gt;&lt;/telephony&gt;</v>
      </c>
      <c r="F193" t="str">
        <f t="shared" si="63"/>
        <v>&lt;telephony nid="1"&gt;</v>
      </c>
      <c r="G193" t="str">
        <f t="shared" si="64"/>
        <v/>
      </c>
      <c r="H193" t="str">
        <f t="shared" si="65"/>
        <v>&lt;services nid="1"&gt;&lt;email id="0" classifier="private"&gt;&lt;/email&gt;&lt;/services&gt;&lt;setup /&gt;&lt;mod_time&gt;1500000010&lt;/mod_time&gt;&lt;uniqueid&gt;1&lt;/uniqueid&gt;&lt;/contact&gt;</v>
      </c>
      <c r="I193" t="str">
        <f t="shared" si="66"/>
        <v>&lt;services /&gt;&lt;setup /&gt;&lt;mod_time&gt;1500000010&lt;/mod_time&gt;&lt;uniqueid&gt;1&lt;/uniqueid&gt;&lt;/contact&gt;</v>
      </c>
      <c r="J193" t="str">
        <f t="shared" si="67"/>
        <v>&lt;services /&gt;&lt;setup /&gt;&lt;mod_time&gt;1500000010&lt;/mod_time&gt;&lt;uniqueid&gt;1&lt;/uniqueid&gt;&lt;/contact&gt;</v>
      </c>
      <c r="K193" s="5">
        <f t="shared" si="68"/>
        <v>0</v>
      </c>
      <c r="L193" s="5">
        <f t="shared" si="69"/>
        <v>0</v>
      </c>
      <c r="M193" s="5" t="str">
        <f>CONCATENATE(+Contacts!E193)</f>
        <v/>
      </c>
      <c r="N193" t="str">
        <f t="shared" si="70"/>
        <v>&lt;number id="0" prio="1" type="home"&gt;(06) 46 64 25 00&lt;/number&gt;</v>
      </c>
      <c r="O193" s="5">
        <f t="shared" si="71"/>
        <v>1</v>
      </c>
      <c r="P193" s="5">
        <f t="shared" si="72"/>
        <v>1</v>
      </c>
      <c r="Q193" s="5" t="str">
        <f>CONCATENATE(+Contacts!G193)</f>
        <v>(06) 46 64 25 00</v>
      </c>
      <c r="R193" t="str">
        <f t="shared" si="73"/>
        <v/>
      </c>
      <c r="S193" s="5">
        <f t="shared" si="74"/>
        <v>1</v>
      </c>
      <c r="T193" s="5">
        <f t="shared" si="75"/>
        <v>1</v>
      </c>
      <c r="U193" s="5" t="str">
        <f>CONCATENATE(+Contacts!H193)</f>
        <v/>
      </c>
      <c r="V193" t="str">
        <f t="shared" si="76"/>
        <v/>
      </c>
      <c r="W193" s="5">
        <f t="shared" si="77"/>
        <v>1</v>
      </c>
      <c r="X193" s="5">
        <f t="shared" si="78"/>
        <v>1</v>
      </c>
      <c r="Y193" s="5" t="str">
        <f>CONCATENATE(+Contacts!F193)</f>
        <v/>
      </c>
      <c r="Z193" s="2" t="str">
        <f t="shared" si="79"/>
        <v xml:space="preserve">Hoofd = Xavier, Secretariaat Thuiszorg Aafje    </v>
      </c>
      <c r="AA193" s="2" t="str">
        <f>CONCATENATE(+Contacts!C193)</f>
        <v>Hoofd = Xavier</v>
      </c>
      <c r="AB193" s="2" t="str">
        <f t="shared" si="80"/>
        <v xml:space="preserve">, </v>
      </c>
      <c r="AC193" s="2" t="str">
        <f>CONCATENATE(+Contacts!A193)</f>
        <v xml:space="preserve">Secretariaat Thuiszorg Aafje </v>
      </c>
      <c r="AD193" s="3" t="str">
        <f>CONCATENATE(" ",+Contacts!B193)</f>
        <v xml:space="preserve"> </v>
      </c>
      <c r="AE193" s="2" t="str">
        <f t="shared" si="81"/>
        <v xml:space="preserve"> </v>
      </c>
      <c r="AF193" s="3" t="str">
        <f>CONCATENATE(+Contacts!D193)</f>
        <v/>
      </c>
      <c r="AG193" s="2" t="str">
        <f t="shared" si="82"/>
        <v xml:space="preserve"> </v>
      </c>
      <c r="AH193" t="str">
        <f>CONCATENATE(+Contacts!I193)</f>
        <v/>
      </c>
      <c r="AI193">
        <v>1500000010</v>
      </c>
      <c r="AJ193" s="5">
        <f t="shared" si="83"/>
        <v>1</v>
      </c>
    </row>
    <row r="194" spans="1:36" x14ac:dyDescent="0.35">
      <c r="A194" s="7" t="str">
        <f t="shared" si="58"/>
        <v>&lt;contact&gt;&lt;category&gt;0&lt;/category&gt;&lt;person&gt;&lt;realName&gt;Hoogerwaard, Jaap   &lt;/realName&gt;&lt;/person&gt;</v>
      </c>
      <c r="B194" s="7" t="str">
        <f t="shared" si="59"/>
        <v>&lt;telephony nid="1"&gt;&lt;number id="0" prio="1" type="home"&gt;+31 102181683&lt;/number&gt;&lt;/telephony&gt;</v>
      </c>
      <c r="C194" s="7" t="str">
        <f t="shared" si="60"/>
        <v>&lt;services /&gt;&lt;setup /&gt;&lt;mod_time&gt;1500000010&lt;/mod_time&gt;&lt;uniqueid&gt;1&lt;/uniqueid&gt;&lt;/contact&gt;</v>
      </c>
      <c r="D194" t="str">
        <f t="shared" si="61"/>
        <v>&lt;contact&gt;&lt;category&gt;0&lt;/category&gt;&lt;person&gt;&lt;realName&gt;Hoogerwaard, Jaap   &lt;/realName&gt;&lt;/person&gt;</v>
      </c>
      <c r="E194" t="str">
        <f t="shared" si="62"/>
        <v>&lt;telephony nid="1"&gt;&lt;number id="0" prio="1" type="home"&gt;+31 102181683&lt;/number&gt;&lt;/telephony&gt;</v>
      </c>
      <c r="F194" t="str">
        <f t="shared" si="63"/>
        <v>&lt;telephony nid="1"&gt;</v>
      </c>
      <c r="G194" t="str">
        <f t="shared" si="64"/>
        <v/>
      </c>
      <c r="H194" t="str">
        <f t="shared" si="65"/>
        <v>&lt;services nid="1"&gt;&lt;email id="0" classifier="private"&gt;&lt;/email&gt;&lt;/services&gt;&lt;setup /&gt;&lt;mod_time&gt;1500000010&lt;/mod_time&gt;&lt;uniqueid&gt;1&lt;/uniqueid&gt;&lt;/contact&gt;</v>
      </c>
      <c r="I194" t="str">
        <f t="shared" si="66"/>
        <v>&lt;services /&gt;&lt;setup /&gt;&lt;mod_time&gt;1500000010&lt;/mod_time&gt;&lt;uniqueid&gt;1&lt;/uniqueid&gt;&lt;/contact&gt;</v>
      </c>
      <c r="J194" t="str">
        <f t="shared" si="67"/>
        <v>&lt;services /&gt;&lt;setup /&gt;&lt;mod_time&gt;1500000010&lt;/mod_time&gt;&lt;uniqueid&gt;1&lt;/uniqueid&gt;&lt;/contact&gt;</v>
      </c>
      <c r="K194" s="5">
        <f t="shared" si="68"/>
        <v>0</v>
      </c>
      <c r="L194" s="5">
        <f t="shared" si="69"/>
        <v>0</v>
      </c>
      <c r="M194" s="5" t="str">
        <f>CONCATENATE(+Contacts!E194)</f>
        <v/>
      </c>
      <c r="N194" t="str">
        <f t="shared" si="70"/>
        <v>&lt;number id="0" prio="1" type="home"&gt;+31 102181683&lt;/number&gt;</v>
      </c>
      <c r="O194" s="5">
        <f t="shared" si="71"/>
        <v>1</v>
      </c>
      <c r="P194" s="5">
        <f t="shared" si="72"/>
        <v>1</v>
      </c>
      <c r="Q194" s="5" t="str">
        <f>CONCATENATE(+Contacts!G194)</f>
        <v>+31 102181683</v>
      </c>
      <c r="R194" t="str">
        <f t="shared" si="73"/>
        <v/>
      </c>
      <c r="S194" s="5">
        <f t="shared" si="74"/>
        <v>1</v>
      </c>
      <c r="T194" s="5">
        <f t="shared" si="75"/>
        <v>1</v>
      </c>
      <c r="U194" s="5" t="str">
        <f>CONCATENATE(+Contacts!H194)</f>
        <v/>
      </c>
      <c r="V194" t="str">
        <f t="shared" si="76"/>
        <v/>
      </c>
      <c r="W194" s="5">
        <f t="shared" si="77"/>
        <v>1</v>
      </c>
      <c r="X194" s="5">
        <f t="shared" si="78"/>
        <v>1</v>
      </c>
      <c r="Y194" s="5" t="str">
        <f>CONCATENATE(+Contacts!F194)</f>
        <v/>
      </c>
      <c r="Z194" s="2" t="str">
        <f t="shared" si="79"/>
        <v xml:space="preserve">Hoogerwaard, Jaap   </v>
      </c>
      <c r="AA194" s="2" t="str">
        <f>CONCATENATE(+Contacts!C194)</f>
        <v>Hoogerwaard</v>
      </c>
      <c r="AB194" s="2" t="str">
        <f t="shared" si="80"/>
        <v xml:space="preserve">, </v>
      </c>
      <c r="AC194" s="2" t="str">
        <f>CONCATENATE(+Contacts!A194)</f>
        <v>Jaap</v>
      </c>
      <c r="AD194" s="3" t="str">
        <f>CONCATENATE(" ",+Contacts!B194)</f>
        <v xml:space="preserve"> </v>
      </c>
      <c r="AE194" s="2" t="str">
        <f t="shared" si="81"/>
        <v xml:space="preserve"> </v>
      </c>
      <c r="AF194" s="3" t="str">
        <f>CONCATENATE(+Contacts!D194)</f>
        <v/>
      </c>
      <c r="AG194" s="2" t="str">
        <f t="shared" si="82"/>
        <v xml:space="preserve"> </v>
      </c>
      <c r="AH194" t="str">
        <f>CONCATENATE(+Contacts!I194)</f>
        <v/>
      </c>
      <c r="AI194">
        <v>1500000010</v>
      </c>
      <c r="AJ194" s="5">
        <f t="shared" si="83"/>
        <v>1</v>
      </c>
    </row>
    <row r="195" spans="1:36" x14ac:dyDescent="0.35">
      <c r="A195" s="7" t="str">
        <f t="shared" ref="A195:A258" si="84">IF(+W195 = 0,"",+D195)</f>
        <v>&lt;contact&gt;&lt;category&gt;0&lt;/category&gt;&lt;person&gt;&lt;realName&gt;Hooven-Renes, Marjan van den  &lt;/realName&gt;&lt;/person&gt;</v>
      </c>
      <c r="B195" s="7" t="str">
        <f t="shared" ref="B195:B258" si="85">IF(+W195 = 0,"",+E195)</f>
        <v>&lt;telephony nid="2"&gt;&lt;number id="0" prio="1" type="home"&gt;+31 153693098&lt;/number&gt;&lt;number id="1" prio="0" type="mobile"&gt;+31 612579877&lt;/number&gt;&lt;/telephony&gt;</v>
      </c>
      <c r="C195" s="7" t="str">
        <f t="shared" ref="C195:C258" si="86">IF(+W195 = 0,"",+J195)</f>
        <v>&lt;services nid="1"&gt;&lt;email id="0" classifier="private"&gt;mcvdhoovenrenes@hotmail.com&lt;/email&gt;&lt;/services&gt;&lt;setup /&gt;&lt;mod_time&gt;1500000010&lt;/mod_time&gt;&lt;uniqueid&gt;1&lt;/uniqueid&gt;&lt;/contact&gt;</v>
      </c>
      <c r="D195" t="str">
        <f t="shared" ref="D195:D258" si="87">CONCATENATE("&lt;contact&gt;&lt;category&gt;0&lt;/category&gt;&lt;person&gt;&lt;realName&gt;",+Z195,"&lt;/realName&gt;&lt;/person&gt;")</f>
        <v>&lt;contact&gt;&lt;category&gt;0&lt;/category&gt;&lt;person&gt;&lt;realName&gt;Hooven-Renes, Marjan van den  &lt;/realName&gt;&lt;/person&gt;</v>
      </c>
      <c r="E195" t="str">
        <f t="shared" ref="E195:E258" si="88">CONCATENATE(+F195,+G195,+N195,+R195,+V195,"&lt;/telephony&gt;")</f>
        <v>&lt;telephony nid="2"&gt;&lt;number id="0" prio="1" type="home"&gt;+31 153693098&lt;/number&gt;&lt;number id="1" prio="0" type="mobile"&gt;+31 612579877&lt;/number&gt;&lt;/telephony&gt;</v>
      </c>
      <c r="F195" t="str">
        <f t="shared" ref="F195:F258" si="89">CONCATENATE("&lt;telephony nid=""",+W195,"""&gt;")</f>
        <v>&lt;telephony nid="2"&gt;</v>
      </c>
      <c r="G195" t="str">
        <f t="shared" ref="G195:G258" si="90">IF(+K195 &gt; 0,+CONCATENATE("&lt;number id=""",+K195-1,""" prio=""",+L195,""" type=""work""&gt;",+M195,"&lt;/number&gt;"),"")</f>
        <v/>
      </c>
      <c r="H195" t="str">
        <f t="shared" ref="H195:H258" si="91">CONCATENATE("&lt;services nid=""1""&gt;&lt;email id=""0"" classifier=""private""&gt;",+AH195,"&lt;/email&gt;&lt;/services&gt;&lt;setup /&gt;&lt;mod_time&gt;",+AI195,"&lt;/mod_time&gt;&lt;uniqueid&gt;",+AJ195,"&lt;/uniqueid&gt;&lt;/contact&gt;")</f>
        <v>&lt;services nid="1"&gt;&lt;email id="0" classifier="private"&gt;mcvdhoovenrenes@hotmail.com&lt;/email&gt;&lt;/services&gt;&lt;setup /&gt;&lt;mod_time&gt;1500000010&lt;/mod_time&gt;&lt;uniqueid&gt;1&lt;/uniqueid&gt;&lt;/contact&gt;</v>
      </c>
      <c r="I195" t="str">
        <f t="shared" ref="I195:I258" si="92">CONCATENATE("&lt;services /&gt;&lt;setup /&gt;&lt;mod_time&gt;",+AI195,"&lt;/mod_time&gt;&lt;uniqueid&gt;",+AJ195,"&lt;/uniqueid&gt;&lt;/contact&gt;")</f>
        <v>&lt;services /&gt;&lt;setup /&gt;&lt;mod_time&gt;1500000010&lt;/mod_time&gt;&lt;uniqueid&gt;1&lt;/uniqueid&gt;&lt;/contact&gt;</v>
      </c>
      <c r="J195" t="str">
        <f t="shared" ref="J195:J258" si="93">+IF(+AH195 = "",+I195,+H195)</f>
        <v>&lt;services nid="1"&gt;&lt;email id="0" classifier="private"&gt;mcvdhoovenrenes@hotmail.com&lt;/email&gt;&lt;/services&gt;&lt;setup /&gt;&lt;mod_time&gt;1500000010&lt;/mod_time&gt;&lt;uniqueid&gt;1&lt;/uniqueid&gt;&lt;/contact&gt;</v>
      </c>
      <c r="K195" s="5">
        <f t="shared" ref="K195:K258" si="94">IF(+M195 = "",0,1)</f>
        <v>0</v>
      </c>
      <c r="L195" s="5">
        <f t="shared" ref="L195:L258" si="95">IF(+K195 = 1,1,0)</f>
        <v>0</v>
      </c>
      <c r="M195" s="5" t="str">
        <f>CONCATENATE(+Contacts!E195)</f>
        <v/>
      </c>
      <c r="N195" t="str">
        <f t="shared" ref="N195:N258" si="96">IF(+O195 &gt; +K195,+CONCATENATE("&lt;number id=""",+O195-1,""" prio=""",+P195,""" type=""home""&gt;",+Q195,"&lt;/number&gt;"),"")</f>
        <v>&lt;number id="0" prio="1" type="home"&gt;+31 153693098&lt;/number&gt;</v>
      </c>
      <c r="O195" s="5">
        <f t="shared" ref="O195:O258" si="97">IF(+Q195 = "",+K195,+K195+1)</f>
        <v>1</v>
      </c>
      <c r="P195" s="5">
        <f t="shared" ref="P195:P258" si="98">IF(+O195 = 1,1,0)</f>
        <v>1</v>
      </c>
      <c r="Q195" s="5" t="str">
        <f>CONCATENATE(+Contacts!G195)</f>
        <v>+31 153693098</v>
      </c>
      <c r="R195" t="str">
        <f t="shared" ref="R195:R258" si="99">IF(+S195 &gt; +O195,+CONCATENATE("&lt;number id=""",+S195-1,""" prio=""",+T195,""" type=""mobile""&gt;",+U195,"&lt;/number&gt;"),"")</f>
        <v>&lt;number id="1" prio="0" type="mobile"&gt;+31 612579877&lt;/number&gt;</v>
      </c>
      <c r="S195" s="5">
        <f t="shared" ref="S195:S258" si="100">IF(+U195 = "",+O195,+O195+1)</f>
        <v>2</v>
      </c>
      <c r="T195" s="5">
        <f t="shared" ref="T195:T258" si="101">IF(+S195 = 1,1,0)</f>
        <v>0</v>
      </c>
      <c r="U195" s="5" t="str">
        <f>CONCATENATE(+Contacts!H195)</f>
        <v>+31 612579877</v>
      </c>
      <c r="V195" t="str">
        <f t="shared" ref="V195:V258" si="102">IF(+W195 &gt; +S195,+CONCATENATE("&lt;number id=""",+W195-1,""" prio=""",+X195,""" type=""work""&gt;",+Y195,"&lt;/number&gt;"),"")</f>
        <v/>
      </c>
      <c r="W195" s="5">
        <f t="shared" ref="W195:W258" si="103">IF(+Y195 = "",+S195,+S195+1)</f>
        <v>2</v>
      </c>
      <c r="X195" s="5">
        <f t="shared" ref="X195:X258" si="104">IF(+W195 = 1,1,0)</f>
        <v>0</v>
      </c>
      <c r="Y195" s="5" t="str">
        <f>CONCATENATE(+Contacts!F195)</f>
        <v/>
      </c>
      <c r="Z195" s="2" t="str">
        <f t="shared" ref="Z195:Z258" si="105">CONCATENATE(+AA195,+AB195,+AC195,+AD195,+AE195,+AF195,+AG195)</f>
        <v xml:space="preserve">Hooven-Renes, Marjan van den  </v>
      </c>
      <c r="AA195" s="2" t="str">
        <f>CONCATENATE(+Contacts!C195)</f>
        <v>Hooven-Renes</v>
      </c>
      <c r="AB195" s="2" t="str">
        <f t="shared" ref="AB195:AB258" si="106">IF(+AC195 = ""," ",", ")</f>
        <v xml:space="preserve">, </v>
      </c>
      <c r="AC195" s="2" t="str">
        <f>CONCATENATE(+Contacts!A195)</f>
        <v>Marjan</v>
      </c>
      <c r="AD195" s="3" t="str">
        <f>CONCATENATE(" ",+Contacts!B195)</f>
        <v xml:space="preserve"> van den</v>
      </c>
      <c r="AE195" s="2" t="str">
        <f t="shared" ref="AE195:AE258" si="107">IF(+AF195 = ""," ","(")</f>
        <v xml:space="preserve"> </v>
      </c>
      <c r="AF195" s="3" t="str">
        <f>CONCATENATE(+Contacts!D195)</f>
        <v/>
      </c>
      <c r="AG195" s="2" t="str">
        <f t="shared" ref="AG195:AG258" si="108">IF(+AF195 = ""," ",")")</f>
        <v xml:space="preserve"> </v>
      </c>
      <c r="AH195" t="str">
        <f>CONCATENATE(+Contacts!I195)</f>
        <v>mcvdhoovenrenes@hotmail.com</v>
      </c>
      <c r="AI195">
        <v>1500000010</v>
      </c>
      <c r="AJ195" s="5">
        <f t="shared" ref="AJ195:AJ258" si="109">IF(+W195 = 0,0,1)</f>
        <v>1</v>
      </c>
    </row>
    <row r="196" spans="1:36" x14ac:dyDescent="0.35">
      <c r="A196" s="7" t="str">
        <f t="shared" si="84"/>
        <v>&lt;contact&gt;&lt;category&gt;0&lt;/category&gt;&lt;person&gt;&lt;realName&gt;Hooven, Daniëlle van den  &lt;/realName&gt;&lt;/person&gt;</v>
      </c>
      <c r="B196" s="7" t="str">
        <f t="shared" si="85"/>
        <v>&lt;telephony nid="1"&gt;&lt;number id="0" prio="1" type="mobile"&gt;+31 616174010&lt;/number&gt;&lt;/telephony&gt;</v>
      </c>
      <c r="C196" s="7" t="str">
        <f t="shared" si="86"/>
        <v>&lt;services nid="1"&gt;&lt;email id="0" classifier="private"&gt;daniellevdhooven@gmail.com&lt;/email&gt;&lt;/services&gt;&lt;setup /&gt;&lt;mod_time&gt;1500000010&lt;/mod_time&gt;&lt;uniqueid&gt;1&lt;/uniqueid&gt;&lt;/contact&gt;</v>
      </c>
      <c r="D196" t="str">
        <f t="shared" si="87"/>
        <v>&lt;contact&gt;&lt;category&gt;0&lt;/category&gt;&lt;person&gt;&lt;realName&gt;Hooven, Daniëlle van den  &lt;/realName&gt;&lt;/person&gt;</v>
      </c>
      <c r="E196" t="str">
        <f t="shared" si="88"/>
        <v>&lt;telephony nid="1"&gt;&lt;number id="0" prio="1" type="mobile"&gt;+31 616174010&lt;/number&gt;&lt;/telephony&gt;</v>
      </c>
      <c r="F196" t="str">
        <f t="shared" si="89"/>
        <v>&lt;telephony nid="1"&gt;</v>
      </c>
      <c r="G196" t="str">
        <f t="shared" si="90"/>
        <v/>
      </c>
      <c r="H196" t="str">
        <f t="shared" si="91"/>
        <v>&lt;services nid="1"&gt;&lt;email id="0" classifier="private"&gt;daniellevdhooven@gmail.com&lt;/email&gt;&lt;/services&gt;&lt;setup /&gt;&lt;mod_time&gt;1500000010&lt;/mod_time&gt;&lt;uniqueid&gt;1&lt;/uniqueid&gt;&lt;/contact&gt;</v>
      </c>
      <c r="I196" t="str">
        <f t="shared" si="92"/>
        <v>&lt;services /&gt;&lt;setup /&gt;&lt;mod_time&gt;1500000010&lt;/mod_time&gt;&lt;uniqueid&gt;1&lt;/uniqueid&gt;&lt;/contact&gt;</v>
      </c>
      <c r="J196" t="str">
        <f t="shared" si="93"/>
        <v>&lt;services nid="1"&gt;&lt;email id="0" classifier="private"&gt;daniellevdhooven@gmail.com&lt;/email&gt;&lt;/services&gt;&lt;setup /&gt;&lt;mod_time&gt;1500000010&lt;/mod_time&gt;&lt;uniqueid&gt;1&lt;/uniqueid&gt;&lt;/contact&gt;</v>
      </c>
      <c r="K196" s="5">
        <f t="shared" si="94"/>
        <v>0</v>
      </c>
      <c r="L196" s="5">
        <f t="shared" si="95"/>
        <v>0</v>
      </c>
      <c r="M196" s="5" t="str">
        <f>CONCATENATE(+Contacts!E196)</f>
        <v/>
      </c>
      <c r="N196" t="str">
        <f t="shared" si="96"/>
        <v/>
      </c>
      <c r="O196" s="5">
        <f t="shared" si="97"/>
        <v>0</v>
      </c>
      <c r="P196" s="5">
        <f t="shared" si="98"/>
        <v>0</v>
      </c>
      <c r="Q196" s="5" t="str">
        <f>CONCATENATE(+Contacts!G196)</f>
        <v/>
      </c>
      <c r="R196" t="str">
        <f t="shared" si="99"/>
        <v>&lt;number id="0" prio="1" type="mobile"&gt;+31 616174010&lt;/number&gt;</v>
      </c>
      <c r="S196" s="5">
        <f t="shared" si="100"/>
        <v>1</v>
      </c>
      <c r="T196" s="5">
        <f t="shared" si="101"/>
        <v>1</v>
      </c>
      <c r="U196" s="5" t="str">
        <f>CONCATENATE(+Contacts!H196)</f>
        <v>+31 616174010</v>
      </c>
      <c r="V196" t="str">
        <f t="shared" si="102"/>
        <v/>
      </c>
      <c r="W196" s="5">
        <f t="shared" si="103"/>
        <v>1</v>
      </c>
      <c r="X196" s="5">
        <f t="shared" si="104"/>
        <v>1</v>
      </c>
      <c r="Y196" s="5" t="str">
        <f>CONCATENATE(+Contacts!F196)</f>
        <v/>
      </c>
      <c r="Z196" s="2" t="str">
        <f t="shared" si="105"/>
        <v xml:space="preserve">Hooven, Daniëlle van den  </v>
      </c>
      <c r="AA196" s="2" t="str">
        <f>CONCATENATE(+Contacts!C196)</f>
        <v>Hooven</v>
      </c>
      <c r="AB196" s="2" t="str">
        <f t="shared" si="106"/>
        <v xml:space="preserve">, </v>
      </c>
      <c r="AC196" s="2" t="str">
        <f>CONCATENATE(+Contacts!A196)</f>
        <v>Daniëlle</v>
      </c>
      <c r="AD196" s="3" t="str">
        <f>CONCATENATE(" ",+Contacts!B196)</f>
        <v xml:space="preserve"> van den</v>
      </c>
      <c r="AE196" s="2" t="str">
        <f t="shared" si="107"/>
        <v xml:space="preserve"> </v>
      </c>
      <c r="AF196" s="3" t="str">
        <f>CONCATENATE(+Contacts!D196)</f>
        <v/>
      </c>
      <c r="AG196" s="2" t="str">
        <f t="shared" si="108"/>
        <v xml:space="preserve"> </v>
      </c>
      <c r="AH196" t="str">
        <f>CONCATENATE(+Contacts!I196)</f>
        <v>daniellevdhooven@gmail.com</v>
      </c>
      <c r="AI196">
        <v>1500000010</v>
      </c>
      <c r="AJ196" s="5">
        <f t="shared" si="109"/>
        <v>1</v>
      </c>
    </row>
    <row r="197" spans="1:36" x14ac:dyDescent="0.35">
      <c r="A197" s="7" t="str">
        <f t="shared" si="84"/>
        <v>&lt;contact&gt;&lt;category&gt;0&lt;/category&gt;&lt;person&gt;&lt;realName&gt;Hooven, Hans van den  &lt;/realName&gt;&lt;/person&gt;</v>
      </c>
      <c r="B197" s="7" t="str">
        <f t="shared" si="85"/>
        <v>&lt;telephony nid="1"&gt;&lt;number id="0" prio="1" type="home"&gt;+31 104614183&lt;/number&gt;&lt;/telephony&gt;</v>
      </c>
      <c r="C197" s="7" t="str">
        <f t="shared" si="86"/>
        <v>&lt;services nid="1"&gt;&lt;email id="0" classifier="private"&gt;h.hooven@upcmail.nl&lt;/email&gt;&lt;/services&gt;&lt;setup /&gt;&lt;mod_time&gt;1500000010&lt;/mod_time&gt;&lt;uniqueid&gt;1&lt;/uniqueid&gt;&lt;/contact&gt;</v>
      </c>
      <c r="D197" t="str">
        <f t="shared" si="87"/>
        <v>&lt;contact&gt;&lt;category&gt;0&lt;/category&gt;&lt;person&gt;&lt;realName&gt;Hooven, Hans van den  &lt;/realName&gt;&lt;/person&gt;</v>
      </c>
      <c r="E197" t="str">
        <f t="shared" si="88"/>
        <v>&lt;telephony nid="1"&gt;&lt;number id="0" prio="1" type="home"&gt;+31 104614183&lt;/number&gt;&lt;/telephony&gt;</v>
      </c>
      <c r="F197" t="str">
        <f t="shared" si="89"/>
        <v>&lt;telephony nid="1"&gt;</v>
      </c>
      <c r="G197" t="str">
        <f t="shared" si="90"/>
        <v/>
      </c>
      <c r="H197" t="str">
        <f t="shared" si="91"/>
        <v>&lt;services nid="1"&gt;&lt;email id="0" classifier="private"&gt;h.hooven@upcmail.nl&lt;/email&gt;&lt;/services&gt;&lt;setup /&gt;&lt;mod_time&gt;1500000010&lt;/mod_time&gt;&lt;uniqueid&gt;1&lt;/uniqueid&gt;&lt;/contact&gt;</v>
      </c>
      <c r="I197" t="str">
        <f t="shared" si="92"/>
        <v>&lt;services /&gt;&lt;setup /&gt;&lt;mod_time&gt;1500000010&lt;/mod_time&gt;&lt;uniqueid&gt;1&lt;/uniqueid&gt;&lt;/contact&gt;</v>
      </c>
      <c r="J197" t="str">
        <f t="shared" si="93"/>
        <v>&lt;services nid="1"&gt;&lt;email id="0" classifier="private"&gt;h.hooven@upcmail.nl&lt;/email&gt;&lt;/services&gt;&lt;setup /&gt;&lt;mod_time&gt;1500000010&lt;/mod_time&gt;&lt;uniqueid&gt;1&lt;/uniqueid&gt;&lt;/contact&gt;</v>
      </c>
      <c r="K197" s="5">
        <f t="shared" si="94"/>
        <v>0</v>
      </c>
      <c r="L197" s="5">
        <f t="shared" si="95"/>
        <v>0</v>
      </c>
      <c r="M197" s="5" t="str">
        <f>CONCATENATE(+Contacts!E197)</f>
        <v/>
      </c>
      <c r="N197" t="str">
        <f t="shared" si="96"/>
        <v>&lt;number id="0" prio="1" type="home"&gt;+31 104614183&lt;/number&gt;</v>
      </c>
      <c r="O197" s="5">
        <f t="shared" si="97"/>
        <v>1</v>
      </c>
      <c r="P197" s="5">
        <f t="shared" si="98"/>
        <v>1</v>
      </c>
      <c r="Q197" s="5" t="str">
        <f>CONCATENATE(+Contacts!G197)</f>
        <v>+31 104614183</v>
      </c>
      <c r="R197" t="str">
        <f t="shared" si="99"/>
        <v/>
      </c>
      <c r="S197" s="5">
        <f t="shared" si="100"/>
        <v>1</v>
      </c>
      <c r="T197" s="5">
        <f t="shared" si="101"/>
        <v>1</v>
      </c>
      <c r="U197" s="5" t="str">
        <f>CONCATENATE(+Contacts!H197)</f>
        <v/>
      </c>
      <c r="V197" t="str">
        <f t="shared" si="102"/>
        <v/>
      </c>
      <c r="W197" s="5">
        <f t="shared" si="103"/>
        <v>1</v>
      </c>
      <c r="X197" s="5">
        <f t="shared" si="104"/>
        <v>1</v>
      </c>
      <c r="Y197" s="5" t="str">
        <f>CONCATENATE(+Contacts!F197)</f>
        <v/>
      </c>
      <c r="Z197" s="2" t="str">
        <f t="shared" si="105"/>
        <v xml:space="preserve">Hooven, Hans van den  </v>
      </c>
      <c r="AA197" s="2" t="str">
        <f>CONCATENATE(+Contacts!C197)</f>
        <v>Hooven</v>
      </c>
      <c r="AB197" s="2" t="str">
        <f t="shared" si="106"/>
        <v xml:space="preserve">, </v>
      </c>
      <c r="AC197" s="2" t="str">
        <f>CONCATENATE(+Contacts!A197)</f>
        <v>Hans</v>
      </c>
      <c r="AD197" s="3" t="str">
        <f>CONCATENATE(" ",+Contacts!B197)</f>
        <v xml:space="preserve"> van den</v>
      </c>
      <c r="AE197" s="2" t="str">
        <f t="shared" si="107"/>
        <v xml:space="preserve"> </v>
      </c>
      <c r="AF197" s="3" t="str">
        <f>CONCATENATE(+Contacts!D197)</f>
        <v/>
      </c>
      <c r="AG197" s="2" t="str">
        <f t="shared" si="108"/>
        <v xml:space="preserve"> </v>
      </c>
      <c r="AH197" t="str">
        <f>CONCATENATE(+Contacts!I197)</f>
        <v>h.hooven@upcmail.nl</v>
      </c>
      <c r="AI197">
        <v>1500000010</v>
      </c>
      <c r="AJ197" s="5">
        <f t="shared" si="109"/>
        <v>1</v>
      </c>
    </row>
    <row r="198" spans="1:36" x14ac:dyDescent="0.35">
      <c r="A198" s="7" t="str">
        <f t="shared" si="84"/>
        <v>&lt;contact&gt;&lt;category&gt;0&lt;/category&gt;&lt;person&gt;&lt;realName&gt;Hooven, Hans &amp;amp; Jacqueline van den  &lt;/realName&gt;&lt;/person&gt;</v>
      </c>
      <c r="B198" s="7" t="str">
        <f t="shared" si="85"/>
        <v>&lt;telephony nid="1"&gt;&lt;number id="0" prio="1" type="home"&gt;+31 104614183&lt;/number&gt;&lt;/telephony&gt;</v>
      </c>
      <c r="C198" s="7" t="str">
        <f t="shared" si="86"/>
        <v>&lt;services nid="1"&gt;&lt;email id="0" classifier="private"&gt;h.hooven@upcmail.nl&lt;/email&gt;&lt;/services&gt;&lt;setup /&gt;&lt;mod_time&gt;1500000010&lt;/mod_time&gt;&lt;uniqueid&gt;1&lt;/uniqueid&gt;&lt;/contact&gt;</v>
      </c>
      <c r="D198" t="str">
        <f t="shared" si="87"/>
        <v>&lt;contact&gt;&lt;category&gt;0&lt;/category&gt;&lt;person&gt;&lt;realName&gt;Hooven, Hans &amp;amp; Jacqueline van den  &lt;/realName&gt;&lt;/person&gt;</v>
      </c>
      <c r="E198" t="str">
        <f t="shared" si="88"/>
        <v>&lt;telephony nid="1"&gt;&lt;number id="0" prio="1" type="home"&gt;+31 104614183&lt;/number&gt;&lt;/telephony&gt;</v>
      </c>
      <c r="F198" t="str">
        <f t="shared" si="89"/>
        <v>&lt;telephony nid="1"&gt;</v>
      </c>
      <c r="G198" t="str">
        <f t="shared" si="90"/>
        <v/>
      </c>
      <c r="H198" t="str">
        <f t="shared" si="91"/>
        <v>&lt;services nid="1"&gt;&lt;email id="0" classifier="private"&gt;h.hooven@upcmail.nl&lt;/email&gt;&lt;/services&gt;&lt;setup /&gt;&lt;mod_time&gt;1500000010&lt;/mod_time&gt;&lt;uniqueid&gt;1&lt;/uniqueid&gt;&lt;/contact&gt;</v>
      </c>
      <c r="I198" t="str">
        <f t="shared" si="92"/>
        <v>&lt;services /&gt;&lt;setup /&gt;&lt;mod_time&gt;1500000010&lt;/mod_time&gt;&lt;uniqueid&gt;1&lt;/uniqueid&gt;&lt;/contact&gt;</v>
      </c>
      <c r="J198" t="str">
        <f t="shared" si="93"/>
        <v>&lt;services nid="1"&gt;&lt;email id="0" classifier="private"&gt;h.hooven@upcmail.nl&lt;/email&gt;&lt;/services&gt;&lt;setup /&gt;&lt;mod_time&gt;1500000010&lt;/mod_time&gt;&lt;uniqueid&gt;1&lt;/uniqueid&gt;&lt;/contact&gt;</v>
      </c>
      <c r="K198" s="5">
        <f t="shared" si="94"/>
        <v>0</v>
      </c>
      <c r="L198" s="5">
        <f t="shared" si="95"/>
        <v>0</v>
      </c>
      <c r="M198" s="5" t="str">
        <f>CONCATENATE(+Contacts!E198)</f>
        <v/>
      </c>
      <c r="N198" t="str">
        <f t="shared" si="96"/>
        <v>&lt;number id="0" prio="1" type="home"&gt;+31 104614183&lt;/number&gt;</v>
      </c>
      <c r="O198" s="5">
        <f t="shared" si="97"/>
        <v>1</v>
      </c>
      <c r="P198" s="5">
        <f t="shared" si="98"/>
        <v>1</v>
      </c>
      <c r="Q198" s="5" t="str">
        <f>CONCATENATE(+Contacts!G198)</f>
        <v>+31 104614183</v>
      </c>
      <c r="R198" t="str">
        <f t="shared" si="99"/>
        <v/>
      </c>
      <c r="S198" s="5">
        <f t="shared" si="100"/>
        <v>1</v>
      </c>
      <c r="T198" s="5">
        <f t="shared" si="101"/>
        <v>1</v>
      </c>
      <c r="U198" s="5" t="str">
        <f>CONCATENATE(+Contacts!H198)</f>
        <v/>
      </c>
      <c r="V198" t="str">
        <f t="shared" si="102"/>
        <v/>
      </c>
      <c r="W198" s="5">
        <f t="shared" si="103"/>
        <v>1</v>
      </c>
      <c r="X198" s="5">
        <f t="shared" si="104"/>
        <v>1</v>
      </c>
      <c r="Y198" s="5" t="str">
        <f>CONCATENATE(+Contacts!F198)</f>
        <v/>
      </c>
      <c r="Z198" s="2" t="str">
        <f t="shared" si="105"/>
        <v xml:space="preserve">Hooven, Hans &amp;amp; Jacqueline van den  </v>
      </c>
      <c r="AA198" s="2" t="str">
        <f>CONCATENATE(+Contacts!C198)</f>
        <v>Hooven</v>
      </c>
      <c r="AB198" s="2" t="str">
        <f t="shared" si="106"/>
        <v xml:space="preserve">, </v>
      </c>
      <c r="AC198" s="2" t="str">
        <f>CONCATENATE(+Contacts!A198)</f>
        <v>Hans &amp;amp; Jacqueline</v>
      </c>
      <c r="AD198" s="3" t="str">
        <f>CONCATENATE(" ",+Contacts!B198)</f>
        <v xml:space="preserve"> van den</v>
      </c>
      <c r="AE198" s="2" t="str">
        <f t="shared" si="107"/>
        <v xml:space="preserve"> </v>
      </c>
      <c r="AF198" s="3" t="str">
        <f>CONCATENATE(+Contacts!D198)</f>
        <v/>
      </c>
      <c r="AG198" s="2" t="str">
        <f t="shared" si="108"/>
        <v xml:space="preserve"> </v>
      </c>
      <c r="AH198" t="str">
        <f>CONCATENATE(+Contacts!I198)</f>
        <v>h.hooven@upcmail.nl</v>
      </c>
      <c r="AI198">
        <v>1500000010</v>
      </c>
      <c r="AJ198" s="5">
        <f t="shared" si="109"/>
        <v>1</v>
      </c>
    </row>
    <row r="199" spans="1:36" x14ac:dyDescent="0.35">
      <c r="A199" s="7" t="str">
        <f t="shared" si="84"/>
        <v>&lt;contact&gt;&lt;category&gt;0&lt;/category&gt;&lt;person&gt;&lt;realName&gt;Hooven, Jacqueline van den  &lt;/realName&gt;&lt;/person&gt;</v>
      </c>
      <c r="B199" s="7" t="str">
        <f t="shared" si="85"/>
        <v>&lt;telephony nid="2"&gt;&lt;number id="0" prio="1" type="home"&gt;+31 104614183&lt;/number&gt;&lt;number id="1" prio="0" type="mobile"&gt;+31 641014441&lt;/number&gt;&lt;/telephony&gt;</v>
      </c>
      <c r="C199" s="7" t="str">
        <f t="shared" si="86"/>
        <v>&lt;services nid="1"&gt;&lt;email id="0" classifier="private"&gt;jacqhoov@hotmail.com&lt;/email&gt;&lt;/services&gt;&lt;setup /&gt;&lt;mod_time&gt;1500000010&lt;/mod_time&gt;&lt;uniqueid&gt;1&lt;/uniqueid&gt;&lt;/contact&gt;</v>
      </c>
      <c r="D199" t="str">
        <f t="shared" si="87"/>
        <v>&lt;contact&gt;&lt;category&gt;0&lt;/category&gt;&lt;person&gt;&lt;realName&gt;Hooven, Jacqueline van den  &lt;/realName&gt;&lt;/person&gt;</v>
      </c>
      <c r="E199" t="str">
        <f t="shared" si="88"/>
        <v>&lt;telephony nid="2"&gt;&lt;number id="0" prio="1" type="home"&gt;+31 104614183&lt;/number&gt;&lt;number id="1" prio="0" type="mobile"&gt;+31 641014441&lt;/number&gt;&lt;/telephony&gt;</v>
      </c>
      <c r="F199" t="str">
        <f t="shared" si="89"/>
        <v>&lt;telephony nid="2"&gt;</v>
      </c>
      <c r="G199" t="str">
        <f t="shared" si="90"/>
        <v/>
      </c>
      <c r="H199" t="str">
        <f t="shared" si="91"/>
        <v>&lt;services nid="1"&gt;&lt;email id="0" classifier="private"&gt;jacqhoov@hotmail.com&lt;/email&gt;&lt;/services&gt;&lt;setup /&gt;&lt;mod_time&gt;1500000010&lt;/mod_time&gt;&lt;uniqueid&gt;1&lt;/uniqueid&gt;&lt;/contact&gt;</v>
      </c>
      <c r="I199" t="str">
        <f t="shared" si="92"/>
        <v>&lt;services /&gt;&lt;setup /&gt;&lt;mod_time&gt;1500000010&lt;/mod_time&gt;&lt;uniqueid&gt;1&lt;/uniqueid&gt;&lt;/contact&gt;</v>
      </c>
      <c r="J199" t="str">
        <f t="shared" si="93"/>
        <v>&lt;services nid="1"&gt;&lt;email id="0" classifier="private"&gt;jacqhoov@hotmail.com&lt;/email&gt;&lt;/services&gt;&lt;setup /&gt;&lt;mod_time&gt;1500000010&lt;/mod_time&gt;&lt;uniqueid&gt;1&lt;/uniqueid&gt;&lt;/contact&gt;</v>
      </c>
      <c r="K199" s="5">
        <f t="shared" si="94"/>
        <v>0</v>
      </c>
      <c r="L199" s="5">
        <f t="shared" si="95"/>
        <v>0</v>
      </c>
      <c r="M199" s="5" t="str">
        <f>CONCATENATE(+Contacts!E199)</f>
        <v/>
      </c>
      <c r="N199" t="str">
        <f t="shared" si="96"/>
        <v>&lt;number id="0" prio="1" type="home"&gt;+31 104614183&lt;/number&gt;</v>
      </c>
      <c r="O199" s="5">
        <f t="shared" si="97"/>
        <v>1</v>
      </c>
      <c r="P199" s="5">
        <f t="shared" si="98"/>
        <v>1</v>
      </c>
      <c r="Q199" s="5" t="str">
        <f>CONCATENATE(+Contacts!G199)</f>
        <v>+31 104614183</v>
      </c>
      <c r="R199" t="str">
        <f t="shared" si="99"/>
        <v>&lt;number id="1" prio="0" type="mobile"&gt;+31 641014441&lt;/number&gt;</v>
      </c>
      <c r="S199" s="5">
        <f t="shared" si="100"/>
        <v>2</v>
      </c>
      <c r="T199" s="5">
        <f t="shared" si="101"/>
        <v>0</v>
      </c>
      <c r="U199" s="5" t="str">
        <f>CONCATENATE(+Contacts!H199)</f>
        <v>+31 641014441</v>
      </c>
      <c r="V199" t="str">
        <f t="shared" si="102"/>
        <v/>
      </c>
      <c r="W199" s="5">
        <f t="shared" si="103"/>
        <v>2</v>
      </c>
      <c r="X199" s="5">
        <f t="shared" si="104"/>
        <v>0</v>
      </c>
      <c r="Y199" s="5" t="str">
        <f>CONCATENATE(+Contacts!F199)</f>
        <v/>
      </c>
      <c r="Z199" s="2" t="str">
        <f t="shared" si="105"/>
        <v xml:space="preserve">Hooven, Jacqueline van den  </v>
      </c>
      <c r="AA199" s="2" t="str">
        <f>CONCATENATE(+Contacts!C199)</f>
        <v>Hooven</v>
      </c>
      <c r="AB199" s="2" t="str">
        <f t="shared" si="106"/>
        <v xml:space="preserve">, </v>
      </c>
      <c r="AC199" s="2" t="str">
        <f>CONCATENATE(+Contacts!A199)</f>
        <v>Jacqueline</v>
      </c>
      <c r="AD199" s="3" t="str">
        <f>CONCATENATE(" ",+Contacts!B199)</f>
        <v xml:space="preserve"> van den</v>
      </c>
      <c r="AE199" s="2" t="str">
        <f t="shared" si="107"/>
        <v xml:space="preserve"> </v>
      </c>
      <c r="AF199" s="3" t="str">
        <f>CONCATENATE(+Contacts!D199)</f>
        <v/>
      </c>
      <c r="AG199" s="2" t="str">
        <f t="shared" si="108"/>
        <v xml:space="preserve"> </v>
      </c>
      <c r="AH199" t="str">
        <f>CONCATENATE(+Contacts!I199)</f>
        <v>jacqhoov@hotmail.com</v>
      </c>
      <c r="AI199">
        <v>1500000010</v>
      </c>
      <c r="AJ199" s="5">
        <f t="shared" si="109"/>
        <v>1</v>
      </c>
    </row>
    <row r="200" spans="1:36" x14ac:dyDescent="0.35">
      <c r="A200" s="7" t="str">
        <f t="shared" si="84"/>
        <v/>
      </c>
      <c r="B200" s="7" t="str">
        <f t="shared" si="85"/>
        <v/>
      </c>
      <c r="C200" s="7" t="str">
        <f t="shared" si="86"/>
        <v/>
      </c>
      <c r="D200" t="str">
        <f t="shared" si="87"/>
        <v>&lt;contact&gt;&lt;category&gt;0&lt;/category&gt;&lt;person&gt;&lt;realName&gt;Hooven, Raymond van den  &lt;/realName&gt;&lt;/person&gt;</v>
      </c>
      <c r="E200" t="str">
        <f t="shared" si="88"/>
        <v>&lt;telephony nid="0"&gt;&lt;/telephony&gt;</v>
      </c>
      <c r="F200" t="str">
        <f t="shared" si="89"/>
        <v>&lt;telephony nid="0"&gt;</v>
      </c>
      <c r="G200" t="str">
        <f t="shared" si="90"/>
        <v/>
      </c>
      <c r="H200" t="str">
        <f t="shared" si="91"/>
        <v>&lt;services nid="1"&gt;&lt;email id="0" classifier="private"&gt;&lt;/email&gt;&lt;/services&gt;&lt;setup /&gt;&lt;mod_time&gt;1500000010&lt;/mod_time&gt;&lt;uniqueid&gt;0&lt;/uniqueid&gt;&lt;/contact&gt;</v>
      </c>
      <c r="I200" t="str">
        <f t="shared" si="92"/>
        <v>&lt;services /&gt;&lt;setup /&gt;&lt;mod_time&gt;1500000010&lt;/mod_time&gt;&lt;uniqueid&gt;0&lt;/uniqueid&gt;&lt;/contact&gt;</v>
      </c>
      <c r="J200" t="str">
        <f t="shared" si="93"/>
        <v>&lt;services /&gt;&lt;setup /&gt;&lt;mod_time&gt;1500000010&lt;/mod_time&gt;&lt;uniqueid&gt;0&lt;/uniqueid&gt;&lt;/contact&gt;</v>
      </c>
      <c r="K200" s="5">
        <f t="shared" si="94"/>
        <v>0</v>
      </c>
      <c r="L200" s="5">
        <f t="shared" si="95"/>
        <v>0</v>
      </c>
      <c r="M200" s="5" t="str">
        <f>CONCATENATE(+Contacts!E200)</f>
        <v/>
      </c>
      <c r="N200" t="str">
        <f t="shared" si="96"/>
        <v/>
      </c>
      <c r="O200" s="5">
        <f t="shared" si="97"/>
        <v>0</v>
      </c>
      <c r="P200" s="5">
        <f t="shared" si="98"/>
        <v>0</v>
      </c>
      <c r="Q200" s="5" t="str">
        <f>CONCATENATE(+Contacts!G200)</f>
        <v/>
      </c>
      <c r="R200" t="str">
        <f t="shared" si="99"/>
        <v/>
      </c>
      <c r="S200" s="5">
        <f t="shared" si="100"/>
        <v>0</v>
      </c>
      <c r="T200" s="5">
        <f t="shared" si="101"/>
        <v>0</v>
      </c>
      <c r="U200" s="5" t="str">
        <f>CONCATENATE(+Contacts!H200)</f>
        <v/>
      </c>
      <c r="V200" t="str">
        <f t="shared" si="102"/>
        <v/>
      </c>
      <c r="W200" s="5">
        <f t="shared" si="103"/>
        <v>0</v>
      </c>
      <c r="X200" s="5">
        <f t="shared" si="104"/>
        <v>0</v>
      </c>
      <c r="Y200" s="5" t="str">
        <f>CONCATENATE(+Contacts!F200)</f>
        <v/>
      </c>
      <c r="Z200" s="2" t="str">
        <f t="shared" si="105"/>
        <v xml:space="preserve">Hooven, Raymond van den  </v>
      </c>
      <c r="AA200" s="2" t="str">
        <f>CONCATENATE(+Contacts!C200)</f>
        <v>Hooven</v>
      </c>
      <c r="AB200" s="2" t="str">
        <f t="shared" si="106"/>
        <v xml:space="preserve">, </v>
      </c>
      <c r="AC200" s="2" t="str">
        <f>CONCATENATE(+Contacts!A200)</f>
        <v>Raymond</v>
      </c>
      <c r="AD200" s="3" t="str">
        <f>CONCATENATE(" ",+Contacts!B200)</f>
        <v xml:space="preserve"> van den</v>
      </c>
      <c r="AE200" s="2" t="str">
        <f t="shared" si="107"/>
        <v xml:space="preserve"> </v>
      </c>
      <c r="AF200" s="3" t="str">
        <f>CONCATENATE(+Contacts!D200)</f>
        <v/>
      </c>
      <c r="AG200" s="2" t="str">
        <f t="shared" si="108"/>
        <v xml:space="preserve"> </v>
      </c>
      <c r="AH200" t="str">
        <f>CONCATENATE(+Contacts!I200)</f>
        <v/>
      </c>
      <c r="AI200">
        <v>1500000010</v>
      </c>
      <c r="AJ200" s="5">
        <f t="shared" si="109"/>
        <v>0</v>
      </c>
    </row>
    <row r="201" spans="1:36" x14ac:dyDescent="0.35">
      <c r="A201" s="7" t="str">
        <f t="shared" si="84"/>
        <v/>
      </c>
      <c r="B201" s="7" t="str">
        <f t="shared" si="85"/>
        <v/>
      </c>
      <c r="C201" s="7" t="str">
        <f t="shared" si="86"/>
        <v/>
      </c>
      <c r="D201" t="str">
        <f t="shared" si="87"/>
        <v>&lt;contact&gt;&lt;category&gt;0&lt;/category&gt;&lt;person&gt;&lt;realName&gt;Hooven, Sabrina van den  &lt;/realName&gt;&lt;/person&gt;</v>
      </c>
      <c r="E201" t="str">
        <f t="shared" si="88"/>
        <v>&lt;telephony nid="0"&gt;&lt;/telephony&gt;</v>
      </c>
      <c r="F201" t="str">
        <f t="shared" si="89"/>
        <v>&lt;telephony nid="0"&gt;</v>
      </c>
      <c r="G201" t="str">
        <f t="shared" si="90"/>
        <v/>
      </c>
      <c r="H201" t="str">
        <f t="shared" si="91"/>
        <v>&lt;services nid="1"&gt;&lt;email id="0" classifier="private"&gt;&lt;/email&gt;&lt;/services&gt;&lt;setup /&gt;&lt;mod_time&gt;1500000010&lt;/mod_time&gt;&lt;uniqueid&gt;0&lt;/uniqueid&gt;&lt;/contact&gt;</v>
      </c>
      <c r="I201" t="str">
        <f t="shared" si="92"/>
        <v>&lt;services /&gt;&lt;setup /&gt;&lt;mod_time&gt;1500000010&lt;/mod_time&gt;&lt;uniqueid&gt;0&lt;/uniqueid&gt;&lt;/contact&gt;</v>
      </c>
      <c r="J201" t="str">
        <f t="shared" si="93"/>
        <v>&lt;services /&gt;&lt;setup /&gt;&lt;mod_time&gt;1500000010&lt;/mod_time&gt;&lt;uniqueid&gt;0&lt;/uniqueid&gt;&lt;/contact&gt;</v>
      </c>
      <c r="K201" s="5">
        <f t="shared" si="94"/>
        <v>0</v>
      </c>
      <c r="L201" s="5">
        <f t="shared" si="95"/>
        <v>0</v>
      </c>
      <c r="M201" s="5" t="str">
        <f>CONCATENATE(+Contacts!E201)</f>
        <v/>
      </c>
      <c r="N201" t="str">
        <f t="shared" si="96"/>
        <v/>
      </c>
      <c r="O201" s="5">
        <f t="shared" si="97"/>
        <v>0</v>
      </c>
      <c r="P201" s="5">
        <f t="shared" si="98"/>
        <v>0</v>
      </c>
      <c r="Q201" s="5" t="str">
        <f>CONCATENATE(+Contacts!G201)</f>
        <v/>
      </c>
      <c r="R201" t="str">
        <f t="shared" si="99"/>
        <v/>
      </c>
      <c r="S201" s="5">
        <f t="shared" si="100"/>
        <v>0</v>
      </c>
      <c r="T201" s="5">
        <f t="shared" si="101"/>
        <v>0</v>
      </c>
      <c r="U201" s="5" t="str">
        <f>CONCATENATE(+Contacts!H201)</f>
        <v/>
      </c>
      <c r="V201" t="str">
        <f t="shared" si="102"/>
        <v/>
      </c>
      <c r="W201" s="5">
        <f t="shared" si="103"/>
        <v>0</v>
      </c>
      <c r="X201" s="5">
        <f t="shared" si="104"/>
        <v>0</v>
      </c>
      <c r="Y201" s="5" t="str">
        <f>CONCATENATE(+Contacts!F201)</f>
        <v/>
      </c>
      <c r="Z201" s="2" t="str">
        <f t="shared" si="105"/>
        <v xml:space="preserve">Hooven, Sabrina van den  </v>
      </c>
      <c r="AA201" s="2" t="str">
        <f>CONCATENATE(+Contacts!C201)</f>
        <v>Hooven</v>
      </c>
      <c r="AB201" s="2" t="str">
        <f t="shared" si="106"/>
        <v xml:space="preserve">, </v>
      </c>
      <c r="AC201" s="2" t="str">
        <f>CONCATENATE(+Contacts!A201)</f>
        <v>Sabrina</v>
      </c>
      <c r="AD201" s="3" t="str">
        <f>CONCATENATE(" ",+Contacts!B201)</f>
        <v xml:space="preserve"> van den</v>
      </c>
      <c r="AE201" s="2" t="str">
        <f t="shared" si="107"/>
        <v xml:space="preserve"> </v>
      </c>
      <c r="AF201" s="3" t="str">
        <f>CONCATENATE(+Contacts!D201)</f>
        <v/>
      </c>
      <c r="AG201" s="2" t="str">
        <f t="shared" si="108"/>
        <v xml:space="preserve"> </v>
      </c>
      <c r="AH201" t="str">
        <f>CONCATENATE(+Contacts!I201)</f>
        <v/>
      </c>
      <c r="AI201">
        <v>1500000010</v>
      </c>
      <c r="AJ201" s="5">
        <f t="shared" si="109"/>
        <v>0</v>
      </c>
    </row>
    <row r="202" spans="1:36" x14ac:dyDescent="0.35">
      <c r="A202" s="7" t="str">
        <f t="shared" si="84"/>
        <v>&lt;contact&gt;&lt;category&gt;0&lt;/category&gt;&lt;person&gt;&lt;realName&gt;Horst, Evelien van der  &lt;/realName&gt;&lt;/person&gt;</v>
      </c>
      <c r="B202" s="7" t="str">
        <f t="shared" si="85"/>
        <v>&lt;telephony nid="1"&gt;&lt;number id="0" prio="1" type="home"&gt;+31 104188114&lt;/number&gt;&lt;/telephony&gt;</v>
      </c>
      <c r="C202" s="7" t="str">
        <f t="shared" si="86"/>
        <v>&lt;services /&gt;&lt;setup /&gt;&lt;mod_time&gt;1500000010&lt;/mod_time&gt;&lt;uniqueid&gt;1&lt;/uniqueid&gt;&lt;/contact&gt;</v>
      </c>
      <c r="D202" t="str">
        <f t="shared" si="87"/>
        <v>&lt;contact&gt;&lt;category&gt;0&lt;/category&gt;&lt;person&gt;&lt;realName&gt;Horst, Evelien van der  &lt;/realName&gt;&lt;/person&gt;</v>
      </c>
      <c r="E202" t="str">
        <f t="shared" si="88"/>
        <v>&lt;telephony nid="1"&gt;&lt;number id="0" prio="1" type="home"&gt;+31 104188114&lt;/number&gt;&lt;/telephony&gt;</v>
      </c>
      <c r="F202" t="str">
        <f t="shared" si="89"/>
        <v>&lt;telephony nid="1"&gt;</v>
      </c>
      <c r="G202" t="str">
        <f t="shared" si="90"/>
        <v/>
      </c>
      <c r="H202" t="str">
        <f t="shared" si="91"/>
        <v>&lt;services nid="1"&gt;&lt;email id="0" classifier="private"&gt;&lt;/email&gt;&lt;/services&gt;&lt;setup /&gt;&lt;mod_time&gt;1500000010&lt;/mod_time&gt;&lt;uniqueid&gt;1&lt;/uniqueid&gt;&lt;/contact&gt;</v>
      </c>
      <c r="I202" t="str">
        <f t="shared" si="92"/>
        <v>&lt;services /&gt;&lt;setup /&gt;&lt;mod_time&gt;1500000010&lt;/mod_time&gt;&lt;uniqueid&gt;1&lt;/uniqueid&gt;&lt;/contact&gt;</v>
      </c>
      <c r="J202" t="str">
        <f t="shared" si="93"/>
        <v>&lt;services /&gt;&lt;setup /&gt;&lt;mod_time&gt;1500000010&lt;/mod_time&gt;&lt;uniqueid&gt;1&lt;/uniqueid&gt;&lt;/contact&gt;</v>
      </c>
      <c r="K202" s="5">
        <f t="shared" si="94"/>
        <v>0</v>
      </c>
      <c r="L202" s="5">
        <f t="shared" si="95"/>
        <v>0</v>
      </c>
      <c r="M202" s="5" t="str">
        <f>CONCATENATE(+Contacts!E202)</f>
        <v/>
      </c>
      <c r="N202" t="str">
        <f t="shared" si="96"/>
        <v>&lt;number id="0" prio="1" type="home"&gt;+31 104188114&lt;/number&gt;</v>
      </c>
      <c r="O202" s="5">
        <f t="shared" si="97"/>
        <v>1</v>
      </c>
      <c r="P202" s="5">
        <f t="shared" si="98"/>
        <v>1</v>
      </c>
      <c r="Q202" s="5" t="str">
        <f>CONCATENATE(+Contacts!G202)</f>
        <v>+31 104188114</v>
      </c>
      <c r="R202" t="str">
        <f t="shared" si="99"/>
        <v/>
      </c>
      <c r="S202" s="5">
        <f t="shared" si="100"/>
        <v>1</v>
      </c>
      <c r="T202" s="5">
        <f t="shared" si="101"/>
        <v>1</v>
      </c>
      <c r="U202" s="5" t="str">
        <f>CONCATENATE(+Contacts!H202)</f>
        <v/>
      </c>
      <c r="V202" t="str">
        <f t="shared" si="102"/>
        <v/>
      </c>
      <c r="W202" s="5">
        <f t="shared" si="103"/>
        <v>1</v>
      </c>
      <c r="X202" s="5">
        <f t="shared" si="104"/>
        <v>1</v>
      </c>
      <c r="Y202" s="5" t="str">
        <f>CONCATENATE(+Contacts!F202)</f>
        <v/>
      </c>
      <c r="Z202" s="2" t="str">
        <f t="shared" si="105"/>
        <v xml:space="preserve">Horst, Evelien van der  </v>
      </c>
      <c r="AA202" s="2" t="str">
        <f>CONCATENATE(+Contacts!C202)</f>
        <v>Horst</v>
      </c>
      <c r="AB202" s="2" t="str">
        <f t="shared" si="106"/>
        <v xml:space="preserve">, </v>
      </c>
      <c r="AC202" s="2" t="str">
        <f>CONCATENATE(+Contacts!A202)</f>
        <v>Evelien</v>
      </c>
      <c r="AD202" s="3" t="str">
        <f>CONCATENATE(" ",+Contacts!B202)</f>
        <v xml:space="preserve"> van der</v>
      </c>
      <c r="AE202" s="2" t="str">
        <f t="shared" si="107"/>
        <v xml:space="preserve"> </v>
      </c>
      <c r="AF202" s="3" t="str">
        <f>CONCATENATE(+Contacts!D202)</f>
        <v/>
      </c>
      <c r="AG202" s="2" t="str">
        <f t="shared" si="108"/>
        <v xml:space="preserve"> </v>
      </c>
      <c r="AH202" t="str">
        <f>CONCATENATE(+Contacts!I202)</f>
        <v/>
      </c>
      <c r="AI202">
        <v>1500000010</v>
      </c>
      <c r="AJ202" s="5">
        <f t="shared" si="109"/>
        <v>1</v>
      </c>
    </row>
    <row r="203" spans="1:36" x14ac:dyDescent="0.35">
      <c r="A203" s="7" t="str">
        <f t="shared" si="84"/>
        <v>&lt;contact&gt;&lt;category&gt;0&lt;/category&gt;&lt;person&gt;&lt;realName&gt;Houwen, Harry   &lt;/realName&gt;&lt;/person&gt;</v>
      </c>
      <c r="B203" s="7" t="str">
        <f t="shared" si="85"/>
        <v>&lt;telephony nid="1"&gt;&lt;number id="0" prio="1" type="work"&gt;+31 655786550&lt;/number&gt;&lt;/telephony&gt;</v>
      </c>
      <c r="C203" s="7" t="str">
        <f t="shared" si="86"/>
        <v>&lt;services /&gt;&lt;setup /&gt;&lt;mod_time&gt;1500000010&lt;/mod_time&gt;&lt;uniqueid&gt;1&lt;/uniqueid&gt;&lt;/contact&gt;</v>
      </c>
      <c r="D203" t="str">
        <f t="shared" si="87"/>
        <v>&lt;contact&gt;&lt;category&gt;0&lt;/category&gt;&lt;person&gt;&lt;realName&gt;Houwen, Harry   &lt;/realName&gt;&lt;/person&gt;</v>
      </c>
      <c r="E203" t="str">
        <f t="shared" si="88"/>
        <v>&lt;telephony nid="1"&gt;&lt;number id="0" prio="1" type="work"&gt;+31 655786550&lt;/number&gt;&lt;/telephony&gt;</v>
      </c>
      <c r="F203" t="str">
        <f t="shared" si="89"/>
        <v>&lt;telephony nid="1"&gt;</v>
      </c>
      <c r="G203" t="str">
        <f t="shared" si="90"/>
        <v/>
      </c>
      <c r="H203" t="str">
        <f t="shared" si="91"/>
        <v>&lt;services nid="1"&gt;&lt;email id="0" classifier="private"&gt;&lt;/email&gt;&lt;/services&gt;&lt;setup /&gt;&lt;mod_time&gt;1500000010&lt;/mod_time&gt;&lt;uniqueid&gt;1&lt;/uniqueid&gt;&lt;/contact&gt;</v>
      </c>
      <c r="I203" t="str">
        <f t="shared" si="92"/>
        <v>&lt;services /&gt;&lt;setup /&gt;&lt;mod_time&gt;1500000010&lt;/mod_time&gt;&lt;uniqueid&gt;1&lt;/uniqueid&gt;&lt;/contact&gt;</v>
      </c>
      <c r="J203" t="str">
        <f t="shared" si="93"/>
        <v>&lt;services /&gt;&lt;setup /&gt;&lt;mod_time&gt;1500000010&lt;/mod_time&gt;&lt;uniqueid&gt;1&lt;/uniqueid&gt;&lt;/contact&gt;</v>
      </c>
      <c r="K203" s="5">
        <f t="shared" si="94"/>
        <v>0</v>
      </c>
      <c r="L203" s="5">
        <f t="shared" si="95"/>
        <v>0</v>
      </c>
      <c r="M203" s="5" t="str">
        <f>CONCATENATE(+Contacts!E203)</f>
        <v/>
      </c>
      <c r="N203" t="str">
        <f t="shared" si="96"/>
        <v/>
      </c>
      <c r="O203" s="5">
        <f t="shared" si="97"/>
        <v>0</v>
      </c>
      <c r="P203" s="5">
        <f t="shared" si="98"/>
        <v>0</v>
      </c>
      <c r="Q203" s="5" t="str">
        <f>CONCATENATE(+Contacts!G203)</f>
        <v/>
      </c>
      <c r="R203" t="str">
        <f t="shared" si="99"/>
        <v/>
      </c>
      <c r="S203" s="5">
        <f t="shared" si="100"/>
        <v>0</v>
      </c>
      <c r="T203" s="5">
        <f t="shared" si="101"/>
        <v>0</v>
      </c>
      <c r="U203" s="5" t="str">
        <f>CONCATENATE(+Contacts!H203)</f>
        <v/>
      </c>
      <c r="V203" t="str">
        <f t="shared" si="102"/>
        <v>&lt;number id="0" prio="1" type="work"&gt;+31 655786550&lt;/number&gt;</v>
      </c>
      <c r="W203" s="5">
        <f t="shared" si="103"/>
        <v>1</v>
      </c>
      <c r="X203" s="5">
        <f t="shared" si="104"/>
        <v>1</v>
      </c>
      <c r="Y203" s="5" t="str">
        <f>CONCATENATE(+Contacts!F203)</f>
        <v>+31 655786550</v>
      </c>
      <c r="Z203" s="2" t="str">
        <f t="shared" si="105"/>
        <v xml:space="preserve">Houwen, Harry   </v>
      </c>
      <c r="AA203" s="2" t="str">
        <f>CONCATENATE(+Contacts!C203)</f>
        <v>Houwen</v>
      </c>
      <c r="AB203" s="2" t="str">
        <f t="shared" si="106"/>
        <v xml:space="preserve">, </v>
      </c>
      <c r="AC203" s="2" t="str">
        <f>CONCATENATE(+Contacts!A203)</f>
        <v>Harry</v>
      </c>
      <c r="AD203" s="3" t="str">
        <f>CONCATENATE(" ",+Contacts!B203)</f>
        <v xml:space="preserve"> </v>
      </c>
      <c r="AE203" s="2" t="str">
        <f t="shared" si="107"/>
        <v xml:space="preserve"> </v>
      </c>
      <c r="AF203" s="3" t="str">
        <f>CONCATENATE(+Contacts!D203)</f>
        <v/>
      </c>
      <c r="AG203" s="2" t="str">
        <f t="shared" si="108"/>
        <v xml:space="preserve"> </v>
      </c>
      <c r="AH203" t="str">
        <f>CONCATENATE(+Contacts!I203)</f>
        <v/>
      </c>
      <c r="AI203">
        <v>1500000010</v>
      </c>
      <c r="AJ203" s="5">
        <f t="shared" si="109"/>
        <v>1</v>
      </c>
    </row>
    <row r="204" spans="1:36" x14ac:dyDescent="0.35">
      <c r="A204" s="7" t="str">
        <f t="shared" si="84"/>
        <v>&lt;contact&gt;&lt;category&gt;0&lt;/category&gt;&lt;person&gt;&lt;realName&gt;Huisarts  (Huisartsenpraktijk Buitenhof)&lt;/realName&gt;&lt;/person&gt;</v>
      </c>
      <c r="B204" s="7" t="str">
        <f t="shared" si="85"/>
        <v>&lt;telephony nid="1"&gt;&lt;number id="0" prio="1" type="work"&gt;+31 104214077&lt;/number&gt;&lt;/telephony&gt;</v>
      </c>
      <c r="C204" s="7" t="str">
        <f t="shared" si="86"/>
        <v>&lt;services /&gt;&lt;setup /&gt;&lt;mod_time&gt;1500000010&lt;/mod_time&gt;&lt;uniqueid&gt;1&lt;/uniqueid&gt;&lt;/contact&gt;</v>
      </c>
      <c r="D204" t="str">
        <f t="shared" si="87"/>
        <v>&lt;contact&gt;&lt;category&gt;0&lt;/category&gt;&lt;person&gt;&lt;realName&gt;Huisarts  (Huisartsenpraktijk Buitenhof)&lt;/realName&gt;&lt;/person&gt;</v>
      </c>
      <c r="E204" t="str">
        <f t="shared" si="88"/>
        <v>&lt;telephony nid="1"&gt;&lt;number id="0" prio="1" type="work"&gt;+31 104214077&lt;/number&gt;&lt;/telephony&gt;</v>
      </c>
      <c r="F204" t="str">
        <f t="shared" si="89"/>
        <v>&lt;telephony nid="1"&gt;</v>
      </c>
      <c r="G204" t="str">
        <f t="shared" si="90"/>
        <v>&lt;number id="0" prio="1" type="work"&gt;+31 104214077&lt;/number&gt;</v>
      </c>
      <c r="H204" t="str">
        <f t="shared" si="91"/>
        <v>&lt;services nid="1"&gt;&lt;email id="0" classifier="private"&gt;&lt;/email&gt;&lt;/services&gt;&lt;setup /&gt;&lt;mod_time&gt;1500000010&lt;/mod_time&gt;&lt;uniqueid&gt;1&lt;/uniqueid&gt;&lt;/contact&gt;</v>
      </c>
      <c r="I204" t="str">
        <f t="shared" si="92"/>
        <v>&lt;services /&gt;&lt;setup /&gt;&lt;mod_time&gt;1500000010&lt;/mod_time&gt;&lt;uniqueid&gt;1&lt;/uniqueid&gt;&lt;/contact&gt;</v>
      </c>
      <c r="J204" t="str">
        <f t="shared" si="93"/>
        <v>&lt;services /&gt;&lt;setup /&gt;&lt;mod_time&gt;1500000010&lt;/mod_time&gt;&lt;uniqueid&gt;1&lt;/uniqueid&gt;&lt;/contact&gt;</v>
      </c>
      <c r="K204" s="5">
        <f t="shared" si="94"/>
        <v>1</v>
      </c>
      <c r="L204" s="5">
        <f t="shared" si="95"/>
        <v>1</v>
      </c>
      <c r="M204" s="5" t="str">
        <f>CONCATENATE(+Contacts!E204)</f>
        <v>+31 104214077</v>
      </c>
      <c r="N204" t="str">
        <f t="shared" si="96"/>
        <v/>
      </c>
      <c r="O204" s="5">
        <f t="shared" si="97"/>
        <v>1</v>
      </c>
      <c r="P204" s="5">
        <f t="shared" si="98"/>
        <v>1</v>
      </c>
      <c r="Q204" s="5" t="str">
        <f>CONCATENATE(+Contacts!G204)</f>
        <v/>
      </c>
      <c r="R204" t="str">
        <f t="shared" si="99"/>
        <v/>
      </c>
      <c r="S204" s="5">
        <f t="shared" si="100"/>
        <v>1</v>
      </c>
      <c r="T204" s="5">
        <f t="shared" si="101"/>
        <v>1</v>
      </c>
      <c r="U204" s="5" t="str">
        <f>CONCATENATE(+Contacts!H204)</f>
        <v/>
      </c>
      <c r="V204" t="str">
        <f t="shared" si="102"/>
        <v/>
      </c>
      <c r="W204" s="5">
        <f t="shared" si="103"/>
        <v>1</v>
      </c>
      <c r="X204" s="5">
        <f t="shared" si="104"/>
        <v>1</v>
      </c>
      <c r="Y204" s="5" t="str">
        <f>CONCATENATE(+Contacts!F204)</f>
        <v/>
      </c>
      <c r="Z204" s="2" t="str">
        <f t="shared" si="105"/>
        <v>Huisarts  (Huisartsenpraktijk Buitenhof)</v>
      </c>
      <c r="AA204" s="2" t="str">
        <f>CONCATENATE(+Contacts!C204)</f>
        <v>Huisarts</v>
      </c>
      <c r="AB204" s="2" t="str">
        <f t="shared" si="106"/>
        <v xml:space="preserve"> </v>
      </c>
      <c r="AC204" s="2" t="str">
        <f>CONCATENATE(+Contacts!A204)</f>
        <v/>
      </c>
      <c r="AD204" s="3" t="str">
        <f>CONCATENATE(" ",+Contacts!B204)</f>
        <v xml:space="preserve"> </v>
      </c>
      <c r="AE204" s="2" t="str">
        <f t="shared" si="107"/>
        <v>(</v>
      </c>
      <c r="AF204" s="3" t="str">
        <f>CONCATENATE(+Contacts!D204)</f>
        <v>Huisartsenpraktijk Buitenhof</v>
      </c>
      <c r="AG204" s="2" t="str">
        <f t="shared" si="108"/>
        <v>)</v>
      </c>
      <c r="AH204" t="str">
        <f>CONCATENATE(+Contacts!I204)</f>
        <v/>
      </c>
      <c r="AI204">
        <v>1500000010</v>
      </c>
      <c r="AJ204" s="5">
        <f t="shared" si="109"/>
        <v>1</v>
      </c>
    </row>
    <row r="205" spans="1:36" x14ac:dyDescent="0.35">
      <c r="A205" s="7" t="str">
        <f t="shared" si="84"/>
        <v>&lt;contact&gt;&lt;category&gt;0&lt;/category&gt;&lt;person&gt;&lt;realName&gt;Huisartsenpost IJsseland    &lt;/realName&gt;&lt;/person&gt;</v>
      </c>
      <c r="B205" s="7" t="str">
        <f t="shared" si="85"/>
        <v>&lt;telephony nid="1"&gt;&lt;number id="0" prio="1" type="work"&gt;+31 102799262&lt;/number&gt;&lt;/telephony&gt;</v>
      </c>
      <c r="C205" s="7" t="str">
        <f t="shared" si="86"/>
        <v>&lt;services /&gt;&lt;setup /&gt;&lt;mod_time&gt;1500000010&lt;/mod_time&gt;&lt;uniqueid&gt;1&lt;/uniqueid&gt;&lt;/contact&gt;</v>
      </c>
      <c r="D205" t="str">
        <f t="shared" si="87"/>
        <v>&lt;contact&gt;&lt;category&gt;0&lt;/category&gt;&lt;person&gt;&lt;realName&gt;Huisartsenpost IJsseland    &lt;/realName&gt;&lt;/person&gt;</v>
      </c>
      <c r="E205" t="str">
        <f t="shared" si="88"/>
        <v>&lt;telephony nid="1"&gt;&lt;number id="0" prio="1" type="work"&gt;+31 102799262&lt;/number&gt;&lt;/telephony&gt;</v>
      </c>
      <c r="F205" t="str">
        <f t="shared" si="89"/>
        <v>&lt;telephony nid="1"&gt;</v>
      </c>
      <c r="G205" t="str">
        <f t="shared" si="90"/>
        <v>&lt;number id="0" prio="1" type="work"&gt;+31 102799262&lt;/number&gt;</v>
      </c>
      <c r="H205" t="str">
        <f t="shared" si="91"/>
        <v>&lt;services nid="1"&gt;&lt;email id="0" classifier="private"&gt;&lt;/email&gt;&lt;/services&gt;&lt;setup /&gt;&lt;mod_time&gt;1500000010&lt;/mod_time&gt;&lt;uniqueid&gt;1&lt;/uniqueid&gt;&lt;/contact&gt;</v>
      </c>
      <c r="I205" t="str">
        <f t="shared" si="92"/>
        <v>&lt;services /&gt;&lt;setup /&gt;&lt;mod_time&gt;1500000010&lt;/mod_time&gt;&lt;uniqueid&gt;1&lt;/uniqueid&gt;&lt;/contact&gt;</v>
      </c>
      <c r="J205" t="str">
        <f t="shared" si="93"/>
        <v>&lt;services /&gt;&lt;setup /&gt;&lt;mod_time&gt;1500000010&lt;/mod_time&gt;&lt;uniqueid&gt;1&lt;/uniqueid&gt;&lt;/contact&gt;</v>
      </c>
      <c r="K205" s="5">
        <f t="shared" si="94"/>
        <v>1</v>
      </c>
      <c r="L205" s="5">
        <f t="shared" si="95"/>
        <v>1</v>
      </c>
      <c r="M205" s="5" t="str">
        <f>CONCATENATE(+Contacts!E205)</f>
        <v>+31 102799262</v>
      </c>
      <c r="N205" t="str">
        <f t="shared" si="96"/>
        <v/>
      </c>
      <c r="O205" s="5">
        <f t="shared" si="97"/>
        <v>1</v>
      </c>
      <c r="P205" s="5">
        <f t="shared" si="98"/>
        <v>1</v>
      </c>
      <c r="Q205" s="5" t="str">
        <f>CONCATENATE(+Contacts!G205)</f>
        <v/>
      </c>
      <c r="R205" t="str">
        <f t="shared" si="99"/>
        <v/>
      </c>
      <c r="S205" s="5">
        <f t="shared" si="100"/>
        <v>1</v>
      </c>
      <c r="T205" s="5">
        <f t="shared" si="101"/>
        <v>1</v>
      </c>
      <c r="U205" s="5" t="str">
        <f>CONCATENATE(+Contacts!H205)</f>
        <v/>
      </c>
      <c r="V205" t="str">
        <f t="shared" si="102"/>
        <v/>
      </c>
      <c r="W205" s="5">
        <f t="shared" si="103"/>
        <v>1</v>
      </c>
      <c r="X205" s="5">
        <f t="shared" si="104"/>
        <v>1</v>
      </c>
      <c r="Y205" s="5" t="str">
        <f>CONCATENATE(+Contacts!F205)</f>
        <v/>
      </c>
      <c r="Z205" s="2" t="str">
        <f t="shared" si="105"/>
        <v xml:space="preserve">Huisartsenpost IJsseland    </v>
      </c>
      <c r="AA205" s="2" t="str">
        <f>CONCATENATE(+Contacts!C205)</f>
        <v>Huisartsenpost IJsseland</v>
      </c>
      <c r="AB205" s="2" t="str">
        <f t="shared" si="106"/>
        <v xml:space="preserve"> </v>
      </c>
      <c r="AC205" s="2" t="str">
        <f>CONCATENATE(+Contacts!A205)</f>
        <v/>
      </c>
      <c r="AD205" s="3" t="str">
        <f>CONCATENATE(" ",+Contacts!B205)</f>
        <v xml:space="preserve"> </v>
      </c>
      <c r="AE205" s="2" t="str">
        <f t="shared" si="107"/>
        <v xml:space="preserve"> </v>
      </c>
      <c r="AF205" s="3" t="str">
        <f>CONCATENATE(+Contacts!D205)</f>
        <v/>
      </c>
      <c r="AG205" s="2" t="str">
        <f t="shared" si="108"/>
        <v xml:space="preserve"> </v>
      </c>
      <c r="AH205" t="str">
        <f>CONCATENATE(+Contacts!I205)</f>
        <v/>
      </c>
      <c r="AI205">
        <v>1500000010</v>
      </c>
      <c r="AJ205" s="5">
        <f t="shared" si="109"/>
        <v>1</v>
      </c>
    </row>
    <row r="206" spans="1:36" x14ac:dyDescent="0.35">
      <c r="A206" s="7" t="str">
        <f t="shared" si="84"/>
        <v/>
      </c>
      <c r="B206" s="7" t="str">
        <f t="shared" si="85"/>
        <v/>
      </c>
      <c r="C206" s="7" t="str">
        <f t="shared" si="86"/>
        <v/>
      </c>
      <c r="D206" t="str">
        <f t="shared" si="87"/>
        <v>&lt;contact&gt;&lt;category&gt;0&lt;/category&gt;&lt;person&gt;&lt;realName&gt;Huizer, Marjo   &lt;/realName&gt;&lt;/person&gt;</v>
      </c>
      <c r="E206" t="str">
        <f t="shared" si="88"/>
        <v>&lt;telephony nid="0"&gt;&lt;/telephony&gt;</v>
      </c>
      <c r="F206" t="str">
        <f t="shared" si="89"/>
        <v>&lt;telephony nid="0"&gt;</v>
      </c>
      <c r="G206" t="str">
        <f t="shared" si="90"/>
        <v/>
      </c>
      <c r="H206" t="str">
        <f t="shared" si="91"/>
        <v>&lt;services nid="1"&gt;&lt;email id="0" classifier="private"&gt;mcjhuizer@live.nl&lt;/email&gt;&lt;/services&gt;&lt;setup /&gt;&lt;mod_time&gt;1500000010&lt;/mod_time&gt;&lt;uniqueid&gt;0&lt;/uniqueid&gt;&lt;/contact&gt;</v>
      </c>
      <c r="I206" t="str">
        <f t="shared" si="92"/>
        <v>&lt;services /&gt;&lt;setup /&gt;&lt;mod_time&gt;1500000010&lt;/mod_time&gt;&lt;uniqueid&gt;0&lt;/uniqueid&gt;&lt;/contact&gt;</v>
      </c>
      <c r="J206" t="str">
        <f t="shared" si="93"/>
        <v>&lt;services nid="1"&gt;&lt;email id="0" classifier="private"&gt;mcjhuizer@live.nl&lt;/email&gt;&lt;/services&gt;&lt;setup /&gt;&lt;mod_time&gt;1500000010&lt;/mod_time&gt;&lt;uniqueid&gt;0&lt;/uniqueid&gt;&lt;/contact&gt;</v>
      </c>
      <c r="K206" s="5">
        <f t="shared" si="94"/>
        <v>0</v>
      </c>
      <c r="L206" s="5">
        <f t="shared" si="95"/>
        <v>0</v>
      </c>
      <c r="M206" s="5" t="str">
        <f>CONCATENATE(+Contacts!E206)</f>
        <v/>
      </c>
      <c r="N206" t="str">
        <f t="shared" si="96"/>
        <v/>
      </c>
      <c r="O206" s="5">
        <f t="shared" si="97"/>
        <v>0</v>
      </c>
      <c r="P206" s="5">
        <f t="shared" si="98"/>
        <v>0</v>
      </c>
      <c r="Q206" s="5" t="str">
        <f>CONCATENATE(+Contacts!G206)</f>
        <v/>
      </c>
      <c r="R206" t="str">
        <f t="shared" si="99"/>
        <v/>
      </c>
      <c r="S206" s="5">
        <f t="shared" si="100"/>
        <v>0</v>
      </c>
      <c r="T206" s="5">
        <f t="shared" si="101"/>
        <v>0</v>
      </c>
      <c r="U206" s="5" t="str">
        <f>CONCATENATE(+Contacts!H206)</f>
        <v/>
      </c>
      <c r="V206" t="str">
        <f t="shared" si="102"/>
        <v/>
      </c>
      <c r="W206" s="5">
        <f t="shared" si="103"/>
        <v>0</v>
      </c>
      <c r="X206" s="5">
        <f t="shared" si="104"/>
        <v>0</v>
      </c>
      <c r="Y206" s="5" t="str">
        <f>CONCATENATE(+Contacts!F206)</f>
        <v/>
      </c>
      <c r="Z206" s="2" t="str">
        <f t="shared" si="105"/>
        <v xml:space="preserve">Huizer, Marjo   </v>
      </c>
      <c r="AA206" s="2" t="str">
        <f>CONCATENATE(+Contacts!C206)</f>
        <v>Huizer</v>
      </c>
      <c r="AB206" s="2" t="str">
        <f t="shared" si="106"/>
        <v xml:space="preserve">, </v>
      </c>
      <c r="AC206" s="2" t="str">
        <f>CONCATENATE(+Contacts!A206)</f>
        <v>Marjo</v>
      </c>
      <c r="AD206" s="3" t="str">
        <f>CONCATENATE(" ",+Contacts!B206)</f>
        <v xml:space="preserve"> </v>
      </c>
      <c r="AE206" s="2" t="str">
        <f t="shared" si="107"/>
        <v xml:space="preserve"> </v>
      </c>
      <c r="AF206" s="3" t="str">
        <f>CONCATENATE(+Contacts!D206)</f>
        <v/>
      </c>
      <c r="AG206" s="2" t="str">
        <f t="shared" si="108"/>
        <v xml:space="preserve"> </v>
      </c>
      <c r="AH206" t="str">
        <f>CONCATENATE(+Contacts!I206)</f>
        <v>mcjhuizer@live.nl</v>
      </c>
      <c r="AI206">
        <v>1500000010</v>
      </c>
      <c r="AJ206" s="5">
        <f t="shared" si="109"/>
        <v>0</v>
      </c>
    </row>
    <row r="207" spans="1:36" x14ac:dyDescent="0.35">
      <c r="A207" s="7" t="str">
        <f t="shared" si="84"/>
        <v>&lt;contact&gt;&lt;category&gt;0&lt;/category&gt;&lt;person&gt;&lt;realName&gt;, Ify (Bloemenwinkel)&lt;/realName&gt;&lt;/person&gt;</v>
      </c>
      <c r="B207" s="7" t="str">
        <f t="shared" si="85"/>
        <v>&lt;telephony nid="1"&gt;&lt;number id="0" prio="1" type="mobile"&gt;31651378257&lt;/number&gt;&lt;/telephony&gt;</v>
      </c>
      <c r="C207" s="7" t="str">
        <f t="shared" si="86"/>
        <v>&lt;services /&gt;&lt;setup /&gt;&lt;mod_time&gt;1500000010&lt;/mod_time&gt;&lt;uniqueid&gt;1&lt;/uniqueid&gt;&lt;/contact&gt;</v>
      </c>
      <c r="D207" t="str">
        <f t="shared" si="87"/>
        <v>&lt;contact&gt;&lt;category&gt;0&lt;/category&gt;&lt;person&gt;&lt;realName&gt;, Ify (Bloemenwinkel)&lt;/realName&gt;&lt;/person&gt;</v>
      </c>
      <c r="E207" t="str">
        <f t="shared" si="88"/>
        <v>&lt;telephony nid="1"&gt;&lt;number id="0" prio="1" type="mobile"&gt;31651378257&lt;/number&gt;&lt;/telephony&gt;</v>
      </c>
      <c r="F207" t="str">
        <f t="shared" si="89"/>
        <v>&lt;telephony nid="1"&gt;</v>
      </c>
      <c r="G207" t="str">
        <f t="shared" si="90"/>
        <v/>
      </c>
      <c r="H207" t="str">
        <f t="shared" si="91"/>
        <v>&lt;services nid="1"&gt;&lt;email id="0" classifier="private"&gt;&lt;/email&gt;&lt;/services&gt;&lt;setup /&gt;&lt;mod_time&gt;1500000010&lt;/mod_time&gt;&lt;uniqueid&gt;1&lt;/uniqueid&gt;&lt;/contact&gt;</v>
      </c>
      <c r="I207" t="str">
        <f t="shared" si="92"/>
        <v>&lt;services /&gt;&lt;setup /&gt;&lt;mod_time&gt;1500000010&lt;/mod_time&gt;&lt;uniqueid&gt;1&lt;/uniqueid&gt;&lt;/contact&gt;</v>
      </c>
      <c r="J207" t="str">
        <f t="shared" si="93"/>
        <v>&lt;services /&gt;&lt;setup /&gt;&lt;mod_time&gt;1500000010&lt;/mod_time&gt;&lt;uniqueid&gt;1&lt;/uniqueid&gt;&lt;/contact&gt;</v>
      </c>
      <c r="K207" s="5">
        <f t="shared" si="94"/>
        <v>0</v>
      </c>
      <c r="L207" s="5">
        <f t="shared" si="95"/>
        <v>0</v>
      </c>
      <c r="M207" s="5" t="str">
        <f>CONCATENATE(+Contacts!E207)</f>
        <v/>
      </c>
      <c r="N207" t="str">
        <f t="shared" si="96"/>
        <v/>
      </c>
      <c r="O207" s="5">
        <f t="shared" si="97"/>
        <v>0</v>
      </c>
      <c r="P207" s="5">
        <f t="shared" si="98"/>
        <v>0</v>
      </c>
      <c r="Q207" s="5" t="str">
        <f>CONCATENATE(+Contacts!G207)</f>
        <v/>
      </c>
      <c r="R207" t="str">
        <f t="shared" si="99"/>
        <v>&lt;number id="0" prio="1" type="mobile"&gt;31651378257&lt;/number&gt;</v>
      </c>
      <c r="S207" s="5">
        <f t="shared" si="100"/>
        <v>1</v>
      </c>
      <c r="T207" s="5">
        <f t="shared" si="101"/>
        <v>1</v>
      </c>
      <c r="U207" s="5" t="str">
        <f>CONCATENATE(+Contacts!H207)</f>
        <v>31651378257</v>
      </c>
      <c r="V207" t="str">
        <f t="shared" si="102"/>
        <v/>
      </c>
      <c r="W207" s="5">
        <f t="shared" si="103"/>
        <v>1</v>
      </c>
      <c r="X207" s="5">
        <f t="shared" si="104"/>
        <v>1</v>
      </c>
      <c r="Y207" s="5" t="str">
        <f>CONCATENATE(+Contacts!F207)</f>
        <v/>
      </c>
      <c r="Z207" s="2" t="str">
        <f t="shared" si="105"/>
        <v>, Ify (Bloemenwinkel)</v>
      </c>
      <c r="AA207" s="2" t="str">
        <f>CONCATENATE(+Contacts!C207)</f>
        <v/>
      </c>
      <c r="AB207" s="2" t="str">
        <f t="shared" si="106"/>
        <v xml:space="preserve">, </v>
      </c>
      <c r="AC207" s="2" t="str">
        <f>CONCATENATE(+Contacts!A207)</f>
        <v>Ify</v>
      </c>
      <c r="AD207" s="3" t="str">
        <f>CONCATENATE(" ",+Contacts!B207)</f>
        <v xml:space="preserve"> </v>
      </c>
      <c r="AE207" s="2" t="str">
        <f t="shared" si="107"/>
        <v>(</v>
      </c>
      <c r="AF207" s="3" t="str">
        <f>CONCATENATE(+Contacts!D207)</f>
        <v>Bloemenwinkel</v>
      </c>
      <c r="AG207" s="2" t="str">
        <f t="shared" si="108"/>
        <v>)</v>
      </c>
      <c r="AH207" t="str">
        <f>CONCATENATE(+Contacts!I207)</f>
        <v/>
      </c>
      <c r="AI207">
        <v>1500000010</v>
      </c>
      <c r="AJ207" s="5">
        <f t="shared" si="109"/>
        <v>1</v>
      </c>
    </row>
    <row r="208" spans="1:36" x14ac:dyDescent="0.35">
      <c r="A208" s="7" t="str">
        <f t="shared" si="84"/>
        <v>&lt;contact&gt;&lt;category&gt;0&lt;/category&gt;&lt;person&gt;&lt;realName&gt;, Ilhem   &lt;/realName&gt;&lt;/person&gt;</v>
      </c>
      <c r="B208" s="7" t="str">
        <f t="shared" si="85"/>
        <v>&lt;telephony nid="1"&gt;&lt;number id="0" prio="1" type="home"&gt;00 31 6 41 24 44 84&lt;/number&gt;&lt;/telephony&gt;</v>
      </c>
      <c r="C208" s="7" t="str">
        <f t="shared" si="86"/>
        <v>&lt;services /&gt;&lt;setup /&gt;&lt;mod_time&gt;1500000010&lt;/mod_time&gt;&lt;uniqueid&gt;1&lt;/uniqueid&gt;&lt;/contact&gt;</v>
      </c>
      <c r="D208" t="str">
        <f t="shared" si="87"/>
        <v>&lt;contact&gt;&lt;category&gt;0&lt;/category&gt;&lt;person&gt;&lt;realName&gt;, Ilhem   &lt;/realName&gt;&lt;/person&gt;</v>
      </c>
      <c r="E208" t="str">
        <f t="shared" si="88"/>
        <v>&lt;telephony nid="1"&gt;&lt;number id="0" prio="1" type="home"&gt;00 31 6 41 24 44 84&lt;/number&gt;&lt;/telephony&gt;</v>
      </c>
      <c r="F208" t="str">
        <f t="shared" si="89"/>
        <v>&lt;telephony nid="1"&gt;</v>
      </c>
      <c r="G208" t="str">
        <f t="shared" si="90"/>
        <v/>
      </c>
      <c r="H208" t="str">
        <f t="shared" si="91"/>
        <v>&lt;services nid="1"&gt;&lt;email id="0" classifier="private"&gt;&lt;/email&gt;&lt;/services&gt;&lt;setup /&gt;&lt;mod_time&gt;1500000010&lt;/mod_time&gt;&lt;uniqueid&gt;1&lt;/uniqueid&gt;&lt;/contact&gt;</v>
      </c>
      <c r="I208" t="str">
        <f t="shared" si="92"/>
        <v>&lt;services /&gt;&lt;setup /&gt;&lt;mod_time&gt;1500000010&lt;/mod_time&gt;&lt;uniqueid&gt;1&lt;/uniqueid&gt;&lt;/contact&gt;</v>
      </c>
      <c r="J208" t="str">
        <f t="shared" si="93"/>
        <v>&lt;services /&gt;&lt;setup /&gt;&lt;mod_time&gt;1500000010&lt;/mod_time&gt;&lt;uniqueid&gt;1&lt;/uniqueid&gt;&lt;/contact&gt;</v>
      </c>
      <c r="K208" s="5">
        <f t="shared" si="94"/>
        <v>0</v>
      </c>
      <c r="L208" s="5">
        <f t="shared" si="95"/>
        <v>0</v>
      </c>
      <c r="M208" s="5" t="str">
        <f>CONCATENATE(+Contacts!E208)</f>
        <v/>
      </c>
      <c r="N208" t="str">
        <f t="shared" si="96"/>
        <v>&lt;number id="0" prio="1" type="home"&gt;00 31 6 41 24 44 84&lt;/number&gt;</v>
      </c>
      <c r="O208" s="5">
        <f t="shared" si="97"/>
        <v>1</v>
      </c>
      <c r="P208" s="5">
        <f t="shared" si="98"/>
        <v>1</v>
      </c>
      <c r="Q208" s="5" t="str">
        <f>CONCATENATE(+Contacts!G208)</f>
        <v>00 31 6 41 24 44 84</v>
      </c>
      <c r="R208" t="str">
        <f t="shared" si="99"/>
        <v/>
      </c>
      <c r="S208" s="5">
        <f t="shared" si="100"/>
        <v>1</v>
      </c>
      <c r="T208" s="5">
        <f t="shared" si="101"/>
        <v>1</v>
      </c>
      <c r="U208" s="5" t="str">
        <f>CONCATENATE(+Contacts!H208)</f>
        <v/>
      </c>
      <c r="V208" t="str">
        <f t="shared" si="102"/>
        <v/>
      </c>
      <c r="W208" s="5">
        <f t="shared" si="103"/>
        <v>1</v>
      </c>
      <c r="X208" s="5">
        <f t="shared" si="104"/>
        <v>1</v>
      </c>
      <c r="Y208" s="5" t="str">
        <f>CONCATENATE(+Contacts!F208)</f>
        <v/>
      </c>
      <c r="Z208" s="2" t="str">
        <f t="shared" si="105"/>
        <v xml:space="preserve">, Ilhem   </v>
      </c>
      <c r="AA208" s="2" t="str">
        <f>CONCATENATE(+Contacts!C208)</f>
        <v/>
      </c>
      <c r="AB208" s="2" t="str">
        <f t="shared" si="106"/>
        <v xml:space="preserve">, </v>
      </c>
      <c r="AC208" s="2" t="str">
        <f>CONCATENATE(+Contacts!A208)</f>
        <v>Ilhem</v>
      </c>
      <c r="AD208" s="3" t="str">
        <f>CONCATENATE(" ",+Contacts!B208)</f>
        <v xml:space="preserve"> </v>
      </c>
      <c r="AE208" s="2" t="str">
        <f t="shared" si="107"/>
        <v xml:space="preserve"> </v>
      </c>
      <c r="AF208" s="3" t="str">
        <f>CONCATENATE(+Contacts!D208)</f>
        <v/>
      </c>
      <c r="AG208" s="2" t="str">
        <f t="shared" si="108"/>
        <v xml:space="preserve"> </v>
      </c>
      <c r="AH208" t="str">
        <f>CONCATENATE(+Contacts!I208)</f>
        <v/>
      </c>
      <c r="AI208">
        <v>1500000010</v>
      </c>
      <c r="AJ208" s="5">
        <f t="shared" si="109"/>
        <v>1</v>
      </c>
    </row>
    <row r="209" spans="1:36" x14ac:dyDescent="0.35">
      <c r="A209" s="7" t="str">
        <f t="shared" si="84"/>
        <v>&lt;contact&gt;&lt;category&gt;0&lt;/category&gt;&lt;person&gt;&lt;realName&gt;Ingen-van Rooijen, Trudi &amp;amp; Jaring van  &lt;/realName&gt;&lt;/person&gt;</v>
      </c>
      <c r="B209" s="7" t="str">
        <f t="shared" si="85"/>
        <v>&lt;telephony nid="1"&gt;&lt;number id="0" prio="1" type="home"&gt;+31 317452390&lt;/number&gt;&lt;/telephony&gt;</v>
      </c>
      <c r="C209" s="7" t="str">
        <f t="shared" si="86"/>
        <v>&lt;services nid="1"&gt;&lt;email id="0" classifier="private"&gt;ingenrooijen@hetnet.nl&lt;/email&gt;&lt;/services&gt;&lt;setup /&gt;&lt;mod_time&gt;1500000010&lt;/mod_time&gt;&lt;uniqueid&gt;1&lt;/uniqueid&gt;&lt;/contact&gt;</v>
      </c>
      <c r="D209" t="str">
        <f t="shared" si="87"/>
        <v>&lt;contact&gt;&lt;category&gt;0&lt;/category&gt;&lt;person&gt;&lt;realName&gt;Ingen-van Rooijen, Trudi &amp;amp; Jaring van  &lt;/realName&gt;&lt;/person&gt;</v>
      </c>
      <c r="E209" t="str">
        <f t="shared" si="88"/>
        <v>&lt;telephony nid="1"&gt;&lt;number id="0" prio="1" type="home"&gt;+31 317452390&lt;/number&gt;&lt;/telephony&gt;</v>
      </c>
      <c r="F209" t="str">
        <f t="shared" si="89"/>
        <v>&lt;telephony nid="1"&gt;</v>
      </c>
      <c r="G209" t="str">
        <f t="shared" si="90"/>
        <v/>
      </c>
      <c r="H209" t="str">
        <f t="shared" si="91"/>
        <v>&lt;services nid="1"&gt;&lt;email id="0" classifier="private"&gt;ingenrooijen@hetnet.nl&lt;/email&gt;&lt;/services&gt;&lt;setup /&gt;&lt;mod_time&gt;1500000010&lt;/mod_time&gt;&lt;uniqueid&gt;1&lt;/uniqueid&gt;&lt;/contact&gt;</v>
      </c>
      <c r="I209" t="str">
        <f t="shared" si="92"/>
        <v>&lt;services /&gt;&lt;setup /&gt;&lt;mod_time&gt;1500000010&lt;/mod_time&gt;&lt;uniqueid&gt;1&lt;/uniqueid&gt;&lt;/contact&gt;</v>
      </c>
      <c r="J209" t="str">
        <f t="shared" si="93"/>
        <v>&lt;services nid="1"&gt;&lt;email id="0" classifier="private"&gt;ingenrooijen@hetnet.nl&lt;/email&gt;&lt;/services&gt;&lt;setup /&gt;&lt;mod_time&gt;1500000010&lt;/mod_time&gt;&lt;uniqueid&gt;1&lt;/uniqueid&gt;&lt;/contact&gt;</v>
      </c>
      <c r="K209" s="5">
        <f t="shared" si="94"/>
        <v>0</v>
      </c>
      <c r="L209" s="5">
        <f t="shared" si="95"/>
        <v>0</v>
      </c>
      <c r="M209" s="5" t="str">
        <f>CONCATENATE(+Contacts!E209)</f>
        <v/>
      </c>
      <c r="N209" t="str">
        <f t="shared" si="96"/>
        <v>&lt;number id="0" prio="1" type="home"&gt;+31 317452390&lt;/number&gt;</v>
      </c>
      <c r="O209" s="5">
        <f t="shared" si="97"/>
        <v>1</v>
      </c>
      <c r="P209" s="5">
        <f t="shared" si="98"/>
        <v>1</v>
      </c>
      <c r="Q209" s="5" t="str">
        <f>CONCATENATE(+Contacts!G209)</f>
        <v>+31 317452390</v>
      </c>
      <c r="R209" t="str">
        <f t="shared" si="99"/>
        <v/>
      </c>
      <c r="S209" s="5">
        <f t="shared" si="100"/>
        <v>1</v>
      </c>
      <c r="T209" s="5">
        <f t="shared" si="101"/>
        <v>1</v>
      </c>
      <c r="U209" s="5" t="str">
        <f>CONCATENATE(+Contacts!H209)</f>
        <v/>
      </c>
      <c r="V209" t="str">
        <f t="shared" si="102"/>
        <v/>
      </c>
      <c r="W209" s="5">
        <f t="shared" si="103"/>
        <v>1</v>
      </c>
      <c r="X209" s="5">
        <f t="shared" si="104"/>
        <v>1</v>
      </c>
      <c r="Y209" s="5" t="str">
        <f>CONCATENATE(+Contacts!F209)</f>
        <v/>
      </c>
      <c r="Z209" s="2" t="str">
        <f t="shared" si="105"/>
        <v xml:space="preserve">Ingen-van Rooijen, Trudi &amp;amp; Jaring van  </v>
      </c>
      <c r="AA209" s="2" t="str">
        <f>CONCATENATE(+Contacts!C209)</f>
        <v>Ingen-van Rooijen</v>
      </c>
      <c r="AB209" s="2" t="str">
        <f t="shared" si="106"/>
        <v xml:space="preserve">, </v>
      </c>
      <c r="AC209" s="2" t="str">
        <f>CONCATENATE(+Contacts!A209)</f>
        <v>Trudi &amp;amp; Jaring</v>
      </c>
      <c r="AD209" s="3" t="str">
        <f>CONCATENATE(" ",+Contacts!B209)</f>
        <v xml:space="preserve"> van</v>
      </c>
      <c r="AE209" s="2" t="str">
        <f t="shared" si="107"/>
        <v xml:space="preserve"> </v>
      </c>
      <c r="AF209" s="3" t="str">
        <f>CONCATENATE(+Contacts!D209)</f>
        <v/>
      </c>
      <c r="AG209" s="2" t="str">
        <f t="shared" si="108"/>
        <v xml:space="preserve"> </v>
      </c>
      <c r="AH209" t="str">
        <f>CONCATENATE(+Contacts!I209)</f>
        <v>ingenrooijen@hetnet.nl</v>
      </c>
      <c r="AI209">
        <v>1500000010</v>
      </c>
      <c r="AJ209" s="5">
        <f t="shared" si="109"/>
        <v>1</v>
      </c>
    </row>
    <row r="210" spans="1:36" x14ac:dyDescent="0.35">
      <c r="A210" s="7" t="str">
        <f t="shared" si="84"/>
        <v>&lt;contact&gt;&lt;category&gt;0&lt;/category&gt;&lt;person&gt;&lt;realName&gt;Ingen, Trudi van  &lt;/realName&gt;&lt;/person&gt;</v>
      </c>
      <c r="B210" s="7" t="str">
        <f t="shared" si="85"/>
        <v>&lt;telephony nid="2"&gt;&lt;number id="0" prio="1" type="home"&gt;+31 317452390&lt;/number&gt;&lt;number id="1" prio="0" type="mobile"&gt;+31 649990209&lt;/number&gt;&lt;/telephony&gt;</v>
      </c>
      <c r="C210" s="7" t="str">
        <f t="shared" si="86"/>
        <v>&lt;services nid="1"&gt;&lt;email id="0" classifier="private"&gt;trudivingen@hotmail.com&lt;/email&gt;&lt;/services&gt;&lt;setup /&gt;&lt;mod_time&gt;1500000010&lt;/mod_time&gt;&lt;uniqueid&gt;1&lt;/uniqueid&gt;&lt;/contact&gt;</v>
      </c>
      <c r="D210" t="str">
        <f t="shared" si="87"/>
        <v>&lt;contact&gt;&lt;category&gt;0&lt;/category&gt;&lt;person&gt;&lt;realName&gt;Ingen, Trudi van  &lt;/realName&gt;&lt;/person&gt;</v>
      </c>
      <c r="E210" t="str">
        <f t="shared" si="88"/>
        <v>&lt;telephony nid="2"&gt;&lt;number id="0" prio="1" type="home"&gt;+31 317452390&lt;/number&gt;&lt;number id="1" prio="0" type="mobile"&gt;+31 649990209&lt;/number&gt;&lt;/telephony&gt;</v>
      </c>
      <c r="F210" t="str">
        <f t="shared" si="89"/>
        <v>&lt;telephony nid="2"&gt;</v>
      </c>
      <c r="G210" t="str">
        <f t="shared" si="90"/>
        <v/>
      </c>
      <c r="H210" t="str">
        <f t="shared" si="91"/>
        <v>&lt;services nid="1"&gt;&lt;email id="0" classifier="private"&gt;trudivingen@hotmail.com&lt;/email&gt;&lt;/services&gt;&lt;setup /&gt;&lt;mod_time&gt;1500000010&lt;/mod_time&gt;&lt;uniqueid&gt;1&lt;/uniqueid&gt;&lt;/contact&gt;</v>
      </c>
      <c r="I210" t="str">
        <f t="shared" si="92"/>
        <v>&lt;services /&gt;&lt;setup /&gt;&lt;mod_time&gt;1500000010&lt;/mod_time&gt;&lt;uniqueid&gt;1&lt;/uniqueid&gt;&lt;/contact&gt;</v>
      </c>
      <c r="J210" t="str">
        <f t="shared" si="93"/>
        <v>&lt;services nid="1"&gt;&lt;email id="0" classifier="private"&gt;trudivingen@hotmail.com&lt;/email&gt;&lt;/services&gt;&lt;setup /&gt;&lt;mod_time&gt;1500000010&lt;/mod_time&gt;&lt;uniqueid&gt;1&lt;/uniqueid&gt;&lt;/contact&gt;</v>
      </c>
      <c r="K210" s="5">
        <f t="shared" si="94"/>
        <v>0</v>
      </c>
      <c r="L210" s="5">
        <f t="shared" si="95"/>
        <v>0</v>
      </c>
      <c r="M210" s="5" t="str">
        <f>CONCATENATE(+Contacts!E210)</f>
        <v/>
      </c>
      <c r="N210" t="str">
        <f t="shared" si="96"/>
        <v>&lt;number id="0" prio="1" type="home"&gt;+31 317452390&lt;/number&gt;</v>
      </c>
      <c r="O210" s="5">
        <f t="shared" si="97"/>
        <v>1</v>
      </c>
      <c r="P210" s="5">
        <f t="shared" si="98"/>
        <v>1</v>
      </c>
      <c r="Q210" s="5" t="str">
        <f>CONCATENATE(+Contacts!G210)</f>
        <v>+31 317452390</v>
      </c>
      <c r="R210" t="str">
        <f t="shared" si="99"/>
        <v>&lt;number id="1" prio="0" type="mobile"&gt;+31 649990209&lt;/number&gt;</v>
      </c>
      <c r="S210" s="5">
        <f t="shared" si="100"/>
        <v>2</v>
      </c>
      <c r="T210" s="5">
        <f t="shared" si="101"/>
        <v>0</v>
      </c>
      <c r="U210" s="5" t="str">
        <f>CONCATENATE(+Contacts!H210)</f>
        <v>+31 649990209</v>
      </c>
      <c r="V210" t="str">
        <f t="shared" si="102"/>
        <v/>
      </c>
      <c r="W210" s="5">
        <f t="shared" si="103"/>
        <v>2</v>
      </c>
      <c r="X210" s="5">
        <f t="shared" si="104"/>
        <v>0</v>
      </c>
      <c r="Y210" s="5" t="str">
        <f>CONCATENATE(+Contacts!F210)</f>
        <v/>
      </c>
      <c r="Z210" s="2" t="str">
        <f t="shared" si="105"/>
        <v xml:space="preserve">Ingen, Trudi van  </v>
      </c>
      <c r="AA210" s="2" t="str">
        <f>CONCATENATE(+Contacts!C210)</f>
        <v>Ingen</v>
      </c>
      <c r="AB210" s="2" t="str">
        <f t="shared" si="106"/>
        <v xml:space="preserve">, </v>
      </c>
      <c r="AC210" s="2" t="str">
        <f>CONCATENATE(+Contacts!A210)</f>
        <v>Trudi</v>
      </c>
      <c r="AD210" s="3" t="str">
        <f>CONCATENATE(" ",+Contacts!B210)</f>
        <v xml:space="preserve"> van</v>
      </c>
      <c r="AE210" s="2" t="str">
        <f t="shared" si="107"/>
        <v xml:space="preserve"> </v>
      </c>
      <c r="AF210" s="3" t="str">
        <f>CONCATENATE(+Contacts!D210)</f>
        <v/>
      </c>
      <c r="AG210" s="2" t="str">
        <f t="shared" si="108"/>
        <v xml:space="preserve"> </v>
      </c>
      <c r="AH210" t="str">
        <f>CONCATENATE(+Contacts!I210)</f>
        <v>trudivingen@hotmail.com</v>
      </c>
      <c r="AI210">
        <v>1500000010</v>
      </c>
      <c r="AJ210" s="5">
        <f t="shared" si="109"/>
        <v>1</v>
      </c>
    </row>
    <row r="211" spans="1:36" x14ac:dyDescent="0.35">
      <c r="A211" s="7" t="str">
        <f t="shared" si="84"/>
        <v>&lt;contact&gt;&lt;category&gt;0&lt;/category&gt;&lt;person&gt;&lt;realName&gt;QNH  (IT)&lt;/realName&gt;&lt;/person&gt;</v>
      </c>
      <c r="B211" s="7" t="str">
        <f t="shared" si="85"/>
        <v>&lt;telephony nid="1"&gt;&lt;number id="0" prio="1" type="work"&gt;+31 204609609&lt;/number&gt;&lt;/telephony&gt;</v>
      </c>
      <c r="C211" s="7" t="str">
        <f t="shared" si="86"/>
        <v>&lt;services /&gt;&lt;setup /&gt;&lt;mod_time&gt;1500000010&lt;/mod_time&gt;&lt;uniqueid&gt;1&lt;/uniqueid&gt;&lt;/contact&gt;</v>
      </c>
      <c r="D211" t="str">
        <f t="shared" si="87"/>
        <v>&lt;contact&gt;&lt;category&gt;0&lt;/category&gt;&lt;person&gt;&lt;realName&gt;QNH  (IT)&lt;/realName&gt;&lt;/person&gt;</v>
      </c>
      <c r="E211" t="str">
        <f t="shared" si="88"/>
        <v>&lt;telephony nid="1"&gt;&lt;number id="0" prio="1" type="work"&gt;+31 204609609&lt;/number&gt;&lt;/telephony&gt;</v>
      </c>
      <c r="F211" t="str">
        <f t="shared" si="89"/>
        <v>&lt;telephony nid="1"&gt;</v>
      </c>
      <c r="G211" t="str">
        <f t="shared" si="90"/>
        <v>&lt;number id="0" prio="1" type="work"&gt;+31 204609609&lt;/number&gt;</v>
      </c>
      <c r="H211" t="str">
        <f t="shared" si="91"/>
        <v>&lt;services nid="1"&gt;&lt;email id="0" classifier="private"&gt;&lt;/email&gt;&lt;/services&gt;&lt;setup /&gt;&lt;mod_time&gt;1500000010&lt;/mod_time&gt;&lt;uniqueid&gt;1&lt;/uniqueid&gt;&lt;/contact&gt;</v>
      </c>
      <c r="I211" t="str">
        <f t="shared" si="92"/>
        <v>&lt;services /&gt;&lt;setup /&gt;&lt;mod_time&gt;1500000010&lt;/mod_time&gt;&lt;uniqueid&gt;1&lt;/uniqueid&gt;&lt;/contact&gt;</v>
      </c>
      <c r="J211" t="str">
        <f t="shared" si="93"/>
        <v>&lt;services /&gt;&lt;setup /&gt;&lt;mod_time&gt;1500000010&lt;/mod_time&gt;&lt;uniqueid&gt;1&lt;/uniqueid&gt;&lt;/contact&gt;</v>
      </c>
      <c r="K211" s="5">
        <f t="shared" si="94"/>
        <v>1</v>
      </c>
      <c r="L211" s="5">
        <f t="shared" si="95"/>
        <v>1</v>
      </c>
      <c r="M211" s="5" t="str">
        <f>CONCATENATE(+Contacts!E211)</f>
        <v>+31 204609609</v>
      </c>
      <c r="N211" t="str">
        <f t="shared" si="96"/>
        <v/>
      </c>
      <c r="O211" s="5">
        <f t="shared" si="97"/>
        <v>1</v>
      </c>
      <c r="P211" s="5">
        <f t="shared" si="98"/>
        <v>1</v>
      </c>
      <c r="Q211" s="5" t="str">
        <f>CONCATENATE(+Contacts!G211)</f>
        <v/>
      </c>
      <c r="R211" t="str">
        <f t="shared" si="99"/>
        <v/>
      </c>
      <c r="S211" s="5">
        <f t="shared" si="100"/>
        <v>1</v>
      </c>
      <c r="T211" s="5">
        <f t="shared" si="101"/>
        <v>1</v>
      </c>
      <c r="U211" s="5" t="str">
        <f>CONCATENATE(+Contacts!H211)</f>
        <v/>
      </c>
      <c r="V211" t="str">
        <f t="shared" si="102"/>
        <v/>
      </c>
      <c r="W211" s="5">
        <f t="shared" si="103"/>
        <v>1</v>
      </c>
      <c r="X211" s="5">
        <f t="shared" si="104"/>
        <v>1</v>
      </c>
      <c r="Y211" s="5" t="str">
        <f>CONCATENATE(+Contacts!F211)</f>
        <v/>
      </c>
      <c r="Z211" s="2" t="str">
        <f t="shared" si="105"/>
        <v>QNH  (IT)</v>
      </c>
      <c r="AA211" s="2" t="str">
        <f>CONCATENATE(+Contacts!C211)</f>
        <v>QNH</v>
      </c>
      <c r="AB211" s="2" t="str">
        <f t="shared" si="106"/>
        <v xml:space="preserve"> </v>
      </c>
      <c r="AC211" s="2" t="str">
        <f>CONCATENATE(+Contacts!A211)</f>
        <v/>
      </c>
      <c r="AD211" s="3" t="str">
        <f>CONCATENATE(" ",+Contacts!B211)</f>
        <v xml:space="preserve"> </v>
      </c>
      <c r="AE211" s="2" t="str">
        <f t="shared" si="107"/>
        <v>(</v>
      </c>
      <c r="AF211" s="3" t="str">
        <f>CONCATENATE(+Contacts!D211)</f>
        <v>IT</v>
      </c>
      <c r="AG211" s="2" t="str">
        <f t="shared" si="108"/>
        <v>)</v>
      </c>
      <c r="AH211" t="str">
        <f>CONCATENATE(+Contacts!I211)</f>
        <v/>
      </c>
      <c r="AI211">
        <v>1500000010</v>
      </c>
      <c r="AJ211" s="5">
        <f t="shared" si="109"/>
        <v>1</v>
      </c>
    </row>
    <row r="212" spans="1:36" x14ac:dyDescent="0.35">
      <c r="A212" s="7" t="str">
        <f t="shared" si="84"/>
        <v>&lt;contact&gt;&lt;category&gt;0&lt;/category&gt;&lt;person&gt;&lt;realName&gt;Jaymond (&amp;amp; Joost), Françoise   &lt;/realName&gt;&lt;/person&gt;</v>
      </c>
      <c r="B212" s="7" t="str">
        <f t="shared" si="85"/>
        <v>&lt;telephony nid="1"&gt;&lt;number id="0" prio="1" type="home"&gt;+31 104188122&lt;/number&gt;&lt;/telephony&gt;</v>
      </c>
      <c r="C212" s="7" t="str">
        <f t="shared" si="86"/>
        <v>&lt;services nid="1"&gt;&lt;email id="0" classifier="private"&gt;f-jaymond@hetnet.nl&lt;/email&gt;&lt;/services&gt;&lt;setup /&gt;&lt;mod_time&gt;1500000010&lt;/mod_time&gt;&lt;uniqueid&gt;1&lt;/uniqueid&gt;&lt;/contact&gt;</v>
      </c>
      <c r="D212" t="str">
        <f t="shared" si="87"/>
        <v>&lt;contact&gt;&lt;category&gt;0&lt;/category&gt;&lt;person&gt;&lt;realName&gt;Jaymond (&amp;amp; Joost), Françoise   &lt;/realName&gt;&lt;/person&gt;</v>
      </c>
      <c r="E212" t="str">
        <f t="shared" si="88"/>
        <v>&lt;telephony nid="1"&gt;&lt;number id="0" prio="1" type="home"&gt;+31 104188122&lt;/number&gt;&lt;/telephony&gt;</v>
      </c>
      <c r="F212" t="str">
        <f t="shared" si="89"/>
        <v>&lt;telephony nid="1"&gt;</v>
      </c>
      <c r="G212" t="str">
        <f t="shared" si="90"/>
        <v/>
      </c>
      <c r="H212" t="str">
        <f t="shared" si="91"/>
        <v>&lt;services nid="1"&gt;&lt;email id="0" classifier="private"&gt;f-jaymond@hetnet.nl&lt;/email&gt;&lt;/services&gt;&lt;setup /&gt;&lt;mod_time&gt;1500000010&lt;/mod_time&gt;&lt;uniqueid&gt;1&lt;/uniqueid&gt;&lt;/contact&gt;</v>
      </c>
      <c r="I212" t="str">
        <f t="shared" si="92"/>
        <v>&lt;services /&gt;&lt;setup /&gt;&lt;mod_time&gt;1500000010&lt;/mod_time&gt;&lt;uniqueid&gt;1&lt;/uniqueid&gt;&lt;/contact&gt;</v>
      </c>
      <c r="J212" t="str">
        <f t="shared" si="93"/>
        <v>&lt;services nid="1"&gt;&lt;email id="0" classifier="private"&gt;f-jaymond@hetnet.nl&lt;/email&gt;&lt;/services&gt;&lt;setup /&gt;&lt;mod_time&gt;1500000010&lt;/mod_time&gt;&lt;uniqueid&gt;1&lt;/uniqueid&gt;&lt;/contact&gt;</v>
      </c>
      <c r="K212" s="5">
        <f t="shared" si="94"/>
        <v>0</v>
      </c>
      <c r="L212" s="5">
        <f t="shared" si="95"/>
        <v>0</v>
      </c>
      <c r="M212" s="5" t="str">
        <f>CONCATENATE(+Contacts!E212)</f>
        <v/>
      </c>
      <c r="N212" t="str">
        <f t="shared" si="96"/>
        <v>&lt;number id="0" prio="1" type="home"&gt;+31 104188122&lt;/number&gt;</v>
      </c>
      <c r="O212" s="5">
        <f t="shared" si="97"/>
        <v>1</v>
      </c>
      <c r="P212" s="5">
        <f t="shared" si="98"/>
        <v>1</v>
      </c>
      <c r="Q212" s="5" t="str">
        <f>CONCATENATE(+Contacts!G212)</f>
        <v>+31 104188122</v>
      </c>
      <c r="R212" t="str">
        <f t="shared" si="99"/>
        <v/>
      </c>
      <c r="S212" s="5">
        <f t="shared" si="100"/>
        <v>1</v>
      </c>
      <c r="T212" s="5">
        <f t="shared" si="101"/>
        <v>1</v>
      </c>
      <c r="U212" s="5" t="str">
        <f>CONCATENATE(+Contacts!H212)</f>
        <v/>
      </c>
      <c r="V212" t="str">
        <f t="shared" si="102"/>
        <v/>
      </c>
      <c r="W212" s="5">
        <f t="shared" si="103"/>
        <v>1</v>
      </c>
      <c r="X212" s="5">
        <f t="shared" si="104"/>
        <v>1</v>
      </c>
      <c r="Y212" s="5" t="str">
        <f>CONCATENATE(+Contacts!F212)</f>
        <v/>
      </c>
      <c r="Z212" s="2" t="str">
        <f t="shared" si="105"/>
        <v xml:space="preserve">Jaymond (&amp;amp; Joost), Françoise   </v>
      </c>
      <c r="AA212" s="2" t="str">
        <f>CONCATENATE(+Contacts!C212)</f>
        <v>Jaymond (&amp;amp; Joost)</v>
      </c>
      <c r="AB212" s="2" t="str">
        <f t="shared" si="106"/>
        <v xml:space="preserve">, </v>
      </c>
      <c r="AC212" s="2" t="str">
        <f>CONCATENATE(+Contacts!A212)</f>
        <v>Françoise</v>
      </c>
      <c r="AD212" s="3" t="str">
        <f>CONCATENATE(" ",+Contacts!B212)</f>
        <v xml:space="preserve"> </v>
      </c>
      <c r="AE212" s="2" t="str">
        <f t="shared" si="107"/>
        <v xml:space="preserve"> </v>
      </c>
      <c r="AF212" s="3" t="str">
        <f>CONCATENATE(+Contacts!D212)</f>
        <v/>
      </c>
      <c r="AG212" s="2" t="str">
        <f t="shared" si="108"/>
        <v xml:space="preserve"> </v>
      </c>
      <c r="AH212" t="str">
        <f>CONCATENATE(+Contacts!I212)</f>
        <v>f-jaymond@hetnet.nl</v>
      </c>
      <c r="AI212">
        <v>1500000010</v>
      </c>
      <c r="AJ212" s="5">
        <f t="shared" si="109"/>
        <v>1</v>
      </c>
    </row>
    <row r="213" spans="1:36" x14ac:dyDescent="0.35">
      <c r="A213" s="7" t="str">
        <f t="shared" si="84"/>
        <v>&lt;contact&gt;&lt;category&gt;0&lt;/category&gt;&lt;person&gt;&lt;realName&gt;, Jeanet (Linea Lijstenmakerij)&lt;/realName&gt;&lt;/person&gt;</v>
      </c>
      <c r="B213" s="7" t="str">
        <f t="shared" si="85"/>
        <v>&lt;telephony nid="1"&gt;&lt;number id="0" prio="1" type="mobile"&gt;00 31 6 12 74 93 56&lt;/number&gt;&lt;/telephony&gt;</v>
      </c>
      <c r="C213" s="7" t="str">
        <f t="shared" si="86"/>
        <v>&lt;services /&gt;&lt;setup /&gt;&lt;mod_time&gt;1500000010&lt;/mod_time&gt;&lt;uniqueid&gt;1&lt;/uniqueid&gt;&lt;/contact&gt;</v>
      </c>
      <c r="D213" t="str">
        <f t="shared" si="87"/>
        <v>&lt;contact&gt;&lt;category&gt;0&lt;/category&gt;&lt;person&gt;&lt;realName&gt;, Jeanet (Linea Lijstenmakerij)&lt;/realName&gt;&lt;/person&gt;</v>
      </c>
      <c r="E213" t="str">
        <f t="shared" si="88"/>
        <v>&lt;telephony nid="1"&gt;&lt;number id="0" prio="1" type="mobile"&gt;00 31 6 12 74 93 56&lt;/number&gt;&lt;/telephony&gt;</v>
      </c>
      <c r="F213" t="str">
        <f t="shared" si="89"/>
        <v>&lt;telephony nid="1"&gt;</v>
      </c>
      <c r="G213" t="str">
        <f t="shared" si="90"/>
        <v/>
      </c>
      <c r="H213" t="str">
        <f t="shared" si="91"/>
        <v>&lt;services nid="1"&gt;&lt;email id="0" classifier="private"&gt;&lt;/email&gt;&lt;/services&gt;&lt;setup /&gt;&lt;mod_time&gt;1500000010&lt;/mod_time&gt;&lt;uniqueid&gt;1&lt;/uniqueid&gt;&lt;/contact&gt;</v>
      </c>
      <c r="I213" t="str">
        <f t="shared" si="92"/>
        <v>&lt;services /&gt;&lt;setup /&gt;&lt;mod_time&gt;1500000010&lt;/mod_time&gt;&lt;uniqueid&gt;1&lt;/uniqueid&gt;&lt;/contact&gt;</v>
      </c>
      <c r="J213" t="str">
        <f t="shared" si="93"/>
        <v>&lt;services /&gt;&lt;setup /&gt;&lt;mod_time&gt;1500000010&lt;/mod_time&gt;&lt;uniqueid&gt;1&lt;/uniqueid&gt;&lt;/contact&gt;</v>
      </c>
      <c r="K213" s="5">
        <f t="shared" si="94"/>
        <v>0</v>
      </c>
      <c r="L213" s="5">
        <f t="shared" si="95"/>
        <v>0</v>
      </c>
      <c r="M213" s="5" t="str">
        <f>CONCATENATE(+Contacts!E213)</f>
        <v/>
      </c>
      <c r="N213" t="str">
        <f t="shared" si="96"/>
        <v/>
      </c>
      <c r="O213" s="5">
        <f t="shared" si="97"/>
        <v>0</v>
      </c>
      <c r="P213" s="5">
        <f t="shared" si="98"/>
        <v>0</v>
      </c>
      <c r="Q213" s="5" t="str">
        <f>CONCATENATE(+Contacts!G213)</f>
        <v/>
      </c>
      <c r="R213" t="str">
        <f t="shared" si="99"/>
        <v>&lt;number id="0" prio="1" type="mobile"&gt;00 31 6 12 74 93 56&lt;/number&gt;</v>
      </c>
      <c r="S213" s="5">
        <f t="shared" si="100"/>
        <v>1</v>
      </c>
      <c r="T213" s="5">
        <f t="shared" si="101"/>
        <v>1</v>
      </c>
      <c r="U213" s="5" t="str">
        <f>CONCATENATE(+Contacts!H213)</f>
        <v>00 31 6 12 74 93 56</v>
      </c>
      <c r="V213" t="str">
        <f t="shared" si="102"/>
        <v/>
      </c>
      <c r="W213" s="5">
        <f t="shared" si="103"/>
        <v>1</v>
      </c>
      <c r="X213" s="5">
        <f t="shared" si="104"/>
        <v>1</v>
      </c>
      <c r="Y213" s="5" t="str">
        <f>CONCATENATE(+Contacts!F213)</f>
        <v/>
      </c>
      <c r="Z213" s="2" t="str">
        <f t="shared" si="105"/>
        <v>, Jeanet (Linea Lijstenmakerij)</v>
      </c>
      <c r="AA213" s="2" t="str">
        <f>CONCATENATE(+Contacts!C213)</f>
        <v/>
      </c>
      <c r="AB213" s="2" t="str">
        <f t="shared" si="106"/>
        <v xml:space="preserve">, </v>
      </c>
      <c r="AC213" s="2" t="str">
        <f>CONCATENATE(+Contacts!A213)</f>
        <v>Jeanet</v>
      </c>
      <c r="AD213" s="3" t="str">
        <f>CONCATENATE(" ",+Contacts!B213)</f>
        <v xml:space="preserve"> </v>
      </c>
      <c r="AE213" s="2" t="str">
        <f t="shared" si="107"/>
        <v>(</v>
      </c>
      <c r="AF213" s="3" t="str">
        <f>CONCATENATE(+Contacts!D213)</f>
        <v>Linea Lijstenmakerij</v>
      </c>
      <c r="AG213" s="2" t="str">
        <f t="shared" si="108"/>
        <v>)</v>
      </c>
      <c r="AH213" t="str">
        <f>CONCATENATE(+Contacts!I213)</f>
        <v/>
      </c>
      <c r="AI213">
        <v>1500000010</v>
      </c>
      <c r="AJ213" s="5">
        <f t="shared" si="109"/>
        <v>1</v>
      </c>
    </row>
    <row r="214" spans="1:36" x14ac:dyDescent="0.35">
      <c r="A214" s="7" t="str">
        <f t="shared" si="84"/>
        <v>&lt;contact&gt;&lt;category&gt;0&lt;/category&gt;&lt;person&gt;&lt;realName&gt;Jong-Kanters, J. de  &lt;/realName&gt;&lt;/person&gt;</v>
      </c>
      <c r="B214" s="7" t="str">
        <f t="shared" si="85"/>
        <v>&lt;telephony nid="1"&gt;&lt;number id="0" prio="1" type="home"&gt;+31 105113145&lt;/number&gt;&lt;/telephony&gt;</v>
      </c>
      <c r="C214" s="7" t="str">
        <f t="shared" si="86"/>
        <v>&lt;services /&gt;&lt;setup /&gt;&lt;mod_time&gt;1500000010&lt;/mod_time&gt;&lt;uniqueid&gt;1&lt;/uniqueid&gt;&lt;/contact&gt;</v>
      </c>
      <c r="D214" t="str">
        <f t="shared" si="87"/>
        <v>&lt;contact&gt;&lt;category&gt;0&lt;/category&gt;&lt;person&gt;&lt;realName&gt;Jong-Kanters, J. de  &lt;/realName&gt;&lt;/person&gt;</v>
      </c>
      <c r="E214" t="str">
        <f t="shared" si="88"/>
        <v>&lt;telephony nid="1"&gt;&lt;number id="0" prio="1" type="home"&gt;+31 105113145&lt;/number&gt;&lt;/telephony&gt;</v>
      </c>
      <c r="F214" t="str">
        <f t="shared" si="89"/>
        <v>&lt;telephony nid="1"&gt;</v>
      </c>
      <c r="G214" t="str">
        <f t="shared" si="90"/>
        <v/>
      </c>
      <c r="H214" t="str">
        <f t="shared" si="91"/>
        <v>&lt;services nid="1"&gt;&lt;email id="0" classifier="private"&gt;&lt;/email&gt;&lt;/services&gt;&lt;setup /&gt;&lt;mod_time&gt;1500000010&lt;/mod_time&gt;&lt;uniqueid&gt;1&lt;/uniqueid&gt;&lt;/contact&gt;</v>
      </c>
      <c r="I214" t="str">
        <f t="shared" si="92"/>
        <v>&lt;services /&gt;&lt;setup /&gt;&lt;mod_time&gt;1500000010&lt;/mod_time&gt;&lt;uniqueid&gt;1&lt;/uniqueid&gt;&lt;/contact&gt;</v>
      </c>
      <c r="J214" t="str">
        <f t="shared" si="93"/>
        <v>&lt;services /&gt;&lt;setup /&gt;&lt;mod_time&gt;1500000010&lt;/mod_time&gt;&lt;uniqueid&gt;1&lt;/uniqueid&gt;&lt;/contact&gt;</v>
      </c>
      <c r="K214" s="5">
        <f t="shared" si="94"/>
        <v>0</v>
      </c>
      <c r="L214" s="5">
        <f t="shared" si="95"/>
        <v>0</v>
      </c>
      <c r="M214" s="5" t="str">
        <f>CONCATENATE(+Contacts!E214)</f>
        <v/>
      </c>
      <c r="N214" t="str">
        <f t="shared" si="96"/>
        <v>&lt;number id="0" prio="1" type="home"&gt;+31 105113145&lt;/number&gt;</v>
      </c>
      <c r="O214" s="5">
        <f t="shared" si="97"/>
        <v>1</v>
      </c>
      <c r="P214" s="5">
        <f t="shared" si="98"/>
        <v>1</v>
      </c>
      <c r="Q214" s="5" t="str">
        <f>CONCATENATE(+Contacts!G214)</f>
        <v>+31 105113145</v>
      </c>
      <c r="R214" t="str">
        <f t="shared" si="99"/>
        <v/>
      </c>
      <c r="S214" s="5">
        <f t="shared" si="100"/>
        <v>1</v>
      </c>
      <c r="T214" s="5">
        <f t="shared" si="101"/>
        <v>1</v>
      </c>
      <c r="U214" s="5" t="str">
        <f>CONCATENATE(+Contacts!H214)</f>
        <v/>
      </c>
      <c r="V214" t="str">
        <f t="shared" si="102"/>
        <v/>
      </c>
      <c r="W214" s="5">
        <f t="shared" si="103"/>
        <v>1</v>
      </c>
      <c r="X214" s="5">
        <f t="shared" si="104"/>
        <v>1</v>
      </c>
      <c r="Y214" s="5" t="str">
        <f>CONCATENATE(+Contacts!F214)</f>
        <v/>
      </c>
      <c r="Z214" s="2" t="str">
        <f t="shared" si="105"/>
        <v xml:space="preserve">Jong-Kanters, J. de  </v>
      </c>
      <c r="AA214" s="2" t="str">
        <f>CONCATENATE(+Contacts!C214)</f>
        <v>Jong-Kanters</v>
      </c>
      <c r="AB214" s="2" t="str">
        <f t="shared" si="106"/>
        <v xml:space="preserve">, </v>
      </c>
      <c r="AC214" s="2" t="str">
        <f>CONCATENATE(+Contacts!A214)</f>
        <v>J.</v>
      </c>
      <c r="AD214" s="3" t="str">
        <f>CONCATENATE(" ",+Contacts!B214)</f>
        <v xml:space="preserve"> de</v>
      </c>
      <c r="AE214" s="2" t="str">
        <f t="shared" si="107"/>
        <v xml:space="preserve"> </v>
      </c>
      <c r="AF214" s="3" t="str">
        <f>CONCATENATE(+Contacts!D214)</f>
        <v/>
      </c>
      <c r="AG214" s="2" t="str">
        <f t="shared" si="108"/>
        <v xml:space="preserve"> </v>
      </c>
      <c r="AH214" t="str">
        <f>CONCATENATE(+Contacts!I214)</f>
        <v/>
      </c>
      <c r="AI214">
        <v>1500000010</v>
      </c>
      <c r="AJ214" s="5">
        <f t="shared" si="109"/>
        <v>1</v>
      </c>
    </row>
    <row r="215" spans="1:36" x14ac:dyDescent="0.35">
      <c r="A215" s="7" t="str">
        <f t="shared" si="84"/>
        <v>&lt;contact&gt;&lt;category&gt;0&lt;/category&gt;&lt;person&gt;&lt;realName&gt;Jong, Beppie de  &lt;/realName&gt;&lt;/person&gt;</v>
      </c>
      <c r="B215" s="7" t="str">
        <f t="shared" si="85"/>
        <v>&lt;telephony nid="2"&gt;&lt;number id="0" prio="1" type="home"&gt;+47 64934186&lt;/number&gt;&lt;number id="1" prio="0" type="mobile"&gt;+47 93449078&lt;/number&gt;&lt;/telephony&gt;</v>
      </c>
      <c r="C215" s="7" t="str">
        <f t="shared" si="86"/>
        <v>&lt;services nid="1"&gt;&lt;email id="0" classifier="private"&gt;elizabeth.de-jong@umb.no&lt;/email&gt;&lt;/services&gt;&lt;setup /&gt;&lt;mod_time&gt;1500000010&lt;/mod_time&gt;&lt;uniqueid&gt;1&lt;/uniqueid&gt;&lt;/contact&gt;</v>
      </c>
      <c r="D215" t="str">
        <f t="shared" si="87"/>
        <v>&lt;contact&gt;&lt;category&gt;0&lt;/category&gt;&lt;person&gt;&lt;realName&gt;Jong, Beppie de  &lt;/realName&gt;&lt;/person&gt;</v>
      </c>
      <c r="E215" t="str">
        <f t="shared" si="88"/>
        <v>&lt;telephony nid="2"&gt;&lt;number id="0" prio="1" type="home"&gt;+47 64934186&lt;/number&gt;&lt;number id="1" prio="0" type="mobile"&gt;+47 93449078&lt;/number&gt;&lt;/telephony&gt;</v>
      </c>
      <c r="F215" t="str">
        <f t="shared" si="89"/>
        <v>&lt;telephony nid="2"&gt;</v>
      </c>
      <c r="G215" t="str">
        <f t="shared" si="90"/>
        <v/>
      </c>
      <c r="H215" t="str">
        <f t="shared" si="91"/>
        <v>&lt;services nid="1"&gt;&lt;email id="0" classifier="private"&gt;elizabeth.de-jong@umb.no&lt;/email&gt;&lt;/services&gt;&lt;setup /&gt;&lt;mod_time&gt;1500000010&lt;/mod_time&gt;&lt;uniqueid&gt;1&lt;/uniqueid&gt;&lt;/contact&gt;</v>
      </c>
      <c r="I215" t="str">
        <f t="shared" si="92"/>
        <v>&lt;services /&gt;&lt;setup /&gt;&lt;mod_time&gt;1500000010&lt;/mod_time&gt;&lt;uniqueid&gt;1&lt;/uniqueid&gt;&lt;/contact&gt;</v>
      </c>
      <c r="J215" t="str">
        <f t="shared" si="93"/>
        <v>&lt;services nid="1"&gt;&lt;email id="0" classifier="private"&gt;elizabeth.de-jong@umb.no&lt;/email&gt;&lt;/services&gt;&lt;setup /&gt;&lt;mod_time&gt;1500000010&lt;/mod_time&gt;&lt;uniqueid&gt;1&lt;/uniqueid&gt;&lt;/contact&gt;</v>
      </c>
      <c r="K215" s="5">
        <f t="shared" si="94"/>
        <v>0</v>
      </c>
      <c r="L215" s="5">
        <f t="shared" si="95"/>
        <v>0</v>
      </c>
      <c r="M215" s="5" t="str">
        <f>CONCATENATE(+Contacts!E215)</f>
        <v/>
      </c>
      <c r="N215" t="str">
        <f t="shared" si="96"/>
        <v>&lt;number id="0" prio="1" type="home"&gt;+47 64934186&lt;/number&gt;</v>
      </c>
      <c r="O215" s="5">
        <f t="shared" si="97"/>
        <v>1</v>
      </c>
      <c r="P215" s="5">
        <f t="shared" si="98"/>
        <v>1</v>
      </c>
      <c r="Q215" s="5" t="str">
        <f>CONCATENATE(+Contacts!G215)</f>
        <v>+47 64934186</v>
      </c>
      <c r="R215" t="str">
        <f t="shared" si="99"/>
        <v>&lt;number id="1" prio="0" type="mobile"&gt;+47 93449078&lt;/number&gt;</v>
      </c>
      <c r="S215" s="5">
        <f t="shared" si="100"/>
        <v>2</v>
      </c>
      <c r="T215" s="5">
        <f t="shared" si="101"/>
        <v>0</v>
      </c>
      <c r="U215" s="5" t="str">
        <f>CONCATENATE(+Contacts!H215)</f>
        <v>+47 93449078</v>
      </c>
      <c r="V215" t="str">
        <f t="shared" si="102"/>
        <v/>
      </c>
      <c r="W215" s="5">
        <f t="shared" si="103"/>
        <v>2</v>
      </c>
      <c r="X215" s="5">
        <f t="shared" si="104"/>
        <v>0</v>
      </c>
      <c r="Y215" s="5" t="str">
        <f>CONCATENATE(+Contacts!F215)</f>
        <v/>
      </c>
      <c r="Z215" s="2" t="str">
        <f t="shared" si="105"/>
        <v xml:space="preserve">Jong, Beppie de  </v>
      </c>
      <c r="AA215" s="2" t="str">
        <f>CONCATENATE(+Contacts!C215)</f>
        <v>Jong</v>
      </c>
      <c r="AB215" s="2" t="str">
        <f t="shared" si="106"/>
        <v xml:space="preserve">, </v>
      </c>
      <c r="AC215" s="2" t="str">
        <f>CONCATENATE(+Contacts!A215)</f>
        <v>Beppie</v>
      </c>
      <c r="AD215" s="3" t="str">
        <f>CONCATENATE(" ",+Contacts!B215)</f>
        <v xml:space="preserve"> de</v>
      </c>
      <c r="AE215" s="2" t="str">
        <f t="shared" si="107"/>
        <v xml:space="preserve"> </v>
      </c>
      <c r="AF215" s="3" t="str">
        <f>CONCATENATE(+Contacts!D215)</f>
        <v/>
      </c>
      <c r="AG215" s="2" t="str">
        <f t="shared" si="108"/>
        <v xml:space="preserve"> </v>
      </c>
      <c r="AH215" t="str">
        <f>CONCATENATE(+Contacts!I215)</f>
        <v>elizabeth.de-jong@umb.no</v>
      </c>
      <c r="AI215">
        <v>1500000010</v>
      </c>
      <c r="AJ215" s="5">
        <f t="shared" si="109"/>
        <v>1</v>
      </c>
    </row>
    <row r="216" spans="1:36" x14ac:dyDescent="0.35">
      <c r="A216" s="7" t="str">
        <f t="shared" si="84"/>
        <v>&lt;contact&gt;&lt;category&gt;0&lt;/category&gt;&lt;person&gt;&lt;realName&gt;Jong  de(Restaurant)&lt;/realName&gt;&lt;/person&gt;</v>
      </c>
      <c r="B216" s="7" t="str">
        <f t="shared" si="85"/>
        <v>&lt;telephony nid="1"&gt;&lt;number id="0" prio="1" type="work"&gt;+31 104657955&lt;/number&gt;&lt;/telephony&gt;</v>
      </c>
      <c r="C216" s="7" t="str">
        <f t="shared" si="86"/>
        <v>&lt;services /&gt;&lt;setup /&gt;&lt;mod_time&gt;1500000010&lt;/mod_time&gt;&lt;uniqueid&gt;1&lt;/uniqueid&gt;&lt;/contact&gt;</v>
      </c>
      <c r="D216" t="str">
        <f t="shared" si="87"/>
        <v>&lt;contact&gt;&lt;category&gt;0&lt;/category&gt;&lt;person&gt;&lt;realName&gt;Jong  de(Restaurant)&lt;/realName&gt;&lt;/person&gt;</v>
      </c>
      <c r="E216" t="str">
        <f t="shared" si="88"/>
        <v>&lt;telephony nid="1"&gt;&lt;number id="0" prio="1" type="work"&gt;+31 104657955&lt;/number&gt;&lt;/telephony&gt;</v>
      </c>
      <c r="F216" t="str">
        <f t="shared" si="89"/>
        <v>&lt;telephony nid="1"&gt;</v>
      </c>
      <c r="G216" t="str">
        <f t="shared" si="90"/>
        <v>&lt;number id="0" prio="1" type="work"&gt;+31 104657955&lt;/number&gt;</v>
      </c>
      <c r="H216" t="str">
        <f t="shared" si="91"/>
        <v>&lt;services nid="1"&gt;&lt;email id="0" classifier="private"&gt;&lt;/email&gt;&lt;/services&gt;&lt;setup /&gt;&lt;mod_time&gt;1500000010&lt;/mod_time&gt;&lt;uniqueid&gt;1&lt;/uniqueid&gt;&lt;/contact&gt;</v>
      </c>
      <c r="I216" t="str">
        <f t="shared" si="92"/>
        <v>&lt;services /&gt;&lt;setup /&gt;&lt;mod_time&gt;1500000010&lt;/mod_time&gt;&lt;uniqueid&gt;1&lt;/uniqueid&gt;&lt;/contact&gt;</v>
      </c>
      <c r="J216" t="str">
        <f t="shared" si="93"/>
        <v>&lt;services /&gt;&lt;setup /&gt;&lt;mod_time&gt;1500000010&lt;/mod_time&gt;&lt;uniqueid&gt;1&lt;/uniqueid&gt;&lt;/contact&gt;</v>
      </c>
      <c r="K216" s="5">
        <f t="shared" si="94"/>
        <v>1</v>
      </c>
      <c r="L216" s="5">
        <f t="shared" si="95"/>
        <v>1</v>
      </c>
      <c r="M216" s="5" t="str">
        <f>CONCATENATE(+Contacts!E216)</f>
        <v>+31 104657955</v>
      </c>
      <c r="N216" t="str">
        <f t="shared" si="96"/>
        <v/>
      </c>
      <c r="O216" s="5">
        <f t="shared" si="97"/>
        <v>1</v>
      </c>
      <c r="P216" s="5">
        <f t="shared" si="98"/>
        <v>1</v>
      </c>
      <c r="Q216" s="5" t="str">
        <f>CONCATENATE(+Contacts!G216)</f>
        <v/>
      </c>
      <c r="R216" t="str">
        <f t="shared" si="99"/>
        <v/>
      </c>
      <c r="S216" s="5">
        <f t="shared" si="100"/>
        <v>1</v>
      </c>
      <c r="T216" s="5">
        <f t="shared" si="101"/>
        <v>1</v>
      </c>
      <c r="U216" s="5" t="str">
        <f>CONCATENATE(+Contacts!H216)</f>
        <v/>
      </c>
      <c r="V216" t="str">
        <f t="shared" si="102"/>
        <v/>
      </c>
      <c r="W216" s="5">
        <f t="shared" si="103"/>
        <v>1</v>
      </c>
      <c r="X216" s="5">
        <f t="shared" si="104"/>
        <v>1</v>
      </c>
      <c r="Y216" s="5" t="str">
        <f>CONCATENATE(+Contacts!F216)</f>
        <v/>
      </c>
      <c r="Z216" s="2" t="str">
        <f t="shared" si="105"/>
        <v>Jong  de(Restaurant)</v>
      </c>
      <c r="AA216" s="2" t="str">
        <f>CONCATENATE(+Contacts!C216)</f>
        <v>Jong</v>
      </c>
      <c r="AB216" s="2" t="str">
        <f t="shared" si="106"/>
        <v xml:space="preserve"> </v>
      </c>
      <c r="AC216" s="2" t="str">
        <f>CONCATENATE(+Contacts!A216)</f>
        <v/>
      </c>
      <c r="AD216" s="3" t="str">
        <f>CONCATENATE(" ",+Contacts!B216)</f>
        <v xml:space="preserve"> de</v>
      </c>
      <c r="AE216" s="2" t="str">
        <f t="shared" si="107"/>
        <v>(</v>
      </c>
      <c r="AF216" s="3" t="str">
        <f>CONCATENATE(+Contacts!D216)</f>
        <v>Restaurant</v>
      </c>
      <c r="AG216" s="2" t="str">
        <f t="shared" si="108"/>
        <v>)</v>
      </c>
      <c r="AH216" t="str">
        <f>CONCATENATE(+Contacts!I216)</f>
        <v/>
      </c>
      <c r="AI216">
        <v>1500000010</v>
      </c>
      <c r="AJ216" s="5">
        <f t="shared" si="109"/>
        <v>1</v>
      </c>
    </row>
    <row r="217" spans="1:36" x14ac:dyDescent="0.35">
      <c r="A217" s="7" t="str">
        <f t="shared" si="84"/>
        <v>&lt;contact&gt;&lt;category&gt;0&lt;/category&gt;&lt;person&gt;&lt;realName&gt;Jong, Stephan de  &lt;/realName&gt;&lt;/person&gt;</v>
      </c>
      <c r="B217" s="7" t="str">
        <f t="shared" si="85"/>
        <v>&lt;telephony nid="1"&gt;&lt;number id="0" prio="1" type="home"&gt;+31 514 59 36 40&lt;/number&gt;&lt;/telephony&gt;</v>
      </c>
      <c r="C217" s="7" t="str">
        <f t="shared" si="86"/>
        <v>&lt;services nid="1"&gt;&lt;email id="0" classifier="private"&gt;steph.jong@live.nl&lt;/email&gt;&lt;/services&gt;&lt;setup /&gt;&lt;mod_time&gt;1500000010&lt;/mod_time&gt;&lt;uniqueid&gt;1&lt;/uniqueid&gt;&lt;/contact&gt;</v>
      </c>
      <c r="D217" t="str">
        <f t="shared" si="87"/>
        <v>&lt;contact&gt;&lt;category&gt;0&lt;/category&gt;&lt;person&gt;&lt;realName&gt;Jong, Stephan de  &lt;/realName&gt;&lt;/person&gt;</v>
      </c>
      <c r="E217" t="str">
        <f t="shared" si="88"/>
        <v>&lt;telephony nid="1"&gt;&lt;number id="0" prio="1" type="home"&gt;+31 514 59 36 40&lt;/number&gt;&lt;/telephony&gt;</v>
      </c>
      <c r="F217" t="str">
        <f t="shared" si="89"/>
        <v>&lt;telephony nid="1"&gt;</v>
      </c>
      <c r="G217" t="str">
        <f t="shared" si="90"/>
        <v/>
      </c>
      <c r="H217" t="str">
        <f t="shared" si="91"/>
        <v>&lt;services nid="1"&gt;&lt;email id="0" classifier="private"&gt;steph.jong@live.nl&lt;/email&gt;&lt;/services&gt;&lt;setup /&gt;&lt;mod_time&gt;1500000010&lt;/mod_time&gt;&lt;uniqueid&gt;1&lt;/uniqueid&gt;&lt;/contact&gt;</v>
      </c>
      <c r="I217" t="str">
        <f t="shared" si="92"/>
        <v>&lt;services /&gt;&lt;setup /&gt;&lt;mod_time&gt;1500000010&lt;/mod_time&gt;&lt;uniqueid&gt;1&lt;/uniqueid&gt;&lt;/contact&gt;</v>
      </c>
      <c r="J217" t="str">
        <f t="shared" si="93"/>
        <v>&lt;services nid="1"&gt;&lt;email id="0" classifier="private"&gt;steph.jong@live.nl&lt;/email&gt;&lt;/services&gt;&lt;setup /&gt;&lt;mod_time&gt;1500000010&lt;/mod_time&gt;&lt;uniqueid&gt;1&lt;/uniqueid&gt;&lt;/contact&gt;</v>
      </c>
      <c r="K217" s="5">
        <f t="shared" si="94"/>
        <v>0</v>
      </c>
      <c r="L217" s="5">
        <f t="shared" si="95"/>
        <v>0</v>
      </c>
      <c r="M217" s="5" t="str">
        <f>CONCATENATE(+Contacts!E217)</f>
        <v/>
      </c>
      <c r="N217" t="str">
        <f t="shared" si="96"/>
        <v>&lt;number id="0" prio="1" type="home"&gt;+31 514 59 36 40&lt;/number&gt;</v>
      </c>
      <c r="O217" s="5">
        <f t="shared" si="97"/>
        <v>1</v>
      </c>
      <c r="P217" s="5">
        <f t="shared" si="98"/>
        <v>1</v>
      </c>
      <c r="Q217" s="5" t="str">
        <f>CONCATENATE(+Contacts!G217)</f>
        <v>+31 514 59 36 40</v>
      </c>
      <c r="R217" t="str">
        <f t="shared" si="99"/>
        <v/>
      </c>
      <c r="S217" s="5">
        <f t="shared" si="100"/>
        <v>1</v>
      </c>
      <c r="T217" s="5">
        <f t="shared" si="101"/>
        <v>1</v>
      </c>
      <c r="U217" s="5" t="str">
        <f>CONCATENATE(+Contacts!H217)</f>
        <v/>
      </c>
      <c r="V217" t="str">
        <f t="shared" si="102"/>
        <v/>
      </c>
      <c r="W217" s="5">
        <f t="shared" si="103"/>
        <v>1</v>
      </c>
      <c r="X217" s="5">
        <f t="shared" si="104"/>
        <v>1</v>
      </c>
      <c r="Y217" s="5" t="str">
        <f>CONCATENATE(+Contacts!F217)</f>
        <v/>
      </c>
      <c r="Z217" s="2" t="str">
        <f t="shared" si="105"/>
        <v xml:space="preserve">Jong, Stephan de  </v>
      </c>
      <c r="AA217" s="2" t="str">
        <f>CONCATENATE(+Contacts!C217)</f>
        <v>Jong</v>
      </c>
      <c r="AB217" s="2" t="str">
        <f t="shared" si="106"/>
        <v xml:space="preserve">, </v>
      </c>
      <c r="AC217" s="2" t="str">
        <f>CONCATENATE(+Contacts!A217)</f>
        <v>Stephan</v>
      </c>
      <c r="AD217" s="3" t="str">
        <f>CONCATENATE(" ",+Contacts!B217)</f>
        <v xml:space="preserve"> de</v>
      </c>
      <c r="AE217" s="2" t="str">
        <f t="shared" si="107"/>
        <v xml:space="preserve"> </v>
      </c>
      <c r="AF217" s="3" t="str">
        <f>CONCATENATE(+Contacts!D217)</f>
        <v/>
      </c>
      <c r="AG217" s="2" t="str">
        <f t="shared" si="108"/>
        <v xml:space="preserve"> </v>
      </c>
      <c r="AH217" t="str">
        <f>CONCATENATE(+Contacts!I217)</f>
        <v>steph.jong@live.nl</v>
      </c>
      <c r="AI217">
        <v>1500000010</v>
      </c>
      <c r="AJ217" s="5">
        <f t="shared" si="109"/>
        <v>1</v>
      </c>
    </row>
    <row r="218" spans="1:36" x14ac:dyDescent="0.35">
      <c r="A218" s="7" t="str">
        <f t="shared" si="84"/>
        <v>&lt;contact&gt;&lt;category&gt;0&lt;/category&gt;&lt;person&gt;&lt;realName&gt;, Jos ( Van Gym)   &lt;/realName&gt;&lt;/person&gt;</v>
      </c>
      <c r="B218" s="7" t="str">
        <f t="shared" si="85"/>
        <v>&lt;telephony nid="1"&gt;&lt;number id="0" prio="1" type="home"&gt;+31 6 82 81 29 11&lt;/number&gt;&lt;/telephony&gt;</v>
      </c>
      <c r="C218" s="7" t="str">
        <f t="shared" si="86"/>
        <v>&lt;services /&gt;&lt;setup /&gt;&lt;mod_time&gt;1500000010&lt;/mod_time&gt;&lt;uniqueid&gt;1&lt;/uniqueid&gt;&lt;/contact&gt;</v>
      </c>
      <c r="D218" t="str">
        <f t="shared" si="87"/>
        <v>&lt;contact&gt;&lt;category&gt;0&lt;/category&gt;&lt;person&gt;&lt;realName&gt;, Jos ( Van Gym)   &lt;/realName&gt;&lt;/person&gt;</v>
      </c>
      <c r="E218" t="str">
        <f t="shared" si="88"/>
        <v>&lt;telephony nid="1"&gt;&lt;number id="0" prio="1" type="home"&gt;+31 6 82 81 29 11&lt;/number&gt;&lt;/telephony&gt;</v>
      </c>
      <c r="F218" t="str">
        <f t="shared" si="89"/>
        <v>&lt;telephony nid="1"&gt;</v>
      </c>
      <c r="G218" t="str">
        <f t="shared" si="90"/>
        <v/>
      </c>
      <c r="H218" t="str">
        <f t="shared" si="91"/>
        <v>&lt;services nid="1"&gt;&lt;email id="0" classifier="private"&gt;&lt;/email&gt;&lt;/services&gt;&lt;setup /&gt;&lt;mod_time&gt;1500000010&lt;/mod_time&gt;&lt;uniqueid&gt;1&lt;/uniqueid&gt;&lt;/contact&gt;</v>
      </c>
      <c r="I218" t="str">
        <f t="shared" si="92"/>
        <v>&lt;services /&gt;&lt;setup /&gt;&lt;mod_time&gt;1500000010&lt;/mod_time&gt;&lt;uniqueid&gt;1&lt;/uniqueid&gt;&lt;/contact&gt;</v>
      </c>
      <c r="J218" t="str">
        <f t="shared" si="93"/>
        <v>&lt;services /&gt;&lt;setup /&gt;&lt;mod_time&gt;1500000010&lt;/mod_time&gt;&lt;uniqueid&gt;1&lt;/uniqueid&gt;&lt;/contact&gt;</v>
      </c>
      <c r="K218" s="5">
        <f t="shared" si="94"/>
        <v>0</v>
      </c>
      <c r="L218" s="5">
        <f t="shared" si="95"/>
        <v>0</v>
      </c>
      <c r="M218" s="5" t="str">
        <f>CONCATENATE(+Contacts!E218)</f>
        <v/>
      </c>
      <c r="N218" t="str">
        <f t="shared" si="96"/>
        <v>&lt;number id="0" prio="1" type="home"&gt;+31 6 82 81 29 11&lt;/number&gt;</v>
      </c>
      <c r="O218" s="5">
        <f t="shared" si="97"/>
        <v>1</v>
      </c>
      <c r="P218" s="5">
        <f t="shared" si="98"/>
        <v>1</v>
      </c>
      <c r="Q218" s="5" t="str">
        <f>CONCATENATE(+Contacts!G218)</f>
        <v>+31 6 82 81 29 11</v>
      </c>
      <c r="R218" t="str">
        <f t="shared" si="99"/>
        <v/>
      </c>
      <c r="S218" s="5">
        <f t="shared" si="100"/>
        <v>1</v>
      </c>
      <c r="T218" s="5">
        <f t="shared" si="101"/>
        <v>1</v>
      </c>
      <c r="U218" s="5" t="str">
        <f>CONCATENATE(+Contacts!H218)</f>
        <v/>
      </c>
      <c r="V218" t="str">
        <f t="shared" si="102"/>
        <v/>
      </c>
      <c r="W218" s="5">
        <f t="shared" si="103"/>
        <v>1</v>
      </c>
      <c r="X218" s="5">
        <f t="shared" si="104"/>
        <v>1</v>
      </c>
      <c r="Y218" s="5" t="str">
        <f>CONCATENATE(+Contacts!F218)</f>
        <v/>
      </c>
      <c r="Z218" s="2" t="str">
        <f t="shared" si="105"/>
        <v xml:space="preserve">, Jos ( Van Gym)   </v>
      </c>
      <c r="AA218" s="2" t="str">
        <f>CONCATENATE(+Contacts!C218)</f>
        <v/>
      </c>
      <c r="AB218" s="2" t="str">
        <f t="shared" si="106"/>
        <v xml:space="preserve">, </v>
      </c>
      <c r="AC218" s="2" t="str">
        <f>CONCATENATE(+Contacts!A218)</f>
        <v>Jos ( Van Gym)</v>
      </c>
      <c r="AD218" s="3" t="str">
        <f>CONCATENATE(" ",+Contacts!B218)</f>
        <v xml:space="preserve"> </v>
      </c>
      <c r="AE218" s="2" t="str">
        <f t="shared" si="107"/>
        <v xml:space="preserve"> </v>
      </c>
      <c r="AF218" s="3" t="str">
        <f>CONCATENATE(+Contacts!D218)</f>
        <v/>
      </c>
      <c r="AG218" s="2" t="str">
        <f t="shared" si="108"/>
        <v xml:space="preserve"> </v>
      </c>
      <c r="AH218" t="str">
        <f>CONCATENATE(+Contacts!I218)</f>
        <v/>
      </c>
      <c r="AI218">
        <v>1500000010</v>
      </c>
      <c r="AJ218" s="5">
        <f t="shared" si="109"/>
        <v>1</v>
      </c>
    </row>
    <row r="219" spans="1:36" x14ac:dyDescent="0.35">
      <c r="A219" s="7" t="str">
        <f t="shared" si="84"/>
        <v/>
      </c>
      <c r="B219" s="7" t="str">
        <f t="shared" si="85"/>
        <v/>
      </c>
      <c r="C219" s="7" t="str">
        <f t="shared" si="86"/>
        <v/>
      </c>
      <c r="D219" t="str">
        <f t="shared" si="87"/>
        <v>&lt;contact&gt;&lt;category&gt;0&lt;/category&gt;&lt;person&gt;&lt;realName&gt;Jukema-Plaisier, Jeanette   &lt;/realName&gt;&lt;/person&gt;</v>
      </c>
      <c r="E219" t="str">
        <f t="shared" si="88"/>
        <v>&lt;telephony nid="0"&gt;&lt;/telephony&gt;</v>
      </c>
      <c r="F219" t="str">
        <f t="shared" si="89"/>
        <v>&lt;telephony nid="0"&gt;</v>
      </c>
      <c r="G219" t="str">
        <f t="shared" si="90"/>
        <v/>
      </c>
      <c r="H219" t="str">
        <f t="shared" si="91"/>
        <v>&lt;services nid="1"&gt;&lt;email id="0" classifier="private"&gt;jukema-plaisier@filternet.nl&lt;/email&gt;&lt;/services&gt;&lt;setup /&gt;&lt;mod_time&gt;1500000010&lt;/mod_time&gt;&lt;uniqueid&gt;0&lt;/uniqueid&gt;&lt;/contact&gt;</v>
      </c>
      <c r="I219" t="str">
        <f t="shared" si="92"/>
        <v>&lt;services /&gt;&lt;setup /&gt;&lt;mod_time&gt;1500000010&lt;/mod_time&gt;&lt;uniqueid&gt;0&lt;/uniqueid&gt;&lt;/contact&gt;</v>
      </c>
      <c r="J219" t="str">
        <f t="shared" si="93"/>
        <v>&lt;services nid="1"&gt;&lt;email id="0" classifier="private"&gt;jukema-plaisier@filternet.nl&lt;/email&gt;&lt;/services&gt;&lt;setup /&gt;&lt;mod_time&gt;1500000010&lt;/mod_time&gt;&lt;uniqueid&gt;0&lt;/uniqueid&gt;&lt;/contact&gt;</v>
      </c>
      <c r="K219" s="5">
        <f t="shared" si="94"/>
        <v>0</v>
      </c>
      <c r="L219" s="5">
        <f t="shared" si="95"/>
        <v>0</v>
      </c>
      <c r="M219" s="5" t="str">
        <f>CONCATENATE(+Contacts!E219)</f>
        <v/>
      </c>
      <c r="N219" t="str">
        <f t="shared" si="96"/>
        <v/>
      </c>
      <c r="O219" s="5">
        <f t="shared" si="97"/>
        <v>0</v>
      </c>
      <c r="P219" s="5">
        <f t="shared" si="98"/>
        <v>0</v>
      </c>
      <c r="Q219" s="5" t="str">
        <f>CONCATENATE(+Contacts!G219)</f>
        <v/>
      </c>
      <c r="R219" t="str">
        <f t="shared" si="99"/>
        <v/>
      </c>
      <c r="S219" s="5">
        <f t="shared" si="100"/>
        <v>0</v>
      </c>
      <c r="T219" s="5">
        <f t="shared" si="101"/>
        <v>0</v>
      </c>
      <c r="U219" s="5" t="str">
        <f>CONCATENATE(+Contacts!H219)</f>
        <v/>
      </c>
      <c r="V219" t="str">
        <f t="shared" si="102"/>
        <v/>
      </c>
      <c r="W219" s="5">
        <f t="shared" si="103"/>
        <v>0</v>
      </c>
      <c r="X219" s="5">
        <f t="shared" si="104"/>
        <v>0</v>
      </c>
      <c r="Y219" s="5" t="str">
        <f>CONCATENATE(+Contacts!F219)</f>
        <v/>
      </c>
      <c r="Z219" s="2" t="str">
        <f t="shared" si="105"/>
        <v xml:space="preserve">Jukema-Plaisier, Jeanette   </v>
      </c>
      <c r="AA219" s="2" t="str">
        <f>CONCATENATE(+Contacts!C219)</f>
        <v>Jukema-Plaisier</v>
      </c>
      <c r="AB219" s="2" t="str">
        <f t="shared" si="106"/>
        <v xml:space="preserve">, </v>
      </c>
      <c r="AC219" s="2" t="str">
        <f>CONCATENATE(+Contacts!A219)</f>
        <v>Jeanette</v>
      </c>
      <c r="AD219" s="3" t="str">
        <f>CONCATENATE(" ",+Contacts!B219)</f>
        <v xml:space="preserve"> </v>
      </c>
      <c r="AE219" s="2" t="str">
        <f t="shared" si="107"/>
        <v xml:space="preserve"> </v>
      </c>
      <c r="AF219" s="3" t="str">
        <f>CONCATENATE(+Contacts!D219)</f>
        <v/>
      </c>
      <c r="AG219" s="2" t="str">
        <f t="shared" si="108"/>
        <v xml:space="preserve"> </v>
      </c>
      <c r="AH219" t="str">
        <f>CONCATENATE(+Contacts!I219)</f>
        <v>jukema-plaisier@filternet.nl</v>
      </c>
      <c r="AI219">
        <v>1500000010</v>
      </c>
      <c r="AJ219" s="5">
        <f t="shared" si="109"/>
        <v>0</v>
      </c>
    </row>
    <row r="220" spans="1:36" x14ac:dyDescent="0.35">
      <c r="A220" s="7" t="str">
        <f t="shared" si="84"/>
        <v/>
      </c>
      <c r="B220" s="7" t="str">
        <f t="shared" si="85"/>
        <v/>
      </c>
      <c r="C220" s="7" t="str">
        <f t="shared" si="86"/>
        <v/>
      </c>
      <c r="D220" t="str">
        <f t="shared" si="87"/>
        <v>&lt;contact&gt;&lt;category&gt;0&lt;/category&gt;&lt;person&gt;&lt;realName&gt;Kaasenbrood, Paul (QNH)&lt;/realName&gt;&lt;/person&gt;</v>
      </c>
      <c r="E220" t="str">
        <f t="shared" si="88"/>
        <v>&lt;telephony nid="0"&gt;&lt;/telephony&gt;</v>
      </c>
      <c r="F220" t="str">
        <f t="shared" si="89"/>
        <v>&lt;telephony nid="0"&gt;</v>
      </c>
      <c r="G220" t="str">
        <f t="shared" si="90"/>
        <v/>
      </c>
      <c r="H220" t="str">
        <f t="shared" si="91"/>
        <v>&lt;services nid="1"&gt;&lt;email id="0" classifier="private"&gt;Paul.Kaasenbrood@qnh.nl&lt;/email&gt;&lt;/services&gt;&lt;setup /&gt;&lt;mod_time&gt;1500000010&lt;/mod_time&gt;&lt;uniqueid&gt;0&lt;/uniqueid&gt;&lt;/contact&gt;</v>
      </c>
      <c r="I220" t="str">
        <f t="shared" si="92"/>
        <v>&lt;services /&gt;&lt;setup /&gt;&lt;mod_time&gt;1500000010&lt;/mod_time&gt;&lt;uniqueid&gt;0&lt;/uniqueid&gt;&lt;/contact&gt;</v>
      </c>
      <c r="J220" t="str">
        <f t="shared" si="93"/>
        <v>&lt;services nid="1"&gt;&lt;email id="0" classifier="private"&gt;Paul.Kaasenbrood@qnh.nl&lt;/email&gt;&lt;/services&gt;&lt;setup /&gt;&lt;mod_time&gt;1500000010&lt;/mod_time&gt;&lt;uniqueid&gt;0&lt;/uniqueid&gt;&lt;/contact&gt;</v>
      </c>
      <c r="K220" s="5">
        <f t="shared" si="94"/>
        <v>0</v>
      </c>
      <c r="L220" s="5">
        <f t="shared" si="95"/>
        <v>0</v>
      </c>
      <c r="M220" s="5" t="str">
        <f>CONCATENATE(+Contacts!E220)</f>
        <v/>
      </c>
      <c r="N220" t="str">
        <f t="shared" si="96"/>
        <v/>
      </c>
      <c r="O220" s="5">
        <f t="shared" si="97"/>
        <v>0</v>
      </c>
      <c r="P220" s="5">
        <f t="shared" si="98"/>
        <v>0</v>
      </c>
      <c r="Q220" s="5" t="str">
        <f>CONCATENATE(+Contacts!G220)</f>
        <v/>
      </c>
      <c r="R220" t="str">
        <f t="shared" si="99"/>
        <v/>
      </c>
      <c r="S220" s="5">
        <f t="shared" si="100"/>
        <v>0</v>
      </c>
      <c r="T220" s="5">
        <f t="shared" si="101"/>
        <v>0</v>
      </c>
      <c r="U220" s="5" t="str">
        <f>CONCATENATE(+Contacts!H220)</f>
        <v/>
      </c>
      <c r="V220" t="str">
        <f t="shared" si="102"/>
        <v/>
      </c>
      <c r="W220" s="5">
        <f t="shared" si="103"/>
        <v>0</v>
      </c>
      <c r="X220" s="5">
        <f t="shared" si="104"/>
        <v>0</v>
      </c>
      <c r="Y220" s="5" t="str">
        <f>CONCATENATE(+Contacts!F220)</f>
        <v/>
      </c>
      <c r="Z220" s="2" t="str">
        <f t="shared" si="105"/>
        <v>Kaasenbrood, Paul (QNH)</v>
      </c>
      <c r="AA220" s="2" t="str">
        <f>CONCATENATE(+Contacts!C220)</f>
        <v>Kaasenbrood</v>
      </c>
      <c r="AB220" s="2" t="str">
        <f t="shared" si="106"/>
        <v xml:space="preserve">, </v>
      </c>
      <c r="AC220" s="2" t="str">
        <f>CONCATENATE(+Contacts!A220)</f>
        <v>Paul</v>
      </c>
      <c r="AD220" s="3" t="str">
        <f>CONCATENATE(" ",+Contacts!B220)</f>
        <v xml:space="preserve"> </v>
      </c>
      <c r="AE220" s="2" t="str">
        <f t="shared" si="107"/>
        <v>(</v>
      </c>
      <c r="AF220" s="3" t="str">
        <f>CONCATENATE(+Contacts!D220)</f>
        <v>QNH</v>
      </c>
      <c r="AG220" s="2" t="str">
        <f t="shared" si="108"/>
        <v>)</v>
      </c>
      <c r="AH220" t="str">
        <f>CONCATENATE(+Contacts!I220)</f>
        <v>Paul.Kaasenbrood@qnh.nl</v>
      </c>
      <c r="AI220">
        <v>1500000010</v>
      </c>
      <c r="AJ220" s="5">
        <f t="shared" si="109"/>
        <v>0</v>
      </c>
    </row>
    <row r="221" spans="1:36" x14ac:dyDescent="0.35">
      <c r="A221" s="7" t="str">
        <f t="shared" si="84"/>
        <v>&lt;contact&gt;&lt;category&gt;0&lt;/category&gt;&lt;person&gt;&lt;realName&gt;Kanters, Ada (Gastvrouw om in te vallen!)&lt;/realName&gt;&lt;/person&gt;</v>
      </c>
      <c r="B221" s="7" t="str">
        <f t="shared" si="85"/>
        <v>&lt;telephony nid="1"&gt;&lt;number id="0" prio="1" type="home"&gt;00 31 10 450 00 49&lt;/number&gt;&lt;/telephony&gt;</v>
      </c>
      <c r="C221" s="7" t="str">
        <f t="shared" si="86"/>
        <v>&lt;services /&gt;&lt;setup /&gt;&lt;mod_time&gt;1500000010&lt;/mod_time&gt;&lt;uniqueid&gt;1&lt;/uniqueid&gt;&lt;/contact&gt;</v>
      </c>
      <c r="D221" t="str">
        <f t="shared" si="87"/>
        <v>&lt;contact&gt;&lt;category&gt;0&lt;/category&gt;&lt;person&gt;&lt;realName&gt;Kanters, Ada (Gastvrouw om in te vallen!)&lt;/realName&gt;&lt;/person&gt;</v>
      </c>
      <c r="E221" t="str">
        <f t="shared" si="88"/>
        <v>&lt;telephony nid="1"&gt;&lt;number id="0" prio="1" type="home"&gt;00 31 10 450 00 49&lt;/number&gt;&lt;/telephony&gt;</v>
      </c>
      <c r="F221" t="str">
        <f t="shared" si="89"/>
        <v>&lt;telephony nid="1"&gt;</v>
      </c>
      <c r="G221" t="str">
        <f t="shared" si="90"/>
        <v/>
      </c>
      <c r="H221" t="str">
        <f t="shared" si="91"/>
        <v>&lt;services nid="1"&gt;&lt;email id="0" classifier="private"&gt;&lt;/email&gt;&lt;/services&gt;&lt;setup /&gt;&lt;mod_time&gt;1500000010&lt;/mod_time&gt;&lt;uniqueid&gt;1&lt;/uniqueid&gt;&lt;/contact&gt;</v>
      </c>
      <c r="I221" t="str">
        <f t="shared" si="92"/>
        <v>&lt;services /&gt;&lt;setup /&gt;&lt;mod_time&gt;1500000010&lt;/mod_time&gt;&lt;uniqueid&gt;1&lt;/uniqueid&gt;&lt;/contact&gt;</v>
      </c>
      <c r="J221" t="str">
        <f t="shared" si="93"/>
        <v>&lt;services /&gt;&lt;setup /&gt;&lt;mod_time&gt;1500000010&lt;/mod_time&gt;&lt;uniqueid&gt;1&lt;/uniqueid&gt;&lt;/contact&gt;</v>
      </c>
      <c r="K221" s="5">
        <f t="shared" si="94"/>
        <v>0</v>
      </c>
      <c r="L221" s="5">
        <f t="shared" si="95"/>
        <v>0</v>
      </c>
      <c r="M221" s="5" t="str">
        <f>CONCATENATE(+Contacts!E221)</f>
        <v/>
      </c>
      <c r="N221" t="str">
        <f t="shared" si="96"/>
        <v>&lt;number id="0" prio="1" type="home"&gt;00 31 10 450 00 49&lt;/number&gt;</v>
      </c>
      <c r="O221" s="5">
        <f t="shared" si="97"/>
        <v>1</v>
      </c>
      <c r="P221" s="5">
        <f t="shared" si="98"/>
        <v>1</v>
      </c>
      <c r="Q221" s="5" t="str">
        <f>CONCATENATE(+Contacts!G221)</f>
        <v>00 31 10 450 00 49</v>
      </c>
      <c r="R221" t="str">
        <f t="shared" si="99"/>
        <v/>
      </c>
      <c r="S221" s="5">
        <f t="shared" si="100"/>
        <v>1</v>
      </c>
      <c r="T221" s="5">
        <f t="shared" si="101"/>
        <v>1</v>
      </c>
      <c r="U221" s="5" t="str">
        <f>CONCATENATE(+Contacts!H221)</f>
        <v/>
      </c>
      <c r="V221" t="str">
        <f t="shared" si="102"/>
        <v/>
      </c>
      <c r="W221" s="5">
        <f t="shared" si="103"/>
        <v>1</v>
      </c>
      <c r="X221" s="5">
        <f t="shared" si="104"/>
        <v>1</v>
      </c>
      <c r="Y221" s="5" t="str">
        <f>CONCATENATE(+Contacts!F221)</f>
        <v/>
      </c>
      <c r="Z221" s="2" t="str">
        <f t="shared" si="105"/>
        <v>Kanters, Ada (Gastvrouw om in te vallen!)</v>
      </c>
      <c r="AA221" s="2" t="str">
        <f>CONCATENATE(+Contacts!C221)</f>
        <v>Kanters</v>
      </c>
      <c r="AB221" s="2" t="str">
        <f t="shared" si="106"/>
        <v xml:space="preserve">, </v>
      </c>
      <c r="AC221" s="2" t="str">
        <f>CONCATENATE(+Contacts!A221)</f>
        <v>Ada</v>
      </c>
      <c r="AD221" s="3" t="str">
        <f>CONCATENATE(" ",+Contacts!B221)</f>
        <v xml:space="preserve"> </v>
      </c>
      <c r="AE221" s="2" t="str">
        <f t="shared" si="107"/>
        <v>(</v>
      </c>
      <c r="AF221" s="3" t="str">
        <f>CONCATENATE(+Contacts!D221)</f>
        <v>Gastvrouw om in te vallen!</v>
      </c>
      <c r="AG221" s="2" t="str">
        <f t="shared" si="108"/>
        <v>)</v>
      </c>
      <c r="AH221" t="str">
        <f>CONCATENATE(+Contacts!I221)</f>
        <v/>
      </c>
      <c r="AI221">
        <v>1500000010</v>
      </c>
      <c r="AJ221" s="5">
        <f t="shared" si="109"/>
        <v>1</v>
      </c>
    </row>
    <row r="222" spans="1:36" x14ac:dyDescent="0.35">
      <c r="A222" s="7" t="str">
        <f t="shared" si="84"/>
        <v>&lt;contact&gt;&lt;category&gt;0&lt;/category&gt;&lt;person&gt;&lt;realName&gt;Kapper  (Jack Hairstyle)&lt;/realName&gt;&lt;/person&gt;</v>
      </c>
      <c r="B222" s="7" t="str">
        <f t="shared" si="85"/>
        <v>&lt;telephony nid="1"&gt;&lt;number id="0" prio="1" type="work"&gt;+31 104556962&lt;/number&gt;&lt;/telephony&gt;</v>
      </c>
      <c r="C222" s="7" t="str">
        <f t="shared" si="86"/>
        <v>&lt;services /&gt;&lt;setup /&gt;&lt;mod_time&gt;1500000010&lt;/mod_time&gt;&lt;uniqueid&gt;1&lt;/uniqueid&gt;&lt;/contact&gt;</v>
      </c>
      <c r="D222" t="str">
        <f t="shared" si="87"/>
        <v>&lt;contact&gt;&lt;category&gt;0&lt;/category&gt;&lt;person&gt;&lt;realName&gt;Kapper  (Jack Hairstyle)&lt;/realName&gt;&lt;/person&gt;</v>
      </c>
      <c r="E222" t="str">
        <f t="shared" si="88"/>
        <v>&lt;telephony nid="1"&gt;&lt;number id="0" prio="1" type="work"&gt;+31 104556962&lt;/number&gt;&lt;/telephony&gt;</v>
      </c>
      <c r="F222" t="str">
        <f t="shared" si="89"/>
        <v>&lt;telephony nid="1"&gt;</v>
      </c>
      <c r="G222" t="str">
        <f t="shared" si="90"/>
        <v>&lt;number id="0" prio="1" type="work"&gt;+31 104556962&lt;/number&gt;</v>
      </c>
      <c r="H222" t="str">
        <f t="shared" si="91"/>
        <v>&lt;services nid="1"&gt;&lt;email id="0" classifier="private"&gt;&lt;/email&gt;&lt;/services&gt;&lt;setup /&gt;&lt;mod_time&gt;1500000010&lt;/mod_time&gt;&lt;uniqueid&gt;1&lt;/uniqueid&gt;&lt;/contact&gt;</v>
      </c>
      <c r="I222" t="str">
        <f t="shared" si="92"/>
        <v>&lt;services /&gt;&lt;setup /&gt;&lt;mod_time&gt;1500000010&lt;/mod_time&gt;&lt;uniqueid&gt;1&lt;/uniqueid&gt;&lt;/contact&gt;</v>
      </c>
      <c r="J222" t="str">
        <f t="shared" si="93"/>
        <v>&lt;services /&gt;&lt;setup /&gt;&lt;mod_time&gt;1500000010&lt;/mod_time&gt;&lt;uniqueid&gt;1&lt;/uniqueid&gt;&lt;/contact&gt;</v>
      </c>
      <c r="K222" s="5">
        <f t="shared" si="94"/>
        <v>1</v>
      </c>
      <c r="L222" s="5">
        <f t="shared" si="95"/>
        <v>1</v>
      </c>
      <c r="M222" s="5" t="str">
        <f>CONCATENATE(+Contacts!E222)</f>
        <v>+31 104556962</v>
      </c>
      <c r="N222" t="str">
        <f t="shared" si="96"/>
        <v/>
      </c>
      <c r="O222" s="5">
        <f t="shared" si="97"/>
        <v>1</v>
      </c>
      <c r="P222" s="5">
        <f t="shared" si="98"/>
        <v>1</v>
      </c>
      <c r="Q222" s="5" t="str">
        <f>CONCATENATE(+Contacts!G222)</f>
        <v/>
      </c>
      <c r="R222" t="str">
        <f t="shared" si="99"/>
        <v/>
      </c>
      <c r="S222" s="5">
        <f t="shared" si="100"/>
        <v>1</v>
      </c>
      <c r="T222" s="5">
        <f t="shared" si="101"/>
        <v>1</v>
      </c>
      <c r="U222" s="5" t="str">
        <f>CONCATENATE(+Contacts!H222)</f>
        <v/>
      </c>
      <c r="V222" t="str">
        <f t="shared" si="102"/>
        <v/>
      </c>
      <c r="W222" s="5">
        <f t="shared" si="103"/>
        <v>1</v>
      </c>
      <c r="X222" s="5">
        <f t="shared" si="104"/>
        <v>1</v>
      </c>
      <c r="Y222" s="5" t="str">
        <f>CONCATENATE(+Contacts!F222)</f>
        <v/>
      </c>
      <c r="Z222" s="2" t="str">
        <f t="shared" si="105"/>
        <v>Kapper  (Jack Hairstyle)</v>
      </c>
      <c r="AA222" s="2" t="str">
        <f>CONCATENATE(+Contacts!C222)</f>
        <v>Kapper</v>
      </c>
      <c r="AB222" s="2" t="str">
        <f t="shared" si="106"/>
        <v xml:space="preserve"> </v>
      </c>
      <c r="AC222" s="2" t="str">
        <f>CONCATENATE(+Contacts!A222)</f>
        <v/>
      </c>
      <c r="AD222" s="3" t="str">
        <f>CONCATENATE(" ",+Contacts!B222)</f>
        <v xml:space="preserve"> </v>
      </c>
      <c r="AE222" s="2" t="str">
        <f t="shared" si="107"/>
        <v>(</v>
      </c>
      <c r="AF222" s="3" t="str">
        <f>CONCATENATE(+Contacts!D222)</f>
        <v>Jack Hairstyle</v>
      </c>
      <c r="AG222" s="2" t="str">
        <f t="shared" si="108"/>
        <v>)</v>
      </c>
      <c r="AH222" t="str">
        <f>CONCATENATE(+Contacts!I222)</f>
        <v/>
      </c>
      <c r="AI222">
        <v>1500000010</v>
      </c>
      <c r="AJ222" s="5">
        <f t="shared" si="109"/>
        <v>1</v>
      </c>
    </row>
    <row r="223" spans="1:36" x14ac:dyDescent="0.35">
      <c r="A223" s="7" t="str">
        <f t="shared" si="84"/>
        <v>&lt;contact&gt;&lt;category&gt;0&lt;/category&gt;&lt;person&gt;&lt;realName&gt;, Kapper (Rombout)&lt;/realName&gt;&lt;/person&gt;</v>
      </c>
      <c r="B223" s="7" t="str">
        <f t="shared" si="85"/>
        <v>&lt;telephony nid="1"&gt;&lt;number id="0" prio="1" type="work"&gt;+31 10 421 12 13&lt;/number&gt;&lt;/telephony&gt;</v>
      </c>
      <c r="C223" s="7" t="str">
        <f t="shared" si="86"/>
        <v>&lt;services nid="1"&gt;&lt;email id="0" classifier="private"&gt;binnenhof@romboutkappers.nl&lt;/email&gt;&lt;/services&gt;&lt;setup /&gt;&lt;mod_time&gt;1500000010&lt;/mod_time&gt;&lt;uniqueid&gt;1&lt;/uniqueid&gt;&lt;/contact&gt;</v>
      </c>
      <c r="D223" t="str">
        <f t="shared" si="87"/>
        <v>&lt;contact&gt;&lt;category&gt;0&lt;/category&gt;&lt;person&gt;&lt;realName&gt;, Kapper (Rombout)&lt;/realName&gt;&lt;/person&gt;</v>
      </c>
      <c r="E223" t="str">
        <f t="shared" si="88"/>
        <v>&lt;telephony nid="1"&gt;&lt;number id="0" prio="1" type="work"&gt;+31 10 421 12 13&lt;/number&gt;&lt;/telephony&gt;</v>
      </c>
      <c r="F223" t="str">
        <f t="shared" si="89"/>
        <v>&lt;telephony nid="1"&gt;</v>
      </c>
      <c r="G223" t="str">
        <f t="shared" si="90"/>
        <v>&lt;number id="0" prio="1" type="work"&gt;+31 10 421 12 13&lt;/number&gt;</v>
      </c>
      <c r="H223" t="str">
        <f t="shared" si="91"/>
        <v>&lt;services nid="1"&gt;&lt;email id="0" classifier="private"&gt;binnenhof@romboutkappers.nl&lt;/email&gt;&lt;/services&gt;&lt;setup /&gt;&lt;mod_time&gt;1500000010&lt;/mod_time&gt;&lt;uniqueid&gt;1&lt;/uniqueid&gt;&lt;/contact&gt;</v>
      </c>
      <c r="I223" t="str">
        <f t="shared" si="92"/>
        <v>&lt;services /&gt;&lt;setup /&gt;&lt;mod_time&gt;1500000010&lt;/mod_time&gt;&lt;uniqueid&gt;1&lt;/uniqueid&gt;&lt;/contact&gt;</v>
      </c>
      <c r="J223" t="str">
        <f t="shared" si="93"/>
        <v>&lt;services nid="1"&gt;&lt;email id="0" classifier="private"&gt;binnenhof@romboutkappers.nl&lt;/email&gt;&lt;/services&gt;&lt;setup /&gt;&lt;mod_time&gt;1500000010&lt;/mod_time&gt;&lt;uniqueid&gt;1&lt;/uniqueid&gt;&lt;/contact&gt;</v>
      </c>
      <c r="K223" s="5">
        <f t="shared" si="94"/>
        <v>1</v>
      </c>
      <c r="L223" s="5">
        <f t="shared" si="95"/>
        <v>1</v>
      </c>
      <c r="M223" s="5" t="str">
        <f>CONCATENATE(+Contacts!E223)</f>
        <v>+31 10 421 12 13</v>
      </c>
      <c r="N223" t="str">
        <f t="shared" si="96"/>
        <v/>
      </c>
      <c r="O223" s="5">
        <f t="shared" si="97"/>
        <v>1</v>
      </c>
      <c r="P223" s="5">
        <f t="shared" si="98"/>
        <v>1</v>
      </c>
      <c r="Q223" s="5" t="str">
        <f>CONCATENATE(+Contacts!G223)</f>
        <v/>
      </c>
      <c r="R223" t="str">
        <f t="shared" si="99"/>
        <v/>
      </c>
      <c r="S223" s="5">
        <f t="shared" si="100"/>
        <v>1</v>
      </c>
      <c r="T223" s="5">
        <f t="shared" si="101"/>
        <v>1</v>
      </c>
      <c r="U223" s="5" t="str">
        <f>CONCATENATE(+Contacts!H223)</f>
        <v/>
      </c>
      <c r="V223" t="str">
        <f t="shared" si="102"/>
        <v/>
      </c>
      <c r="W223" s="5">
        <f t="shared" si="103"/>
        <v>1</v>
      </c>
      <c r="X223" s="5">
        <f t="shared" si="104"/>
        <v>1</v>
      </c>
      <c r="Y223" s="5" t="str">
        <f>CONCATENATE(+Contacts!F223)</f>
        <v/>
      </c>
      <c r="Z223" s="2" t="str">
        <f t="shared" si="105"/>
        <v>, Kapper (Rombout)</v>
      </c>
      <c r="AA223" s="2" t="str">
        <f>CONCATENATE(+Contacts!C223)</f>
        <v/>
      </c>
      <c r="AB223" s="2" t="str">
        <f t="shared" si="106"/>
        <v xml:space="preserve">, </v>
      </c>
      <c r="AC223" s="2" t="str">
        <f>CONCATENATE(+Contacts!A223)</f>
        <v>Kapper</v>
      </c>
      <c r="AD223" s="3" t="str">
        <f>CONCATENATE(" ",+Contacts!B223)</f>
        <v xml:space="preserve"> </v>
      </c>
      <c r="AE223" s="2" t="str">
        <f t="shared" si="107"/>
        <v>(</v>
      </c>
      <c r="AF223" s="3" t="str">
        <f>CONCATENATE(+Contacts!D223)</f>
        <v>Rombout</v>
      </c>
      <c r="AG223" s="2" t="str">
        <f t="shared" si="108"/>
        <v>)</v>
      </c>
      <c r="AH223" t="str">
        <f>CONCATENATE(+Contacts!I223)</f>
        <v>binnenhof@romboutkappers.nl</v>
      </c>
      <c r="AI223">
        <v>1500000010</v>
      </c>
      <c r="AJ223" s="5">
        <f t="shared" si="109"/>
        <v>1</v>
      </c>
    </row>
    <row r="224" spans="1:36" x14ac:dyDescent="0.35">
      <c r="A224" s="7" t="str">
        <f t="shared" si="84"/>
        <v>&lt;contact&gt;&lt;category&gt;0&lt;/category&gt;&lt;person&gt;&lt;realName&gt;Keizer, Betty de(De Kennismakelaar)&lt;/realName&gt;&lt;/person&gt;</v>
      </c>
      <c r="B224" s="7" t="str">
        <f t="shared" si="85"/>
        <v>&lt;telephony nid="2"&gt;&lt;number id="0" prio="1" type="work"&gt;+31 878724477&lt;/number&gt;&lt;number id="1" prio="0" type="mobile"&gt;+31 643092311&lt;/number&gt;&lt;/telephony&gt;</v>
      </c>
      <c r="C224" s="7" t="str">
        <f t="shared" si="86"/>
        <v>&lt;services nid="1"&gt;&lt;email id="0" classifier="private"&gt;bettydk@gmail.com&lt;/email&gt;&lt;/services&gt;&lt;setup /&gt;&lt;mod_time&gt;1500000010&lt;/mod_time&gt;&lt;uniqueid&gt;1&lt;/uniqueid&gt;&lt;/contact&gt;</v>
      </c>
      <c r="D224" t="str">
        <f t="shared" si="87"/>
        <v>&lt;contact&gt;&lt;category&gt;0&lt;/category&gt;&lt;person&gt;&lt;realName&gt;Keizer, Betty de(De Kennismakelaar)&lt;/realName&gt;&lt;/person&gt;</v>
      </c>
      <c r="E224" t="str">
        <f t="shared" si="88"/>
        <v>&lt;telephony nid="2"&gt;&lt;number id="0" prio="1" type="work"&gt;+31 878724477&lt;/number&gt;&lt;number id="1" prio="0" type="mobile"&gt;+31 643092311&lt;/number&gt;&lt;/telephony&gt;</v>
      </c>
      <c r="F224" t="str">
        <f t="shared" si="89"/>
        <v>&lt;telephony nid="2"&gt;</v>
      </c>
      <c r="G224" t="str">
        <f t="shared" si="90"/>
        <v>&lt;number id="0" prio="1" type="work"&gt;+31 878724477&lt;/number&gt;</v>
      </c>
      <c r="H224" t="str">
        <f t="shared" si="91"/>
        <v>&lt;services nid="1"&gt;&lt;email id="0" classifier="private"&gt;bettydk@gmail.com&lt;/email&gt;&lt;/services&gt;&lt;setup /&gt;&lt;mod_time&gt;1500000010&lt;/mod_time&gt;&lt;uniqueid&gt;1&lt;/uniqueid&gt;&lt;/contact&gt;</v>
      </c>
      <c r="I224" t="str">
        <f t="shared" si="92"/>
        <v>&lt;services /&gt;&lt;setup /&gt;&lt;mod_time&gt;1500000010&lt;/mod_time&gt;&lt;uniqueid&gt;1&lt;/uniqueid&gt;&lt;/contact&gt;</v>
      </c>
      <c r="J224" t="str">
        <f t="shared" si="93"/>
        <v>&lt;services nid="1"&gt;&lt;email id="0" classifier="private"&gt;bettydk@gmail.com&lt;/email&gt;&lt;/services&gt;&lt;setup /&gt;&lt;mod_time&gt;1500000010&lt;/mod_time&gt;&lt;uniqueid&gt;1&lt;/uniqueid&gt;&lt;/contact&gt;</v>
      </c>
      <c r="K224" s="5">
        <f t="shared" si="94"/>
        <v>1</v>
      </c>
      <c r="L224" s="5">
        <f t="shared" si="95"/>
        <v>1</v>
      </c>
      <c r="M224" s="5" t="str">
        <f>CONCATENATE(+Contacts!E224)</f>
        <v>+31 878724477</v>
      </c>
      <c r="N224" t="str">
        <f t="shared" si="96"/>
        <v/>
      </c>
      <c r="O224" s="5">
        <f t="shared" si="97"/>
        <v>1</v>
      </c>
      <c r="P224" s="5">
        <f t="shared" si="98"/>
        <v>1</v>
      </c>
      <c r="Q224" s="5" t="str">
        <f>CONCATENATE(+Contacts!G224)</f>
        <v/>
      </c>
      <c r="R224" t="str">
        <f t="shared" si="99"/>
        <v>&lt;number id="1" prio="0" type="mobile"&gt;+31 643092311&lt;/number&gt;</v>
      </c>
      <c r="S224" s="5">
        <f t="shared" si="100"/>
        <v>2</v>
      </c>
      <c r="T224" s="5">
        <f t="shared" si="101"/>
        <v>0</v>
      </c>
      <c r="U224" s="5" t="str">
        <f>CONCATENATE(+Contacts!H224)</f>
        <v>+31 643092311</v>
      </c>
      <c r="V224" t="str">
        <f t="shared" si="102"/>
        <v/>
      </c>
      <c r="W224" s="5">
        <f t="shared" si="103"/>
        <v>2</v>
      </c>
      <c r="X224" s="5">
        <f t="shared" si="104"/>
        <v>0</v>
      </c>
      <c r="Y224" s="5" t="str">
        <f>CONCATENATE(+Contacts!F224)</f>
        <v/>
      </c>
      <c r="Z224" s="2" t="str">
        <f t="shared" si="105"/>
        <v>Keizer, Betty de(De Kennismakelaar)</v>
      </c>
      <c r="AA224" s="2" t="str">
        <f>CONCATENATE(+Contacts!C224)</f>
        <v>Keizer</v>
      </c>
      <c r="AB224" s="2" t="str">
        <f t="shared" si="106"/>
        <v xml:space="preserve">, </v>
      </c>
      <c r="AC224" s="2" t="str">
        <f>CONCATENATE(+Contacts!A224)</f>
        <v>Betty</v>
      </c>
      <c r="AD224" s="3" t="str">
        <f>CONCATENATE(" ",+Contacts!B224)</f>
        <v xml:space="preserve"> de</v>
      </c>
      <c r="AE224" s="2" t="str">
        <f t="shared" si="107"/>
        <v>(</v>
      </c>
      <c r="AF224" s="3" t="str">
        <f>CONCATENATE(+Contacts!D224)</f>
        <v>De Kennismakelaar</v>
      </c>
      <c r="AG224" s="2" t="str">
        <f t="shared" si="108"/>
        <v>)</v>
      </c>
      <c r="AH224" t="str">
        <f>CONCATENATE(+Contacts!I224)</f>
        <v>bettydk@gmail.com</v>
      </c>
      <c r="AI224">
        <v>1500000010</v>
      </c>
      <c r="AJ224" s="5">
        <f t="shared" si="109"/>
        <v>1</v>
      </c>
    </row>
    <row r="225" spans="1:36" x14ac:dyDescent="0.35">
      <c r="A225" s="7" t="str">
        <f t="shared" si="84"/>
        <v>&lt;contact&gt;&lt;category&gt;0&lt;/category&gt;&lt;person&gt;&lt;realName&gt;Kemming, Wim   &lt;/realName&gt;&lt;/person&gt;</v>
      </c>
      <c r="B225" s="7" t="str">
        <f t="shared" si="85"/>
        <v>&lt;telephony nid="1"&gt;&lt;number id="0" prio="1" type="work"&gt;+31 621536855&lt;/number&gt;&lt;/telephony&gt;</v>
      </c>
      <c r="C225" s="7" t="str">
        <f t="shared" si="86"/>
        <v>&lt;services nid="1"&gt;&lt;email id="0" classifier="private"&gt;w.kemming@kpnplanet.nl&lt;/email&gt;&lt;/services&gt;&lt;setup /&gt;&lt;mod_time&gt;1500000010&lt;/mod_time&gt;&lt;uniqueid&gt;1&lt;/uniqueid&gt;&lt;/contact&gt;</v>
      </c>
      <c r="D225" t="str">
        <f t="shared" si="87"/>
        <v>&lt;contact&gt;&lt;category&gt;0&lt;/category&gt;&lt;person&gt;&lt;realName&gt;Kemming, Wim   &lt;/realName&gt;&lt;/person&gt;</v>
      </c>
      <c r="E225" t="str">
        <f t="shared" si="88"/>
        <v>&lt;telephony nid="1"&gt;&lt;number id="0" prio="1" type="work"&gt;+31 621536855&lt;/number&gt;&lt;/telephony&gt;</v>
      </c>
      <c r="F225" t="str">
        <f t="shared" si="89"/>
        <v>&lt;telephony nid="1"&gt;</v>
      </c>
      <c r="G225" t="str">
        <f t="shared" si="90"/>
        <v/>
      </c>
      <c r="H225" t="str">
        <f t="shared" si="91"/>
        <v>&lt;services nid="1"&gt;&lt;email id="0" classifier="private"&gt;w.kemming@kpnplanet.nl&lt;/email&gt;&lt;/services&gt;&lt;setup /&gt;&lt;mod_time&gt;1500000010&lt;/mod_time&gt;&lt;uniqueid&gt;1&lt;/uniqueid&gt;&lt;/contact&gt;</v>
      </c>
      <c r="I225" t="str">
        <f t="shared" si="92"/>
        <v>&lt;services /&gt;&lt;setup /&gt;&lt;mod_time&gt;1500000010&lt;/mod_time&gt;&lt;uniqueid&gt;1&lt;/uniqueid&gt;&lt;/contact&gt;</v>
      </c>
      <c r="J225" t="str">
        <f t="shared" si="93"/>
        <v>&lt;services nid="1"&gt;&lt;email id="0" classifier="private"&gt;w.kemming@kpnplanet.nl&lt;/email&gt;&lt;/services&gt;&lt;setup /&gt;&lt;mod_time&gt;1500000010&lt;/mod_time&gt;&lt;uniqueid&gt;1&lt;/uniqueid&gt;&lt;/contact&gt;</v>
      </c>
      <c r="K225" s="5">
        <f t="shared" si="94"/>
        <v>0</v>
      </c>
      <c r="L225" s="5">
        <f t="shared" si="95"/>
        <v>0</v>
      </c>
      <c r="M225" s="5" t="str">
        <f>CONCATENATE(+Contacts!E225)</f>
        <v/>
      </c>
      <c r="N225" t="str">
        <f t="shared" si="96"/>
        <v/>
      </c>
      <c r="O225" s="5">
        <f t="shared" si="97"/>
        <v>0</v>
      </c>
      <c r="P225" s="5">
        <f t="shared" si="98"/>
        <v>0</v>
      </c>
      <c r="Q225" s="5" t="str">
        <f>CONCATENATE(+Contacts!G225)</f>
        <v/>
      </c>
      <c r="R225" t="str">
        <f t="shared" si="99"/>
        <v/>
      </c>
      <c r="S225" s="5">
        <f t="shared" si="100"/>
        <v>0</v>
      </c>
      <c r="T225" s="5">
        <f t="shared" si="101"/>
        <v>0</v>
      </c>
      <c r="U225" s="5" t="str">
        <f>CONCATENATE(+Contacts!H225)</f>
        <v/>
      </c>
      <c r="V225" t="str">
        <f t="shared" si="102"/>
        <v>&lt;number id="0" prio="1" type="work"&gt;+31 621536855&lt;/number&gt;</v>
      </c>
      <c r="W225" s="5">
        <f t="shared" si="103"/>
        <v>1</v>
      </c>
      <c r="X225" s="5">
        <f t="shared" si="104"/>
        <v>1</v>
      </c>
      <c r="Y225" s="5" t="str">
        <f>CONCATENATE(+Contacts!F225)</f>
        <v>+31 621536855</v>
      </c>
      <c r="Z225" s="2" t="str">
        <f t="shared" si="105"/>
        <v xml:space="preserve">Kemming, Wim   </v>
      </c>
      <c r="AA225" s="2" t="str">
        <f>CONCATENATE(+Contacts!C225)</f>
        <v>Kemming</v>
      </c>
      <c r="AB225" s="2" t="str">
        <f t="shared" si="106"/>
        <v xml:space="preserve">, </v>
      </c>
      <c r="AC225" s="2" t="str">
        <f>CONCATENATE(+Contacts!A225)</f>
        <v>Wim</v>
      </c>
      <c r="AD225" s="3" t="str">
        <f>CONCATENATE(" ",+Contacts!B225)</f>
        <v xml:space="preserve"> </v>
      </c>
      <c r="AE225" s="2" t="str">
        <f t="shared" si="107"/>
        <v xml:space="preserve"> </v>
      </c>
      <c r="AF225" s="3" t="str">
        <f>CONCATENATE(+Contacts!D225)</f>
        <v/>
      </c>
      <c r="AG225" s="2" t="str">
        <f t="shared" si="108"/>
        <v xml:space="preserve"> </v>
      </c>
      <c r="AH225" t="str">
        <f>CONCATENATE(+Contacts!I225)</f>
        <v>w.kemming@kpnplanet.nl</v>
      </c>
      <c r="AI225">
        <v>1500000010</v>
      </c>
      <c r="AJ225" s="5">
        <f t="shared" si="109"/>
        <v>1</v>
      </c>
    </row>
    <row r="226" spans="1:36" x14ac:dyDescent="0.35">
      <c r="A226" s="7" t="str">
        <f t="shared" si="84"/>
        <v>&lt;contact&gt;&lt;category&gt;0&lt;/category&gt;&lt;person&gt;&lt;realName&gt;Kerseboom, Wilma   &lt;/realName&gt;&lt;/person&gt;</v>
      </c>
      <c r="B226" s="7" t="str">
        <f t="shared" si="85"/>
        <v>&lt;telephony nid="1"&gt;&lt;number id="0" prio="1" type="home"&gt;+31 10 422 41 51&lt;/number&gt;&lt;/telephony&gt;</v>
      </c>
      <c r="C226" s="7" t="str">
        <f t="shared" si="86"/>
        <v>&lt;services /&gt;&lt;setup /&gt;&lt;mod_time&gt;1500000010&lt;/mod_time&gt;&lt;uniqueid&gt;1&lt;/uniqueid&gt;&lt;/contact&gt;</v>
      </c>
      <c r="D226" t="str">
        <f t="shared" si="87"/>
        <v>&lt;contact&gt;&lt;category&gt;0&lt;/category&gt;&lt;person&gt;&lt;realName&gt;Kerseboom, Wilma   &lt;/realName&gt;&lt;/person&gt;</v>
      </c>
      <c r="E226" t="str">
        <f t="shared" si="88"/>
        <v>&lt;telephony nid="1"&gt;&lt;number id="0" prio="1" type="home"&gt;+31 10 422 41 51&lt;/number&gt;&lt;/telephony&gt;</v>
      </c>
      <c r="F226" t="str">
        <f t="shared" si="89"/>
        <v>&lt;telephony nid="1"&gt;</v>
      </c>
      <c r="G226" t="str">
        <f t="shared" si="90"/>
        <v/>
      </c>
      <c r="H226" t="str">
        <f t="shared" si="91"/>
        <v>&lt;services nid="1"&gt;&lt;email id="0" classifier="private"&gt;&lt;/email&gt;&lt;/services&gt;&lt;setup /&gt;&lt;mod_time&gt;1500000010&lt;/mod_time&gt;&lt;uniqueid&gt;1&lt;/uniqueid&gt;&lt;/contact&gt;</v>
      </c>
      <c r="I226" t="str">
        <f t="shared" si="92"/>
        <v>&lt;services /&gt;&lt;setup /&gt;&lt;mod_time&gt;1500000010&lt;/mod_time&gt;&lt;uniqueid&gt;1&lt;/uniqueid&gt;&lt;/contact&gt;</v>
      </c>
      <c r="J226" t="str">
        <f t="shared" si="93"/>
        <v>&lt;services /&gt;&lt;setup /&gt;&lt;mod_time&gt;1500000010&lt;/mod_time&gt;&lt;uniqueid&gt;1&lt;/uniqueid&gt;&lt;/contact&gt;</v>
      </c>
      <c r="K226" s="5">
        <f t="shared" si="94"/>
        <v>0</v>
      </c>
      <c r="L226" s="5">
        <f t="shared" si="95"/>
        <v>0</v>
      </c>
      <c r="M226" s="5" t="str">
        <f>CONCATENATE(+Contacts!E226)</f>
        <v/>
      </c>
      <c r="N226" t="str">
        <f t="shared" si="96"/>
        <v>&lt;number id="0" prio="1" type="home"&gt;+31 10 422 41 51&lt;/number&gt;</v>
      </c>
      <c r="O226" s="5">
        <f t="shared" si="97"/>
        <v>1</v>
      </c>
      <c r="P226" s="5">
        <f t="shared" si="98"/>
        <v>1</v>
      </c>
      <c r="Q226" s="5" t="str">
        <f>CONCATENATE(+Contacts!G226)</f>
        <v>+31 10 422 41 51</v>
      </c>
      <c r="R226" t="str">
        <f t="shared" si="99"/>
        <v/>
      </c>
      <c r="S226" s="5">
        <f t="shared" si="100"/>
        <v>1</v>
      </c>
      <c r="T226" s="5">
        <f t="shared" si="101"/>
        <v>1</v>
      </c>
      <c r="U226" s="5" t="str">
        <f>CONCATENATE(+Contacts!H226)</f>
        <v/>
      </c>
      <c r="V226" t="str">
        <f t="shared" si="102"/>
        <v/>
      </c>
      <c r="W226" s="5">
        <f t="shared" si="103"/>
        <v>1</v>
      </c>
      <c r="X226" s="5">
        <f t="shared" si="104"/>
        <v>1</v>
      </c>
      <c r="Y226" s="5" t="str">
        <f>CONCATENATE(+Contacts!F226)</f>
        <v/>
      </c>
      <c r="Z226" s="2" t="str">
        <f t="shared" si="105"/>
        <v xml:space="preserve">Kerseboom, Wilma   </v>
      </c>
      <c r="AA226" s="2" t="str">
        <f>CONCATENATE(+Contacts!C226)</f>
        <v>Kerseboom</v>
      </c>
      <c r="AB226" s="2" t="str">
        <f t="shared" si="106"/>
        <v xml:space="preserve">, </v>
      </c>
      <c r="AC226" s="2" t="str">
        <f>CONCATENATE(+Contacts!A226)</f>
        <v>Wilma</v>
      </c>
      <c r="AD226" s="3" t="str">
        <f>CONCATENATE(" ",+Contacts!B226)</f>
        <v xml:space="preserve"> </v>
      </c>
      <c r="AE226" s="2" t="str">
        <f t="shared" si="107"/>
        <v xml:space="preserve"> </v>
      </c>
      <c r="AF226" s="3" t="str">
        <f>CONCATENATE(+Contacts!D226)</f>
        <v/>
      </c>
      <c r="AG226" s="2" t="str">
        <f t="shared" si="108"/>
        <v xml:space="preserve"> </v>
      </c>
      <c r="AH226" t="str">
        <f>CONCATENATE(+Contacts!I226)</f>
        <v/>
      </c>
      <c r="AI226">
        <v>1500000010</v>
      </c>
      <c r="AJ226" s="5">
        <f t="shared" si="109"/>
        <v>1</v>
      </c>
    </row>
    <row r="227" spans="1:36" x14ac:dyDescent="0.35">
      <c r="A227" s="7" t="str">
        <f t="shared" si="84"/>
        <v/>
      </c>
      <c r="B227" s="7" t="str">
        <f t="shared" si="85"/>
        <v/>
      </c>
      <c r="C227" s="7" t="str">
        <f t="shared" si="86"/>
        <v/>
      </c>
      <c r="D227" t="str">
        <f t="shared" si="87"/>
        <v>&lt;contact&gt;&lt;category&gt;0&lt;/category&gt;&lt;person&gt;&lt;realName&gt;Kersten, Hansje   &lt;/realName&gt;&lt;/person&gt;</v>
      </c>
      <c r="E227" t="str">
        <f t="shared" si="88"/>
        <v>&lt;telephony nid="0"&gt;&lt;/telephony&gt;</v>
      </c>
      <c r="F227" t="str">
        <f t="shared" si="89"/>
        <v>&lt;telephony nid="0"&gt;</v>
      </c>
      <c r="G227" t="str">
        <f t="shared" si="90"/>
        <v/>
      </c>
      <c r="H227" t="str">
        <f t="shared" si="91"/>
        <v>&lt;services nid="1"&gt;&lt;email id="0" classifier="private"&gt;h.kersten@wsns3701.nl&lt;/email&gt;&lt;/services&gt;&lt;setup /&gt;&lt;mod_time&gt;1500000010&lt;/mod_time&gt;&lt;uniqueid&gt;0&lt;/uniqueid&gt;&lt;/contact&gt;</v>
      </c>
      <c r="I227" t="str">
        <f t="shared" si="92"/>
        <v>&lt;services /&gt;&lt;setup /&gt;&lt;mod_time&gt;1500000010&lt;/mod_time&gt;&lt;uniqueid&gt;0&lt;/uniqueid&gt;&lt;/contact&gt;</v>
      </c>
      <c r="J227" t="str">
        <f t="shared" si="93"/>
        <v>&lt;services nid="1"&gt;&lt;email id="0" classifier="private"&gt;h.kersten@wsns3701.nl&lt;/email&gt;&lt;/services&gt;&lt;setup /&gt;&lt;mod_time&gt;1500000010&lt;/mod_time&gt;&lt;uniqueid&gt;0&lt;/uniqueid&gt;&lt;/contact&gt;</v>
      </c>
      <c r="K227" s="5">
        <f t="shared" si="94"/>
        <v>0</v>
      </c>
      <c r="L227" s="5">
        <f t="shared" si="95"/>
        <v>0</v>
      </c>
      <c r="M227" s="5" t="str">
        <f>CONCATENATE(+Contacts!E227)</f>
        <v/>
      </c>
      <c r="N227" t="str">
        <f t="shared" si="96"/>
        <v/>
      </c>
      <c r="O227" s="5">
        <f t="shared" si="97"/>
        <v>0</v>
      </c>
      <c r="P227" s="5">
        <f t="shared" si="98"/>
        <v>0</v>
      </c>
      <c r="Q227" s="5" t="str">
        <f>CONCATENATE(+Contacts!G227)</f>
        <v/>
      </c>
      <c r="R227" t="str">
        <f t="shared" si="99"/>
        <v/>
      </c>
      <c r="S227" s="5">
        <f t="shared" si="100"/>
        <v>0</v>
      </c>
      <c r="T227" s="5">
        <f t="shared" si="101"/>
        <v>0</v>
      </c>
      <c r="U227" s="5" t="str">
        <f>CONCATENATE(+Contacts!H227)</f>
        <v/>
      </c>
      <c r="V227" t="str">
        <f t="shared" si="102"/>
        <v/>
      </c>
      <c r="W227" s="5">
        <f t="shared" si="103"/>
        <v>0</v>
      </c>
      <c r="X227" s="5">
        <f t="shared" si="104"/>
        <v>0</v>
      </c>
      <c r="Y227" s="5" t="str">
        <f>CONCATENATE(+Contacts!F227)</f>
        <v/>
      </c>
      <c r="Z227" s="2" t="str">
        <f t="shared" si="105"/>
        <v xml:space="preserve">Kersten, Hansje   </v>
      </c>
      <c r="AA227" s="2" t="str">
        <f>CONCATENATE(+Contacts!C227)</f>
        <v>Kersten</v>
      </c>
      <c r="AB227" s="2" t="str">
        <f t="shared" si="106"/>
        <v xml:space="preserve">, </v>
      </c>
      <c r="AC227" s="2" t="str">
        <f>CONCATENATE(+Contacts!A227)</f>
        <v>Hansje</v>
      </c>
      <c r="AD227" s="3" t="str">
        <f>CONCATENATE(" ",+Contacts!B227)</f>
        <v xml:space="preserve"> </v>
      </c>
      <c r="AE227" s="2" t="str">
        <f t="shared" si="107"/>
        <v xml:space="preserve"> </v>
      </c>
      <c r="AF227" s="3" t="str">
        <f>CONCATENATE(+Contacts!D227)</f>
        <v/>
      </c>
      <c r="AG227" s="2" t="str">
        <f t="shared" si="108"/>
        <v xml:space="preserve"> </v>
      </c>
      <c r="AH227" t="str">
        <f>CONCATENATE(+Contacts!I227)</f>
        <v>h.kersten@wsns3701.nl</v>
      </c>
      <c r="AI227">
        <v>1500000010</v>
      </c>
      <c r="AJ227" s="5">
        <f t="shared" si="109"/>
        <v>0</v>
      </c>
    </row>
    <row r="228" spans="1:36" x14ac:dyDescent="0.35">
      <c r="A228" s="7" t="str">
        <f t="shared" si="84"/>
        <v/>
      </c>
      <c r="B228" s="7" t="str">
        <f t="shared" si="85"/>
        <v/>
      </c>
      <c r="C228" s="7" t="str">
        <f t="shared" si="86"/>
        <v/>
      </c>
      <c r="D228" t="str">
        <f t="shared" si="87"/>
        <v>&lt;contact&gt;&lt;category&gt;0&lt;/category&gt;&lt;person&gt;&lt;realName&gt;, Kimberly , Maarten en Fleur   &lt;/realName&gt;&lt;/person&gt;</v>
      </c>
      <c r="E228" t="str">
        <f t="shared" si="88"/>
        <v>&lt;telephony nid="0"&gt;&lt;/telephony&gt;</v>
      </c>
      <c r="F228" t="str">
        <f t="shared" si="89"/>
        <v>&lt;telephony nid="0"&gt;</v>
      </c>
      <c r="G228" t="str">
        <f t="shared" si="90"/>
        <v/>
      </c>
      <c r="H228" t="str">
        <f t="shared" si="91"/>
        <v>&lt;services nid="1"&gt;&lt;email id="0" classifier="private"&gt;&lt;/email&gt;&lt;/services&gt;&lt;setup /&gt;&lt;mod_time&gt;1500000010&lt;/mod_time&gt;&lt;uniqueid&gt;0&lt;/uniqueid&gt;&lt;/contact&gt;</v>
      </c>
      <c r="I228" t="str">
        <f t="shared" si="92"/>
        <v>&lt;services /&gt;&lt;setup /&gt;&lt;mod_time&gt;1500000010&lt;/mod_time&gt;&lt;uniqueid&gt;0&lt;/uniqueid&gt;&lt;/contact&gt;</v>
      </c>
      <c r="J228" t="str">
        <f t="shared" si="93"/>
        <v>&lt;services /&gt;&lt;setup /&gt;&lt;mod_time&gt;1500000010&lt;/mod_time&gt;&lt;uniqueid&gt;0&lt;/uniqueid&gt;&lt;/contact&gt;</v>
      </c>
      <c r="K228" s="5">
        <f t="shared" si="94"/>
        <v>0</v>
      </c>
      <c r="L228" s="5">
        <f t="shared" si="95"/>
        <v>0</v>
      </c>
      <c r="M228" s="5" t="str">
        <f>CONCATENATE(+Contacts!E228)</f>
        <v/>
      </c>
      <c r="N228" t="str">
        <f t="shared" si="96"/>
        <v/>
      </c>
      <c r="O228" s="5">
        <f t="shared" si="97"/>
        <v>0</v>
      </c>
      <c r="P228" s="5">
        <f t="shared" si="98"/>
        <v>0</v>
      </c>
      <c r="Q228" s="5" t="str">
        <f>CONCATENATE(+Contacts!G228)</f>
        <v/>
      </c>
      <c r="R228" t="str">
        <f t="shared" si="99"/>
        <v/>
      </c>
      <c r="S228" s="5">
        <f t="shared" si="100"/>
        <v>0</v>
      </c>
      <c r="T228" s="5">
        <f t="shared" si="101"/>
        <v>0</v>
      </c>
      <c r="U228" s="5" t="str">
        <f>CONCATENATE(+Contacts!H228)</f>
        <v/>
      </c>
      <c r="V228" t="str">
        <f t="shared" si="102"/>
        <v/>
      </c>
      <c r="W228" s="5">
        <f t="shared" si="103"/>
        <v>0</v>
      </c>
      <c r="X228" s="5">
        <f t="shared" si="104"/>
        <v>0</v>
      </c>
      <c r="Y228" s="5" t="str">
        <f>CONCATENATE(+Contacts!F228)</f>
        <v/>
      </c>
      <c r="Z228" s="2" t="str">
        <f t="shared" si="105"/>
        <v xml:space="preserve">, Kimberly , Maarten en Fleur   </v>
      </c>
      <c r="AA228" s="2" t="str">
        <f>CONCATENATE(+Contacts!C228)</f>
        <v/>
      </c>
      <c r="AB228" s="2" t="str">
        <f t="shared" si="106"/>
        <v xml:space="preserve">, </v>
      </c>
      <c r="AC228" s="2" t="str">
        <f>CONCATENATE(+Contacts!A228)</f>
        <v>Kimberly , Maarten en Fleur</v>
      </c>
      <c r="AD228" s="3" t="str">
        <f>CONCATENATE(" ",+Contacts!B228)</f>
        <v xml:space="preserve"> </v>
      </c>
      <c r="AE228" s="2" t="str">
        <f t="shared" si="107"/>
        <v xml:space="preserve"> </v>
      </c>
      <c r="AF228" s="3" t="str">
        <f>CONCATENATE(+Contacts!D228)</f>
        <v/>
      </c>
      <c r="AG228" s="2" t="str">
        <f t="shared" si="108"/>
        <v xml:space="preserve"> </v>
      </c>
      <c r="AH228" t="str">
        <f>CONCATENATE(+Contacts!I228)</f>
        <v/>
      </c>
      <c r="AI228">
        <v>1500000010</v>
      </c>
      <c r="AJ228" s="5">
        <f t="shared" si="109"/>
        <v>0</v>
      </c>
    </row>
    <row r="229" spans="1:36" x14ac:dyDescent="0.35">
      <c r="A229" s="7" t="str">
        <f t="shared" si="84"/>
        <v/>
      </c>
      <c r="B229" s="7" t="str">
        <f t="shared" si="85"/>
        <v/>
      </c>
      <c r="C229" s="7" t="str">
        <f t="shared" si="86"/>
        <v/>
      </c>
      <c r="D229" t="str">
        <f t="shared" si="87"/>
        <v>&lt;contact&gt;&lt;category&gt;0&lt;/category&gt;&lt;person&gt;&lt;realName&gt;Kinkel, Els   &lt;/realName&gt;&lt;/person&gt;</v>
      </c>
      <c r="E229" t="str">
        <f t="shared" si="88"/>
        <v>&lt;telephony nid="0"&gt;&lt;/telephony&gt;</v>
      </c>
      <c r="F229" t="str">
        <f t="shared" si="89"/>
        <v>&lt;telephony nid="0"&gt;</v>
      </c>
      <c r="G229" t="str">
        <f t="shared" si="90"/>
        <v/>
      </c>
      <c r="H229" t="str">
        <f t="shared" si="91"/>
        <v>&lt;services nid="1"&gt;&lt;email id="0" classifier="private"&gt;&lt;/email&gt;&lt;/services&gt;&lt;setup /&gt;&lt;mod_time&gt;1500000010&lt;/mod_time&gt;&lt;uniqueid&gt;0&lt;/uniqueid&gt;&lt;/contact&gt;</v>
      </c>
      <c r="I229" t="str">
        <f t="shared" si="92"/>
        <v>&lt;services /&gt;&lt;setup /&gt;&lt;mod_time&gt;1500000010&lt;/mod_time&gt;&lt;uniqueid&gt;0&lt;/uniqueid&gt;&lt;/contact&gt;</v>
      </c>
      <c r="J229" t="str">
        <f t="shared" si="93"/>
        <v>&lt;services /&gt;&lt;setup /&gt;&lt;mod_time&gt;1500000010&lt;/mod_time&gt;&lt;uniqueid&gt;0&lt;/uniqueid&gt;&lt;/contact&gt;</v>
      </c>
      <c r="K229" s="5">
        <f t="shared" si="94"/>
        <v>0</v>
      </c>
      <c r="L229" s="5">
        <f t="shared" si="95"/>
        <v>0</v>
      </c>
      <c r="M229" s="5" t="str">
        <f>CONCATENATE(+Contacts!E229)</f>
        <v/>
      </c>
      <c r="N229" t="str">
        <f t="shared" si="96"/>
        <v/>
      </c>
      <c r="O229" s="5">
        <f t="shared" si="97"/>
        <v>0</v>
      </c>
      <c r="P229" s="5">
        <f t="shared" si="98"/>
        <v>0</v>
      </c>
      <c r="Q229" s="5" t="str">
        <f>CONCATENATE(+Contacts!G229)</f>
        <v/>
      </c>
      <c r="R229" t="str">
        <f t="shared" si="99"/>
        <v/>
      </c>
      <c r="S229" s="5">
        <f t="shared" si="100"/>
        <v>0</v>
      </c>
      <c r="T229" s="5">
        <f t="shared" si="101"/>
        <v>0</v>
      </c>
      <c r="U229" s="5" t="str">
        <f>CONCATENATE(+Contacts!H229)</f>
        <v/>
      </c>
      <c r="V229" t="str">
        <f t="shared" si="102"/>
        <v/>
      </c>
      <c r="W229" s="5">
        <f t="shared" si="103"/>
        <v>0</v>
      </c>
      <c r="X229" s="5">
        <f t="shared" si="104"/>
        <v>0</v>
      </c>
      <c r="Y229" s="5" t="str">
        <f>CONCATENATE(+Contacts!F229)</f>
        <v/>
      </c>
      <c r="Z229" s="2" t="str">
        <f t="shared" si="105"/>
        <v xml:space="preserve">Kinkel, Els   </v>
      </c>
      <c r="AA229" s="2" t="str">
        <f>CONCATENATE(+Contacts!C229)</f>
        <v>Kinkel</v>
      </c>
      <c r="AB229" s="2" t="str">
        <f t="shared" si="106"/>
        <v xml:space="preserve">, </v>
      </c>
      <c r="AC229" s="2" t="str">
        <f>CONCATENATE(+Contacts!A229)</f>
        <v>Els</v>
      </c>
      <c r="AD229" s="3" t="str">
        <f>CONCATENATE(" ",+Contacts!B229)</f>
        <v xml:space="preserve"> </v>
      </c>
      <c r="AE229" s="2" t="str">
        <f t="shared" si="107"/>
        <v xml:space="preserve"> </v>
      </c>
      <c r="AF229" s="3" t="str">
        <f>CONCATENATE(+Contacts!D229)</f>
        <v/>
      </c>
      <c r="AG229" s="2" t="str">
        <f t="shared" si="108"/>
        <v xml:space="preserve"> </v>
      </c>
      <c r="AH229" t="str">
        <f>CONCATENATE(+Contacts!I229)</f>
        <v/>
      </c>
      <c r="AI229">
        <v>1500000010</v>
      </c>
      <c r="AJ229" s="5">
        <f t="shared" si="109"/>
        <v>0</v>
      </c>
    </row>
    <row r="230" spans="1:36" x14ac:dyDescent="0.35">
      <c r="A230" s="7" t="str">
        <f t="shared" si="84"/>
        <v>&lt;contact&gt;&lt;category&gt;0&lt;/category&gt;&lt;person&gt;&lt;realName&gt;Kinkel, Marijke   &lt;/realName&gt;&lt;/person&gt;</v>
      </c>
      <c r="B230" s="7" t="str">
        <f t="shared" si="85"/>
        <v>&lt;telephony nid="2"&gt;&lt;number id="0" prio="1" type="home"&gt;+31 104157790&lt;/number&gt;&lt;number id="1" prio="0" type="mobile"&gt;+31 621408959&lt;/number&gt;&lt;/telephony&gt;</v>
      </c>
      <c r="C230" s="7" t="str">
        <f t="shared" si="86"/>
        <v>&lt;services nid="1"&gt;&lt;email id="0" classifier="private"&gt;marijkekinkel@kpnplanet.nl&lt;/email&gt;&lt;/services&gt;&lt;setup /&gt;&lt;mod_time&gt;1500000010&lt;/mod_time&gt;&lt;uniqueid&gt;1&lt;/uniqueid&gt;&lt;/contact&gt;</v>
      </c>
      <c r="D230" t="str">
        <f t="shared" si="87"/>
        <v>&lt;contact&gt;&lt;category&gt;0&lt;/category&gt;&lt;person&gt;&lt;realName&gt;Kinkel, Marijke   &lt;/realName&gt;&lt;/person&gt;</v>
      </c>
      <c r="E230" t="str">
        <f t="shared" si="88"/>
        <v>&lt;telephony nid="2"&gt;&lt;number id="0" prio="1" type="home"&gt;+31 104157790&lt;/number&gt;&lt;number id="1" prio="0" type="mobile"&gt;+31 621408959&lt;/number&gt;&lt;/telephony&gt;</v>
      </c>
      <c r="F230" t="str">
        <f t="shared" si="89"/>
        <v>&lt;telephony nid="2"&gt;</v>
      </c>
      <c r="G230" t="str">
        <f t="shared" si="90"/>
        <v/>
      </c>
      <c r="H230" t="str">
        <f t="shared" si="91"/>
        <v>&lt;services nid="1"&gt;&lt;email id="0" classifier="private"&gt;marijkekinkel@kpnplanet.nl&lt;/email&gt;&lt;/services&gt;&lt;setup /&gt;&lt;mod_time&gt;1500000010&lt;/mod_time&gt;&lt;uniqueid&gt;1&lt;/uniqueid&gt;&lt;/contact&gt;</v>
      </c>
      <c r="I230" t="str">
        <f t="shared" si="92"/>
        <v>&lt;services /&gt;&lt;setup /&gt;&lt;mod_time&gt;1500000010&lt;/mod_time&gt;&lt;uniqueid&gt;1&lt;/uniqueid&gt;&lt;/contact&gt;</v>
      </c>
      <c r="J230" t="str">
        <f t="shared" si="93"/>
        <v>&lt;services nid="1"&gt;&lt;email id="0" classifier="private"&gt;marijkekinkel@kpnplanet.nl&lt;/email&gt;&lt;/services&gt;&lt;setup /&gt;&lt;mod_time&gt;1500000010&lt;/mod_time&gt;&lt;uniqueid&gt;1&lt;/uniqueid&gt;&lt;/contact&gt;</v>
      </c>
      <c r="K230" s="5">
        <f t="shared" si="94"/>
        <v>0</v>
      </c>
      <c r="L230" s="5">
        <f t="shared" si="95"/>
        <v>0</v>
      </c>
      <c r="M230" s="5" t="str">
        <f>CONCATENATE(+Contacts!E230)</f>
        <v/>
      </c>
      <c r="N230" t="str">
        <f t="shared" si="96"/>
        <v>&lt;number id="0" prio="1" type="home"&gt;+31 104157790&lt;/number&gt;</v>
      </c>
      <c r="O230" s="5">
        <f t="shared" si="97"/>
        <v>1</v>
      </c>
      <c r="P230" s="5">
        <f t="shared" si="98"/>
        <v>1</v>
      </c>
      <c r="Q230" s="5" t="str">
        <f>CONCATENATE(+Contacts!G230)</f>
        <v>+31 104157790</v>
      </c>
      <c r="R230" t="str">
        <f t="shared" si="99"/>
        <v>&lt;number id="1" prio="0" type="mobile"&gt;+31 621408959&lt;/number&gt;</v>
      </c>
      <c r="S230" s="5">
        <f t="shared" si="100"/>
        <v>2</v>
      </c>
      <c r="T230" s="5">
        <f t="shared" si="101"/>
        <v>0</v>
      </c>
      <c r="U230" s="5" t="str">
        <f>CONCATENATE(+Contacts!H230)</f>
        <v>+31 621408959</v>
      </c>
      <c r="V230" t="str">
        <f t="shared" si="102"/>
        <v/>
      </c>
      <c r="W230" s="5">
        <f t="shared" si="103"/>
        <v>2</v>
      </c>
      <c r="X230" s="5">
        <f t="shared" si="104"/>
        <v>0</v>
      </c>
      <c r="Y230" s="5" t="str">
        <f>CONCATENATE(+Contacts!F230)</f>
        <v/>
      </c>
      <c r="Z230" s="2" t="str">
        <f t="shared" si="105"/>
        <v xml:space="preserve">Kinkel, Marijke   </v>
      </c>
      <c r="AA230" s="2" t="str">
        <f>CONCATENATE(+Contacts!C230)</f>
        <v>Kinkel</v>
      </c>
      <c r="AB230" s="2" t="str">
        <f t="shared" si="106"/>
        <v xml:space="preserve">, </v>
      </c>
      <c r="AC230" s="2" t="str">
        <f>CONCATENATE(+Contacts!A230)</f>
        <v>Marijke</v>
      </c>
      <c r="AD230" s="3" t="str">
        <f>CONCATENATE(" ",+Contacts!B230)</f>
        <v xml:space="preserve"> </v>
      </c>
      <c r="AE230" s="2" t="str">
        <f t="shared" si="107"/>
        <v xml:space="preserve"> </v>
      </c>
      <c r="AF230" s="3" t="str">
        <f>CONCATENATE(+Contacts!D230)</f>
        <v/>
      </c>
      <c r="AG230" s="2" t="str">
        <f t="shared" si="108"/>
        <v xml:space="preserve"> </v>
      </c>
      <c r="AH230" t="str">
        <f>CONCATENATE(+Contacts!I230)</f>
        <v>marijkekinkel@kpnplanet.nl</v>
      </c>
      <c r="AI230">
        <v>1500000010</v>
      </c>
      <c r="AJ230" s="5">
        <f t="shared" si="109"/>
        <v>1</v>
      </c>
    </row>
    <row r="231" spans="1:36" x14ac:dyDescent="0.35">
      <c r="A231" s="7" t="str">
        <f t="shared" si="84"/>
        <v>&lt;contact&gt;&lt;category&gt;0&lt;/category&gt;&lt;person&gt;&lt;realName&gt;Kleef, Saskia van  &lt;/realName&gt;&lt;/person&gt;</v>
      </c>
      <c r="B231" s="7" t="str">
        <f t="shared" si="85"/>
        <v>&lt;telephony nid="2"&gt;&lt;number id="0" prio="1" type="home"&gt;+31 105118723&lt;/number&gt;&lt;number id="1" prio="0" type="mobile"&gt;+31 681527911&lt;/number&gt;&lt;/telephony&gt;</v>
      </c>
      <c r="C231" s="7" t="str">
        <f t="shared" si="86"/>
        <v>&lt;services nid="1"&gt;&lt;email id="0" classifier="private"&gt;S.van.Kleef@kpnmail.nl&lt;/email&gt;&lt;/services&gt;&lt;setup /&gt;&lt;mod_time&gt;1500000010&lt;/mod_time&gt;&lt;uniqueid&gt;1&lt;/uniqueid&gt;&lt;/contact&gt;</v>
      </c>
      <c r="D231" t="str">
        <f t="shared" si="87"/>
        <v>&lt;contact&gt;&lt;category&gt;0&lt;/category&gt;&lt;person&gt;&lt;realName&gt;Kleef, Saskia van  &lt;/realName&gt;&lt;/person&gt;</v>
      </c>
      <c r="E231" t="str">
        <f t="shared" si="88"/>
        <v>&lt;telephony nid="2"&gt;&lt;number id="0" prio="1" type="home"&gt;+31 105118723&lt;/number&gt;&lt;number id="1" prio="0" type="mobile"&gt;+31 681527911&lt;/number&gt;&lt;/telephony&gt;</v>
      </c>
      <c r="F231" t="str">
        <f t="shared" si="89"/>
        <v>&lt;telephony nid="2"&gt;</v>
      </c>
      <c r="G231" t="str">
        <f t="shared" si="90"/>
        <v/>
      </c>
      <c r="H231" t="str">
        <f t="shared" si="91"/>
        <v>&lt;services nid="1"&gt;&lt;email id="0" classifier="private"&gt;S.van.Kleef@kpnmail.nl&lt;/email&gt;&lt;/services&gt;&lt;setup /&gt;&lt;mod_time&gt;1500000010&lt;/mod_time&gt;&lt;uniqueid&gt;1&lt;/uniqueid&gt;&lt;/contact&gt;</v>
      </c>
      <c r="I231" t="str">
        <f t="shared" si="92"/>
        <v>&lt;services /&gt;&lt;setup /&gt;&lt;mod_time&gt;1500000010&lt;/mod_time&gt;&lt;uniqueid&gt;1&lt;/uniqueid&gt;&lt;/contact&gt;</v>
      </c>
      <c r="J231" t="str">
        <f t="shared" si="93"/>
        <v>&lt;services nid="1"&gt;&lt;email id="0" classifier="private"&gt;S.van.Kleef@kpnmail.nl&lt;/email&gt;&lt;/services&gt;&lt;setup /&gt;&lt;mod_time&gt;1500000010&lt;/mod_time&gt;&lt;uniqueid&gt;1&lt;/uniqueid&gt;&lt;/contact&gt;</v>
      </c>
      <c r="K231" s="5">
        <f t="shared" si="94"/>
        <v>0</v>
      </c>
      <c r="L231" s="5">
        <f t="shared" si="95"/>
        <v>0</v>
      </c>
      <c r="M231" s="5" t="str">
        <f>CONCATENATE(+Contacts!E231)</f>
        <v/>
      </c>
      <c r="N231" t="str">
        <f t="shared" si="96"/>
        <v>&lt;number id="0" prio="1" type="home"&gt;+31 105118723&lt;/number&gt;</v>
      </c>
      <c r="O231" s="5">
        <f t="shared" si="97"/>
        <v>1</v>
      </c>
      <c r="P231" s="5">
        <f t="shared" si="98"/>
        <v>1</v>
      </c>
      <c r="Q231" s="5" t="str">
        <f>CONCATENATE(+Contacts!G231)</f>
        <v>+31 105118723</v>
      </c>
      <c r="R231" t="str">
        <f t="shared" si="99"/>
        <v>&lt;number id="1" prio="0" type="mobile"&gt;+31 681527911&lt;/number&gt;</v>
      </c>
      <c r="S231" s="5">
        <f t="shared" si="100"/>
        <v>2</v>
      </c>
      <c r="T231" s="5">
        <f t="shared" si="101"/>
        <v>0</v>
      </c>
      <c r="U231" s="5" t="str">
        <f>CONCATENATE(+Contacts!H231)</f>
        <v>+31 681527911</v>
      </c>
      <c r="V231" t="str">
        <f t="shared" si="102"/>
        <v/>
      </c>
      <c r="W231" s="5">
        <f t="shared" si="103"/>
        <v>2</v>
      </c>
      <c r="X231" s="5">
        <f t="shared" si="104"/>
        <v>0</v>
      </c>
      <c r="Y231" s="5" t="str">
        <f>CONCATENATE(+Contacts!F231)</f>
        <v/>
      </c>
      <c r="Z231" s="2" t="str">
        <f t="shared" si="105"/>
        <v xml:space="preserve">Kleef, Saskia van  </v>
      </c>
      <c r="AA231" s="2" t="str">
        <f>CONCATENATE(+Contacts!C231)</f>
        <v>Kleef</v>
      </c>
      <c r="AB231" s="2" t="str">
        <f t="shared" si="106"/>
        <v xml:space="preserve">, </v>
      </c>
      <c r="AC231" s="2" t="str">
        <f>CONCATENATE(+Contacts!A231)</f>
        <v>Saskia</v>
      </c>
      <c r="AD231" s="3" t="str">
        <f>CONCATENATE(" ",+Contacts!B231)</f>
        <v xml:space="preserve"> van</v>
      </c>
      <c r="AE231" s="2" t="str">
        <f t="shared" si="107"/>
        <v xml:space="preserve"> </v>
      </c>
      <c r="AF231" s="3" t="str">
        <f>CONCATENATE(+Contacts!D231)</f>
        <v/>
      </c>
      <c r="AG231" s="2" t="str">
        <f t="shared" si="108"/>
        <v xml:space="preserve"> </v>
      </c>
      <c r="AH231" t="str">
        <f>CONCATENATE(+Contacts!I231)</f>
        <v>S.van.Kleef@kpnmail.nl</v>
      </c>
      <c r="AI231">
        <v>1500000010</v>
      </c>
      <c r="AJ231" s="5">
        <f t="shared" si="109"/>
        <v>1</v>
      </c>
    </row>
    <row r="232" spans="1:36" x14ac:dyDescent="0.35">
      <c r="A232" s="7" t="str">
        <f t="shared" si="84"/>
        <v/>
      </c>
      <c r="B232" s="7" t="str">
        <f t="shared" si="85"/>
        <v/>
      </c>
      <c r="C232" s="7" t="str">
        <f t="shared" si="86"/>
        <v/>
      </c>
      <c r="D232" t="str">
        <f t="shared" si="87"/>
        <v>&lt;contact&gt;&lt;category&gt;0&lt;/category&gt;&lt;person&gt;&lt;realName&gt;Klepper, Jan de  &lt;/realName&gt;&lt;/person&gt;</v>
      </c>
      <c r="E232" t="str">
        <f t="shared" si="88"/>
        <v>&lt;telephony nid="0"&gt;&lt;/telephony&gt;</v>
      </c>
      <c r="F232" t="str">
        <f t="shared" si="89"/>
        <v>&lt;telephony nid="0"&gt;</v>
      </c>
      <c r="G232" t="str">
        <f t="shared" si="90"/>
        <v/>
      </c>
      <c r="H232" t="str">
        <f t="shared" si="91"/>
        <v>&lt;services nid="1"&gt;&lt;email id="0" classifier="private"&gt;jan.de.klepper@gmail.com&lt;/email&gt;&lt;/services&gt;&lt;setup /&gt;&lt;mod_time&gt;1500000010&lt;/mod_time&gt;&lt;uniqueid&gt;0&lt;/uniqueid&gt;&lt;/contact&gt;</v>
      </c>
      <c r="I232" t="str">
        <f t="shared" si="92"/>
        <v>&lt;services /&gt;&lt;setup /&gt;&lt;mod_time&gt;1500000010&lt;/mod_time&gt;&lt;uniqueid&gt;0&lt;/uniqueid&gt;&lt;/contact&gt;</v>
      </c>
      <c r="J232" t="str">
        <f t="shared" si="93"/>
        <v>&lt;services nid="1"&gt;&lt;email id="0" classifier="private"&gt;jan.de.klepper@gmail.com&lt;/email&gt;&lt;/services&gt;&lt;setup /&gt;&lt;mod_time&gt;1500000010&lt;/mod_time&gt;&lt;uniqueid&gt;0&lt;/uniqueid&gt;&lt;/contact&gt;</v>
      </c>
      <c r="K232" s="5">
        <f t="shared" si="94"/>
        <v>0</v>
      </c>
      <c r="L232" s="5">
        <f t="shared" si="95"/>
        <v>0</v>
      </c>
      <c r="M232" s="5" t="str">
        <f>CONCATENATE(+Contacts!E232)</f>
        <v/>
      </c>
      <c r="N232" t="str">
        <f t="shared" si="96"/>
        <v/>
      </c>
      <c r="O232" s="5">
        <f t="shared" si="97"/>
        <v>0</v>
      </c>
      <c r="P232" s="5">
        <f t="shared" si="98"/>
        <v>0</v>
      </c>
      <c r="Q232" s="5" t="str">
        <f>CONCATENATE(+Contacts!G232)</f>
        <v/>
      </c>
      <c r="R232" t="str">
        <f t="shared" si="99"/>
        <v/>
      </c>
      <c r="S232" s="5">
        <f t="shared" si="100"/>
        <v>0</v>
      </c>
      <c r="T232" s="5">
        <f t="shared" si="101"/>
        <v>0</v>
      </c>
      <c r="U232" s="5" t="str">
        <f>CONCATENATE(+Contacts!H232)</f>
        <v/>
      </c>
      <c r="V232" t="str">
        <f t="shared" si="102"/>
        <v/>
      </c>
      <c r="W232" s="5">
        <f t="shared" si="103"/>
        <v>0</v>
      </c>
      <c r="X232" s="5">
        <f t="shared" si="104"/>
        <v>0</v>
      </c>
      <c r="Y232" s="5" t="str">
        <f>CONCATENATE(+Contacts!F232)</f>
        <v/>
      </c>
      <c r="Z232" s="2" t="str">
        <f t="shared" si="105"/>
        <v xml:space="preserve">Klepper, Jan de  </v>
      </c>
      <c r="AA232" s="2" t="str">
        <f>CONCATENATE(+Contacts!C232)</f>
        <v>Klepper</v>
      </c>
      <c r="AB232" s="2" t="str">
        <f t="shared" si="106"/>
        <v xml:space="preserve">, </v>
      </c>
      <c r="AC232" s="2" t="str">
        <f>CONCATENATE(+Contacts!A232)</f>
        <v>Jan</v>
      </c>
      <c r="AD232" s="3" t="str">
        <f>CONCATENATE(" ",+Contacts!B232)</f>
        <v xml:space="preserve"> de</v>
      </c>
      <c r="AE232" s="2" t="str">
        <f t="shared" si="107"/>
        <v xml:space="preserve"> </v>
      </c>
      <c r="AF232" s="3" t="str">
        <f>CONCATENATE(+Contacts!D232)</f>
        <v/>
      </c>
      <c r="AG232" s="2" t="str">
        <f t="shared" si="108"/>
        <v xml:space="preserve"> </v>
      </c>
      <c r="AH232" t="str">
        <f>CONCATENATE(+Contacts!I232)</f>
        <v>jan.de.klepper@gmail.com</v>
      </c>
      <c r="AI232">
        <v>1500000010</v>
      </c>
      <c r="AJ232" s="5">
        <f t="shared" si="109"/>
        <v>0</v>
      </c>
    </row>
    <row r="233" spans="1:36" x14ac:dyDescent="0.35">
      <c r="A233" s="7" t="str">
        <f t="shared" si="84"/>
        <v>&lt;contact&gt;&lt;category&gt;0&lt;/category&gt;&lt;person&gt;&lt;realName&gt;Klip, Rob en Henny   &lt;/realName&gt;&lt;/person&gt;</v>
      </c>
      <c r="B233" s="7" t="str">
        <f t="shared" si="85"/>
        <v>&lt;telephony nid="1"&gt;&lt;number id="0" prio="1" type="home"&gt;(0182) 38 69 23&lt;/number&gt;&lt;/telephony&gt;</v>
      </c>
      <c r="C233" s="7" t="str">
        <f t="shared" si="86"/>
        <v>&lt;services /&gt;&lt;setup /&gt;&lt;mod_time&gt;1500000010&lt;/mod_time&gt;&lt;uniqueid&gt;1&lt;/uniqueid&gt;&lt;/contact&gt;</v>
      </c>
      <c r="D233" t="str">
        <f t="shared" si="87"/>
        <v>&lt;contact&gt;&lt;category&gt;0&lt;/category&gt;&lt;person&gt;&lt;realName&gt;Klip, Rob en Henny   &lt;/realName&gt;&lt;/person&gt;</v>
      </c>
      <c r="E233" t="str">
        <f t="shared" si="88"/>
        <v>&lt;telephony nid="1"&gt;&lt;number id="0" prio="1" type="home"&gt;(0182) 38 69 23&lt;/number&gt;&lt;/telephony&gt;</v>
      </c>
      <c r="F233" t="str">
        <f t="shared" si="89"/>
        <v>&lt;telephony nid="1"&gt;</v>
      </c>
      <c r="G233" t="str">
        <f t="shared" si="90"/>
        <v/>
      </c>
      <c r="H233" t="str">
        <f t="shared" si="91"/>
        <v>&lt;services nid="1"&gt;&lt;email id="0" classifier="private"&gt;&lt;/email&gt;&lt;/services&gt;&lt;setup /&gt;&lt;mod_time&gt;1500000010&lt;/mod_time&gt;&lt;uniqueid&gt;1&lt;/uniqueid&gt;&lt;/contact&gt;</v>
      </c>
      <c r="I233" t="str">
        <f t="shared" si="92"/>
        <v>&lt;services /&gt;&lt;setup /&gt;&lt;mod_time&gt;1500000010&lt;/mod_time&gt;&lt;uniqueid&gt;1&lt;/uniqueid&gt;&lt;/contact&gt;</v>
      </c>
      <c r="J233" t="str">
        <f t="shared" si="93"/>
        <v>&lt;services /&gt;&lt;setup /&gt;&lt;mod_time&gt;1500000010&lt;/mod_time&gt;&lt;uniqueid&gt;1&lt;/uniqueid&gt;&lt;/contact&gt;</v>
      </c>
      <c r="K233" s="5">
        <f t="shared" si="94"/>
        <v>0</v>
      </c>
      <c r="L233" s="5">
        <f t="shared" si="95"/>
        <v>0</v>
      </c>
      <c r="M233" s="5" t="str">
        <f>CONCATENATE(+Contacts!E233)</f>
        <v/>
      </c>
      <c r="N233" t="str">
        <f t="shared" si="96"/>
        <v>&lt;number id="0" prio="1" type="home"&gt;(0182) 38 69 23&lt;/number&gt;</v>
      </c>
      <c r="O233" s="5">
        <f t="shared" si="97"/>
        <v>1</v>
      </c>
      <c r="P233" s="5">
        <f t="shared" si="98"/>
        <v>1</v>
      </c>
      <c r="Q233" s="5" t="str">
        <f>CONCATENATE(+Contacts!G233)</f>
        <v>(0182) 38 69 23</v>
      </c>
      <c r="R233" t="str">
        <f t="shared" si="99"/>
        <v/>
      </c>
      <c r="S233" s="5">
        <f t="shared" si="100"/>
        <v>1</v>
      </c>
      <c r="T233" s="5">
        <f t="shared" si="101"/>
        <v>1</v>
      </c>
      <c r="U233" s="5" t="str">
        <f>CONCATENATE(+Contacts!H233)</f>
        <v/>
      </c>
      <c r="V233" t="str">
        <f t="shared" si="102"/>
        <v/>
      </c>
      <c r="W233" s="5">
        <f t="shared" si="103"/>
        <v>1</v>
      </c>
      <c r="X233" s="5">
        <f t="shared" si="104"/>
        <v>1</v>
      </c>
      <c r="Y233" s="5" t="str">
        <f>CONCATENATE(+Contacts!F233)</f>
        <v/>
      </c>
      <c r="Z233" s="2" t="str">
        <f t="shared" si="105"/>
        <v xml:space="preserve">Klip, Rob en Henny   </v>
      </c>
      <c r="AA233" s="2" t="str">
        <f>CONCATENATE(+Contacts!C233)</f>
        <v>Klip</v>
      </c>
      <c r="AB233" s="2" t="str">
        <f t="shared" si="106"/>
        <v xml:space="preserve">, </v>
      </c>
      <c r="AC233" s="2" t="str">
        <f>CONCATENATE(+Contacts!A233)</f>
        <v>Rob en Henny</v>
      </c>
      <c r="AD233" s="3" t="str">
        <f>CONCATENATE(" ",+Contacts!B233)</f>
        <v xml:space="preserve"> </v>
      </c>
      <c r="AE233" s="2" t="str">
        <f t="shared" si="107"/>
        <v xml:space="preserve"> </v>
      </c>
      <c r="AF233" s="3" t="str">
        <f>CONCATENATE(+Contacts!D233)</f>
        <v/>
      </c>
      <c r="AG233" s="2" t="str">
        <f t="shared" si="108"/>
        <v xml:space="preserve"> </v>
      </c>
      <c r="AH233" t="str">
        <f>CONCATENATE(+Contacts!I233)</f>
        <v/>
      </c>
      <c r="AI233">
        <v>1500000010</v>
      </c>
      <c r="AJ233" s="5">
        <f t="shared" si="109"/>
        <v>1</v>
      </c>
    </row>
    <row r="234" spans="1:36" x14ac:dyDescent="0.35">
      <c r="A234" s="7" t="str">
        <f t="shared" si="84"/>
        <v>&lt;contact&gt;&lt;category&gt;0&lt;/category&gt;&lt;person&gt;&lt;realName&gt;Klis, Hannie van der  &lt;/realName&gt;&lt;/person&gt;</v>
      </c>
      <c r="B234" s="7" t="str">
        <f t="shared" si="85"/>
        <v>&lt;telephony nid="2"&gt;&lt;number id="0" prio="1" type="home"&gt;+31 113 232899&lt;/number&gt;&lt;number id="1" prio="0" type="work"&gt;(06) 23 70 06 81&lt;/number&gt;&lt;/telephony&gt;</v>
      </c>
      <c r="C234" s="7" t="str">
        <f t="shared" si="86"/>
        <v>&lt;services nid="1"&gt;&lt;email id="0" classifier="private"&gt;hanniekroeger@zeelandnet.nl&lt;/email&gt;&lt;/services&gt;&lt;setup /&gt;&lt;mod_time&gt;1500000010&lt;/mod_time&gt;&lt;uniqueid&gt;1&lt;/uniqueid&gt;&lt;/contact&gt;</v>
      </c>
      <c r="D234" t="str">
        <f t="shared" si="87"/>
        <v>&lt;contact&gt;&lt;category&gt;0&lt;/category&gt;&lt;person&gt;&lt;realName&gt;Klis, Hannie van der  &lt;/realName&gt;&lt;/person&gt;</v>
      </c>
      <c r="E234" t="str">
        <f t="shared" si="88"/>
        <v>&lt;telephony nid="2"&gt;&lt;number id="0" prio="1" type="home"&gt;+31 113 232899&lt;/number&gt;&lt;number id="1" prio="0" type="work"&gt;(06) 23 70 06 81&lt;/number&gt;&lt;/telephony&gt;</v>
      </c>
      <c r="F234" t="str">
        <f t="shared" si="89"/>
        <v>&lt;telephony nid="2"&gt;</v>
      </c>
      <c r="G234" t="str">
        <f t="shared" si="90"/>
        <v/>
      </c>
      <c r="H234" t="str">
        <f t="shared" si="91"/>
        <v>&lt;services nid="1"&gt;&lt;email id="0" classifier="private"&gt;hanniekroeger@zeelandnet.nl&lt;/email&gt;&lt;/services&gt;&lt;setup /&gt;&lt;mod_time&gt;1500000010&lt;/mod_time&gt;&lt;uniqueid&gt;1&lt;/uniqueid&gt;&lt;/contact&gt;</v>
      </c>
      <c r="I234" t="str">
        <f t="shared" si="92"/>
        <v>&lt;services /&gt;&lt;setup /&gt;&lt;mod_time&gt;1500000010&lt;/mod_time&gt;&lt;uniqueid&gt;1&lt;/uniqueid&gt;&lt;/contact&gt;</v>
      </c>
      <c r="J234" t="str">
        <f t="shared" si="93"/>
        <v>&lt;services nid="1"&gt;&lt;email id="0" classifier="private"&gt;hanniekroeger@zeelandnet.nl&lt;/email&gt;&lt;/services&gt;&lt;setup /&gt;&lt;mod_time&gt;1500000010&lt;/mod_time&gt;&lt;uniqueid&gt;1&lt;/uniqueid&gt;&lt;/contact&gt;</v>
      </c>
      <c r="K234" s="5">
        <f t="shared" si="94"/>
        <v>0</v>
      </c>
      <c r="L234" s="5">
        <f t="shared" si="95"/>
        <v>0</v>
      </c>
      <c r="M234" s="5" t="str">
        <f>CONCATENATE(+Contacts!E234)</f>
        <v/>
      </c>
      <c r="N234" t="str">
        <f t="shared" si="96"/>
        <v>&lt;number id="0" prio="1" type="home"&gt;+31 113 232899&lt;/number&gt;</v>
      </c>
      <c r="O234" s="5">
        <f t="shared" si="97"/>
        <v>1</v>
      </c>
      <c r="P234" s="5">
        <f t="shared" si="98"/>
        <v>1</v>
      </c>
      <c r="Q234" s="5" t="str">
        <f>CONCATENATE(+Contacts!G234)</f>
        <v>+31 113 232899</v>
      </c>
      <c r="R234" t="str">
        <f t="shared" si="99"/>
        <v/>
      </c>
      <c r="S234" s="5">
        <f t="shared" si="100"/>
        <v>1</v>
      </c>
      <c r="T234" s="5">
        <f t="shared" si="101"/>
        <v>1</v>
      </c>
      <c r="U234" s="5" t="str">
        <f>CONCATENATE(+Contacts!H234)</f>
        <v/>
      </c>
      <c r="V234" t="str">
        <f t="shared" si="102"/>
        <v>&lt;number id="1" prio="0" type="work"&gt;(06) 23 70 06 81&lt;/number&gt;</v>
      </c>
      <c r="W234" s="5">
        <f t="shared" si="103"/>
        <v>2</v>
      </c>
      <c r="X234" s="5">
        <f t="shared" si="104"/>
        <v>0</v>
      </c>
      <c r="Y234" s="5" t="str">
        <f>CONCATENATE(+Contacts!F234)</f>
        <v>(06) 23 70 06 81</v>
      </c>
      <c r="Z234" s="2" t="str">
        <f t="shared" si="105"/>
        <v xml:space="preserve">Klis, Hannie van der  </v>
      </c>
      <c r="AA234" s="2" t="str">
        <f>CONCATENATE(+Contacts!C234)</f>
        <v>Klis</v>
      </c>
      <c r="AB234" s="2" t="str">
        <f t="shared" si="106"/>
        <v xml:space="preserve">, </v>
      </c>
      <c r="AC234" s="2" t="str">
        <f>CONCATENATE(+Contacts!A234)</f>
        <v>Hannie</v>
      </c>
      <c r="AD234" s="3" t="str">
        <f>CONCATENATE(" ",+Contacts!B234)</f>
        <v xml:space="preserve"> van der</v>
      </c>
      <c r="AE234" s="2" t="str">
        <f t="shared" si="107"/>
        <v xml:space="preserve"> </v>
      </c>
      <c r="AF234" s="3" t="str">
        <f>CONCATENATE(+Contacts!D234)</f>
        <v/>
      </c>
      <c r="AG234" s="2" t="str">
        <f t="shared" si="108"/>
        <v xml:space="preserve"> </v>
      </c>
      <c r="AH234" t="str">
        <f>CONCATENATE(+Contacts!I234)</f>
        <v>hanniekroeger@zeelandnet.nl</v>
      </c>
      <c r="AI234">
        <v>1500000010</v>
      </c>
      <c r="AJ234" s="5">
        <f t="shared" si="109"/>
        <v>1</v>
      </c>
    </row>
    <row r="235" spans="1:36" x14ac:dyDescent="0.35">
      <c r="A235" s="7" t="str">
        <f t="shared" si="84"/>
        <v>&lt;contact&gt;&lt;category&gt;0&lt;/category&gt;&lt;person&gt;&lt;realName&gt;Klop, Marcel (Ruigrok &amp;amp; v/d Pad)&lt;/realName&gt;&lt;/person&gt;</v>
      </c>
      <c r="B235" s="7" t="str">
        <f t="shared" si="85"/>
        <v>&lt;telephony nid="1"&gt;&lt;number id="0" prio="1" type="home"&gt;+31 6 21 58 82 73&lt;/number&gt;&lt;/telephony&gt;</v>
      </c>
      <c r="C235" s="7" t="str">
        <f t="shared" si="86"/>
        <v>&lt;services /&gt;&lt;setup /&gt;&lt;mod_time&gt;1500000010&lt;/mod_time&gt;&lt;uniqueid&gt;1&lt;/uniqueid&gt;&lt;/contact&gt;</v>
      </c>
      <c r="D235" t="str">
        <f t="shared" si="87"/>
        <v>&lt;contact&gt;&lt;category&gt;0&lt;/category&gt;&lt;person&gt;&lt;realName&gt;Klop, Marcel (Ruigrok &amp;amp; v/d Pad)&lt;/realName&gt;&lt;/person&gt;</v>
      </c>
      <c r="E235" t="str">
        <f t="shared" si="88"/>
        <v>&lt;telephony nid="1"&gt;&lt;number id="0" prio="1" type="home"&gt;+31 6 21 58 82 73&lt;/number&gt;&lt;/telephony&gt;</v>
      </c>
      <c r="F235" t="str">
        <f t="shared" si="89"/>
        <v>&lt;telephony nid="1"&gt;</v>
      </c>
      <c r="G235" t="str">
        <f t="shared" si="90"/>
        <v/>
      </c>
      <c r="H235" t="str">
        <f t="shared" si="91"/>
        <v>&lt;services nid="1"&gt;&lt;email id="0" classifier="private"&gt;&lt;/email&gt;&lt;/services&gt;&lt;setup /&gt;&lt;mod_time&gt;1500000010&lt;/mod_time&gt;&lt;uniqueid&gt;1&lt;/uniqueid&gt;&lt;/contact&gt;</v>
      </c>
      <c r="I235" t="str">
        <f t="shared" si="92"/>
        <v>&lt;services /&gt;&lt;setup /&gt;&lt;mod_time&gt;1500000010&lt;/mod_time&gt;&lt;uniqueid&gt;1&lt;/uniqueid&gt;&lt;/contact&gt;</v>
      </c>
      <c r="J235" t="str">
        <f t="shared" si="93"/>
        <v>&lt;services /&gt;&lt;setup /&gt;&lt;mod_time&gt;1500000010&lt;/mod_time&gt;&lt;uniqueid&gt;1&lt;/uniqueid&gt;&lt;/contact&gt;</v>
      </c>
      <c r="K235" s="5">
        <f t="shared" si="94"/>
        <v>0</v>
      </c>
      <c r="L235" s="5">
        <f t="shared" si="95"/>
        <v>0</v>
      </c>
      <c r="M235" s="5" t="str">
        <f>CONCATENATE(+Contacts!E235)</f>
        <v/>
      </c>
      <c r="N235" t="str">
        <f t="shared" si="96"/>
        <v>&lt;number id="0" prio="1" type="home"&gt;+31 6 21 58 82 73&lt;/number&gt;</v>
      </c>
      <c r="O235" s="5">
        <f t="shared" si="97"/>
        <v>1</v>
      </c>
      <c r="P235" s="5">
        <f t="shared" si="98"/>
        <v>1</v>
      </c>
      <c r="Q235" s="5" t="str">
        <f>CONCATENATE(+Contacts!G235)</f>
        <v>+31 6 21 58 82 73</v>
      </c>
      <c r="R235" t="str">
        <f t="shared" si="99"/>
        <v/>
      </c>
      <c r="S235" s="5">
        <f t="shared" si="100"/>
        <v>1</v>
      </c>
      <c r="T235" s="5">
        <f t="shared" si="101"/>
        <v>1</v>
      </c>
      <c r="U235" s="5" t="str">
        <f>CONCATENATE(+Contacts!H235)</f>
        <v/>
      </c>
      <c r="V235" t="str">
        <f t="shared" si="102"/>
        <v/>
      </c>
      <c r="W235" s="5">
        <f t="shared" si="103"/>
        <v>1</v>
      </c>
      <c r="X235" s="5">
        <f t="shared" si="104"/>
        <v>1</v>
      </c>
      <c r="Y235" s="5" t="str">
        <f>CONCATENATE(+Contacts!F235)</f>
        <v/>
      </c>
      <c r="Z235" s="2" t="str">
        <f t="shared" si="105"/>
        <v>Klop, Marcel (Ruigrok &amp;amp; v/d Pad)</v>
      </c>
      <c r="AA235" s="2" t="str">
        <f>CONCATENATE(+Contacts!C235)</f>
        <v>Klop</v>
      </c>
      <c r="AB235" s="2" t="str">
        <f t="shared" si="106"/>
        <v xml:space="preserve">, </v>
      </c>
      <c r="AC235" s="2" t="str">
        <f>CONCATENATE(+Contacts!A235)</f>
        <v>Marcel</v>
      </c>
      <c r="AD235" s="3" t="str">
        <f>CONCATENATE(" ",+Contacts!B235)</f>
        <v xml:space="preserve"> </v>
      </c>
      <c r="AE235" s="2" t="str">
        <f t="shared" si="107"/>
        <v>(</v>
      </c>
      <c r="AF235" s="3" t="str">
        <f>CONCATENATE(+Contacts!D235)</f>
        <v>Ruigrok &amp;amp; v/d Pad</v>
      </c>
      <c r="AG235" s="2" t="str">
        <f t="shared" si="108"/>
        <v>)</v>
      </c>
      <c r="AH235" t="str">
        <f>CONCATENATE(+Contacts!I235)</f>
        <v/>
      </c>
      <c r="AI235">
        <v>1500000010</v>
      </c>
      <c r="AJ235" s="5">
        <f t="shared" si="109"/>
        <v>1</v>
      </c>
    </row>
    <row r="236" spans="1:36" x14ac:dyDescent="0.35">
      <c r="A236" s="7" t="str">
        <f t="shared" si="84"/>
        <v/>
      </c>
      <c r="B236" s="7" t="str">
        <f t="shared" si="85"/>
        <v/>
      </c>
      <c r="C236" s="7" t="str">
        <f t="shared" si="86"/>
        <v/>
      </c>
      <c r="D236" t="str">
        <f t="shared" si="87"/>
        <v>&lt;contact&gt;&lt;category&gt;0&lt;/category&gt;&lt;person&gt;&lt;realName&gt;Klugt, Martijn van der  &lt;/realName&gt;&lt;/person&gt;</v>
      </c>
      <c r="E236" t="str">
        <f t="shared" si="88"/>
        <v>&lt;telephony nid="0"&gt;&lt;/telephony&gt;</v>
      </c>
      <c r="F236" t="str">
        <f t="shared" si="89"/>
        <v>&lt;telephony nid="0"&gt;</v>
      </c>
      <c r="G236" t="str">
        <f t="shared" si="90"/>
        <v/>
      </c>
      <c r="H236" t="str">
        <f t="shared" si="91"/>
        <v>&lt;services nid="1"&gt;&lt;email id="0" classifier="private"&gt;kluggies@gmail.com&lt;/email&gt;&lt;/services&gt;&lt;setup /&gt;&lt;mod_time&gt;1500000010&lt;/mod_time&gt;&lt;uniqueid&gt;0&lt;/uniqueid&gt;&lt;/contact&gt;</v>
      </c>
      <c r="I236" t="str">
        <f t="shared" si="92"/>
        <v>&lt;services /&gt;&lt;setup /&gt;&lt;mod_time&gt;1500000010&lt;/mod_time&gt;&lt;uniqueid&gt;0&lt;/uniqueid&gt;&lt;/contact&gt;</v>
      </c>
      <c r="J236" t="str">
        <f t="shared" si="93"/>
        <v>&lt;services nid="1"&gt;&lt;email id="0" classifier="private"&gt;kluggies@gmail.com&lt;/email&gt;&lt;/services&gt;&lt;setup /&gt;&lt;mod_time&gt;1500000010&lt;/mod_time&gt;&lt;uniqueid&gt;0&lt;/uniqueid&gt;&lt;/contact&gt;</v>
      </c>
      <c r="K236" s="5">
        <f t="shared" si="94"/>
        <v>0</v>
      </c>
      <c r="L236" s="5">
        <f t="shared" si="95"/>
        <v>0</v>
      </c>
      <c r="M236" s="5" t="str">
        <f>CONCATENATE(+Contacts!E236)</f>
        <v/>
      </c>
      <c r="N236" t="str">
        <f t="shared" si="96"/>
        <v/>
      </c>
      <c r="O236" s="5">
        <f t="shared" si="97"/>
        <v>0</v>
      </c>
      <c r="P236" s="5">
        <f t="shared" si="98"/>
        <v>0</v>
      </c>
      <c r="Q236" s="5" t="str">
        <f>CONCATENATE(+Contacts!G236)</f>
        <v/>
      </c>
      <c r="R236" t="str">
        <f t="shared" si="99"/>
        <v/>
      </c>
      <c r="S236" s="5">
        <f t="shared" si="100"/>
        <v>0</v>
      </c>
      <c r="T236" s="5">
        <f t="shared" si="101"/>
        <v>0</v>
      </c>
      <c r="U236" s="5" t="str">
        <f>CONCATENATE(+Contacts!H236)</f>
        <v/>
      </c>
      <c r="V236" t="str">
        <f t="shared" si="102"/>
        <v/>
      </c>
      <c r="W236" s="5">
        <f t="shared" si="103"/>
        <v>0</v>
      </c>
      <c r="X236" s="5">
        <f t="shared" si="104"/>
        <v>0</v>
      </c>
      <c r="Y236" s="5" t="str">
        <f>CONCATENATE(+Contacts!F236)</f>
        <v/>
      </c>
      <c r="Z236" s="2" t="str">
        <f t="shared" si="105"/>
        <v xml:space="preserve">Klugt, Martijn van der  </v>
      </c>
      <c r="AA236" s="2" t="str">
        <f>CONCATENATE(+Contacts!C236)</f>
        <v>Klugt</v>
      </c>
      <c r="AB236" s="2" t="str">
        <f t="shared" si="106"/>
        <v xml:space="preserve">, </v>
      </c>
      <c r="AC236" s="2" t="str">
        <f>CONCATENATE(+Contacts!A236)</f>
        <v>Martijn</v>
      </c>
      <c r="AD236" s="3" t="str">
        <f>CONCATENATE(" ",+Contacts!B236)</f>
        <v xml:space="preserve"> van der</v>
      </c>
      <c r="AE236" s="2" t="str">
        <f t="shared" si="107"/>
        <v xml:space="preserve"> </v>
      </c>
      <c r="AF236" s="3" t="str">
        <f>CONCATENATE(+Contacts!D236)</f>
        <v/>
      </c>
      <c r="AG236" s="2" t="str">
        <f t="shared" si="108"/>
        <v xml:space="preserve"> </v>
      </c>
      <c r="AH236" t="str">
        <f>CONCATENATE(+Contacts!I236)</f>
        <v>kluggies@gmail.com</v>
      </c>
      <c r="AI236">
        <v>1500000010</v>
      </c>
      <c r="AJ236" s="5">
        <f t="shared" si="109"/>
        <v>0</v>
      </c>
    </row>
    <row r="237" spans="1:36" x14ac:dyDescent="0.35">
      <c r="A237" s="7" t="str">
        <f t="shared" si="84"/>
        <v>&lt;contact&gt;&lt;category&gt;0&lt;/category&gt;&lt;person&gt;&lt;realName&gt;Koerselman, Wim   &lt;/realName&gt;&lt;/person&gt;</v>
      </c>
      <c r="B237" s="7" t="str">
        <f t="shared" si="85"/>
        <v>&lt;telephony nid="2"&gt;&lt;number id="0" prio="1" type="home"&gt;+31 348 508 140&lt;/number&gt;&lt;number id="1" prio="0" type="mobile"&gt;+31 649 613 532&lt;/number&gt;&lt;/telephony&gt;</v>
      </c>
      <c r="C237" s="7" t="str">
        <f t="shared" si="86"/>
        <v>&lt;services nid="1"&gt;&lt;email id="0" classifier="private"&gt;wkoers@kpnmail.nl&lt;/email&gt;&lt;/services&gt;&lt;setup /&gt;&lt;mod_time&gt;1500000010&lt;/mod_time&gt;&lt;uniqueid&gt;1&lt;/uniqueid&gt;&lt;/contact&gt;</v>
      </c>
      <c r="D237" t="str">
        <f t="shared" si="87"/>
        <v>&lt;contact&gt;&lt;category&gt;0&lt;/category&gt;&lt;person&gt;&lt;realName&gt;Koerselman, Wim   &lt;/realName&gt;&lt;/person&gt;</v>
      </c>
      <c r="E237" t="str">
        <f t="shared" si="88"/>
        <v>&lt;telephony nid="2"&gt;&lt;number id="0" prio="1" type="home"&gt;+31 348 508 140&lt;/number&gt;&lt;number id="1" prio="0" type="mobile"&gt;+31 649 613 532&lt;/number&gt;&lt;/telephony&gt;</v>
      </c>
      <c r="F237" t="str">
        <f t="shared" si="89"/>
        <v>&lt;telephony nid="2"&gt;</v>
      </c>
      <c r="G237" t="str">
        <f t="shared" si="90"/>
        <v/>
      </c>
      <c r="H237" t="str">
        <f t="shared" si="91"/>
        <v>&lt;services nid="1"&gt;&lt;email id="0" classifier="private"&gt;wkoers@kpnmail.nl&lt;/email&gt;&lt;/services&gt;&lt;setup /&gt;&lt;mod_time&gt;1500000010&lt;/mod_time&gt;&lt;uniqueid&gt;1&lt;/uniqueid&gt;&lt;/contact&gt;</v>
      </c>
      <c r="I237" t="str">
        <f t="shared" si="92"/>
        <v>&lt;services /&gt;&lt;setup /&gt;&lt;mod_time&gt;1500000010&lt;/mod_time&gt;&lt;uniqueid&gt;1&lt;/uniqueid&gt;&lt;/contact&gt;</v>
      </c>
      <c r="J237" t="str">
        <f t="shared" si="93"/>
        <v>&lt;services nid="1"&gt;&lt;email id="0" classifier="private"&gt;wkoers@kpnmail.nl&lt;/email&gt;&lt;/services&gt;&lt;setup /&gt;&lt;mod_time&gt;1500000010&lt;/mod_time&gt;&lt;uniqueid&gt;1&lt;/uniqueid&gt;&lt;/contact&gt;</v>
      </c>
      <c r="K237" s="5">
        <f t="shared" si="94"/>
        <v>0</v>
      </c>
      <c r="L237" s="5">
        <f t="shared" si="95"/>
        <v>0</v>
      </c>
      <c r="M237" s="5" t="str">
        <f>CONCATENATE(+Contacts!E237)</f>
        <v/>
      </c>
      <c r="N237" t="str">
        <f t="shared" si="96"/>
        <v>&lt;number id="0" prio="1" type="home"&gt;+31 348 508 140&lt;/number&gt;</v>
      </c>
      <c r="O237" s="5">
        <f t="shared" si="97"/>
        <v>1</v>
      </c>
      <c r="P237" s="5">
        <f t="shared" si="98"/>
        <v>1</v>
      </c>
      <c r="Q237" s="5" t="str">
        <f>CONCATENATE(+Contacts!G237)</f>
        <v>+31 348 508 140</v>
      </c>
      <c r="R237" t="str">
        <f t="shared" si="99"/>
        <v>&lt;number id="1" prio="0" type="mobile"&gt;+31 649 613 532&lt;/number&gt;</v>
      </c>
      <c r="S237" s="5">
        <f t="shared" si="100"/>
        <v>2</v>
      </c>
      <c r="T237" s="5">
        <f t="shared" si="101"/>
        <v>0</v>
      </c>
      <c r="U237" s="5" t="str">
        <f>CONCATENATE(+Contacts!H237)</f>
        <v>+31 649 613 532</v>
      </c>
      <c r="V237" t="str">
        <f t="shared" si="102"/>
        <v/>
      </c>
      <c r="W237" s="5">
        <f t="shared" si="103"/>
        <v>2</v>
      </c>
      <c r="X237" s="5">
        <f t="shared" si="104"/>
        <v>0</v>
      </c>
      <c r="Y237" s="5" t="str">
        <f>CONCATENATE(+Contacts!F237)</f>
        <v/>
      </c>
      <c r="Z237" s="2" t="str">
        <f t="shared" si="105"/>
        <v xml:space="preserve">Koerselman, Wim   </v>
      </c>
      <c r="AA237" s="2" t="str">
        <f>CONCATENATE(+Contacts!C237)</f>
        <v>Koerselman</v>
      </c>
      <c r="AB237" s="2" t="str">
        <f t="shared" si="106"/>
        <v xml:space="preserve">, </v>
      </c>
      <c r="AC237" s="2" t="str">
        <f>CONCATENATE(+Contacts!A237)</f>
        <v>Wim</v>
      </c>
      <c r="AD237" s="3" t="str">
        <f>CONCATENATE(" ",+Contacts!B237)</f>
        <v xml:space="preserve"> </v>
      </c>
      <c r="AE237" s="2" t="str">
        <f t="shared" si="107"/>
        <v xml:space="preserve"> </v>
      </c>
      <c r="AF237" s="3" t="str">
        <f>CONCATENATE(+Contacts!D237)</f>
        <v/>
      </c>
      <c r="AG237" s="2" t="str">
        <f t="shared" si="108"/>
        <v xml:space="preserve"> </v>
      </c>
      <c r="AH237" t="str">
        <f>CONCATENATE(+Contacts!I237)</f>
        <v>wkoers@kpnmail.nl</v>
      </c>
      <c r="AI237">
        <v>1500000010</v>
      </c>
      <c r="AJ237" s="5">
        <f t="shared" si="109"/>
        <v>1</v>
      </c>
    </row>
    <row r="238" spans="1:36" x14ac:dyDescent="0.35">
      <c r="A238" s="7" t="str">
        <f t="shared" si="84"/>
        <v/>
      </c>
      <c r="B238" s="7" t="str">
        <f t="shared" si="85"/>
        <v/>
      </c>
      <c r="C238" s="7" t="str">
        <f t="shared" si="86"/>
        <v/>
      </c>
      <c r="D238" t="str">
        <f t="shared" si="87"/>
        <v>&lt;contact&gt;&lt;category&gt;0&lt;/category&gt;&lt;person&gt;&lt;realName&gt;Kolen, Dennis   &lt;/realName&gt;&lt;/person&gt;</v>
      </c>
      <c r="E238" t="str">
        <f t="shared" si="88"/>
        <v>&lt;telephony nid="0"&gt;&lt;/telephony&gt;</v>
      </c>
      <c r="F238" t="str">
        <f t="shared" si="89"/>
        <v>&lt;telephony nid="0"&gt;</v>
      </c>
      <c r="G238" t="str">
        <f t="shared" si="90"/>
        <v/>
      </c>
      <c r="H238" t="str">
        <f t="shared" si="91"/>
        <v>&lt;services nid="1"&gt;&lt;email id="0" classifier="private"&gt;denniskolen@hotmail.com&lt;/email&gt;&lt;/services&gt;&lt;setup /&gt;&lt;mod_time&gt;1500000010&lt;/mod_time&gt;&lt;uniqueid&gt;0&lt;/uniqueid&gt;&lt;/contact&gt;</v>
      </c>
      <c r="I238" t="str">
        <f t="shared" si="92"/>
        <v>&lt;services /&gt;&lt;setup /&gt;&lt;mod_time&gt;1500000010&lt;/mod_time&gt;&lt;uniqueid&gt;0&lt;/uniqueid&gt;&lt;/contact&gt;</v>
      </c>
      <c r="J238" t="str">
        <f t="shared" si="93"/>
        <v>&lt;services nid="1"&gt;&lt;email id="0" classifier="private"&gt;denniskolen@hotmail.com&lt;/email&gt;&lt;/services&gt;&lt;setup /&gt;&lt;mod_time&gt;1500000010&lt;/mod_time&gt;&lt;uniqueid&gt;0&lt;/uniqueid&gt;&lt;/contact&gt;</v>
      </c>
      <c r="K238" s="5">
        <f t="shared" si="94"/>
        <v>0</v>
      </c>
      <c r="L238" s="5">
        <f t="shared" si="95"/>
        <v>0</v>
      </c>
      <c r="M238" s="5" t="str">
        <f>CONCATENATE(+Contacts!E238)</f>
        <v/>
      </c>
      <c r="N238" t="str">
        <f t="shared" si="96"/>
        <v/>
      </c>
      <c r="O238" s="5">
        <f t="shared" si="97"/>
        <v>0</v>
      </c>
      <c r="P238" s="5">
        <f t="shared" si="98"/>
        <v>0</v>
      </c>
      <c r="Q238" s="5" t="str">
        <f>CONCATENATE(+Contacts!G238)</f>
        <v/>
      </c>
      <c r="R238" t="str">
        <f t="shared" si="99"/>
        <v/>
      </c>
      <c r="S238" s="5">
        <f t="shared" si="100"/>
        <v>0</v>
      </c>
      <c r="T238" s="5">
        <f t="shared" si="101"/>
        <v>0</v>
      </c>
      <c r="U238" s="5" t="str">
        <f>CONCATENATE(+Contacts!H238)</f>
        <v/>
      </c>
      <c r="V238" t="str">
        <f t="shared" si="102"/>
        <v/>
      </c>
      <c r="W238" s="5">
        <f t="shared" si="103"/>
        <v>0</v>
      </c>
      <c r="X238" s="5">
        <f t="shared" si="104"/>
        <v>0</v>
      </c>
      <c r="Y238" s="5" t="str">
        <f>CONCATENATE(+Contacts!F238)</f>
        <v/>
      </c>
      <c r="Z238" s="2" t="str">
        <f t="shared" si="105"/>
        <v xml:space="preserve">Kolen, Dennis   </v>
      </c>
      <c r="AA238" s="2" t="str">
        <f>CONCATENATE(+Contacts!C238)</f>
        <v>Kolen</v>
      </c>
      <c r="AB238" s="2" t="str">
        <f t="shared" si="106"/>
        <v xml:space="preserve">, </v>
      </c>
      <c r="AC238" s="2" t="str">
        <f>CONCATENATE(+Contacts!A238)</f>
        <v>Dennis</v>
      </c>
      <c r="AD238" s="3" t="str">
        <f>CONCATENATE(" ",+Contacts!B238)</f>
        <v xml:space="preserve"> </v>
      </c>
      <c r="AE238" s="2" t="str">
        <f t="shared" si="107"/>
        <v xml:space="preserve"> </v>
      </c>
      <c r="AF238" s="3" t="str">
        <f>CONCATENATE(+Contacts!D238)</f>
        <v/>
      </c>
      <c r="AG238" s="2" t="str">
        <f t="shared" si="108"/>
        <v xml:space="preserve"> </v>
      </c>
      <c r="AH238" t="str">
        <f>CONCATENATE(+Contacts!I238)</f>
        <v>denniskolen@hotmail.com</v>
      </c>
      <c r="AI238">
        <v>1500000010</v>
      </c>
      <c r="AJ238" s="5">
        <f t="shared" si="109"/>
        <v>0</v>
      </c>
    </row>
    <row r="239" spans="1:36" x14ac:dyDescent="0.35">
      <c r="A239" s="7" t="str">
        <f t="shared" si="84"/>
        <v/>
      </c>
      <c r="B239" s="7" t="str">
        <f t="shared" si="85"/>
        <v/>
      </c>
      <c r="C239" s="7" t="str">
        <f t="shared" si="86"/>
        <v/>
      </c>
      <c r="D239" t="str">
        <f t="shared" si="87"/>
        <v>&lt;contact&gt;&lt;category&gt;0&lt;/category&gt;&lt;person&gt;&lt;realName&gt;Koning, Carola de  &lt;/realName&gt;&lt;/person&gt;</v>
      </c>
      <c r="E239" t="str">
        <f t="shared" si="88"/>
        <v>&lt;telephony nid="0"&gt;&lt;/telephony&gt;</v>
      </c>
      <c r="F239" t="str">
        <f t="shared" si="89"/>
        <v>&lt;telephony nid="0"&gt;</v>
      </c>
      <c r="G239" t="str">
        <f t="shared" si="90"/>
        <v/>
      </c>
      <c r="H239" t="str">
        <f t="shared" si="91"/>
        <v>&lt;services nid="1"&gt;&lt;email id="0" classifier="private"&gt;c.dekoning1962@ziggo.nl&lt;/email&gt;&lt;/services&gt;&lt;setup /&gt;&lt;mod_time&gt;1500000010&lt;/mod_time&gt;&lt;uniqueid&gt;0&lt;/uniqueid&gt;&lt;/contact&gt;</v>
      </c>
      <c r="I239" t="str">
        <f t="shared" si="92"/>
        <v>&lt;services /&gt;&lt;setup /&gt;&lt;mod_time&gt;1500000010&lt;/mod_time&gt;&lt;uniqueid&gt;0&lt;/uniqueid&gt;&lt;/contact&gt;</v>
      </c>
      <c r="J239" t="str">
        <f t="shared" si="93"/>
        <v>&lt;services nid="1"&gt;&lt;email id="0" classifier="private"&gt;c.dekoning1962@ziggo.nl&lt;/email&gt;&lt;/services&gt;&lt;setup /&gt;&lt;mod_time&gt;1500000010&lt;/mod_time&gt;&lt;uniqueid&gt;0&lt;/uniqueid&gt;&lt;/contact&gt;</v>
      </c>
      <c r="K239" s="5">
        <f t="shared" si="94"/>
        <v>0</v>
      </c>
      <c r="L239" s="5">
        <f t="shared" si="95"/>
        <v>0</v>
      </c>
      <c r="M239" s="5" t="str">
        <f>CONCATENATE(+Contacts!E239)</f>
        <v/>
      </c>
      <c r="N239" t="str">
        <f t="shared" si="96"/>
        <v/>
      </c>
      <c r="O239" s="5">
        <f t="shared" si="97"/>
        <v>0</v>
      </c>
      <c r="P239" s="5">
        <f t="shared" si="98"/>
        <v>0</v>
      </c>
      <c r="Q239" s="5" t="str">
        <f>CONCATENATE(+Contacts!G239)</f>
        <v/>
      </c>
      <c r="R239" t="str">
        <f t="shared" si="99"/>
        <v/>
      </c>
      <c r="S239" s="5">
        <f t="shared" si="100"/>
        <v>0</v>
      </c>
      <c r="T239" s="5">
        <f t="shared" si="101"/>
        <v>0</v>
      </c>
      <c r="U239" s="5" t="str">
        <f>CONCATENATE(+Contacts!H239)</f>
        <v/>
      </c>
      <c r="V239" t="str">
        <f t="shared" si="102"/>
        <v/>
      </c>
      <c r="W239" s="5">
        <f t="shared" si="103"/>
        <v>0</v>
      </c>
      <c r="X239" s="5">
        <f t="shared" si="104"/>
        <v>0</v>
      </c>
      <c r="Y239" s="5" t="str">
        <f>CONCATENATE(+Contacts!F239)</f>
        <v/>
      </c>
      <c r="Z239" s="2" t="str">
        <f t="shared" si="105"/>
        <v xml:space="preserve">Koning, Carola de  </v>
      </c>
      <c r="AA239" s="2" t="str">
        <f>CONCATENATE(+Contacts!C239)</f>
        <v>Koning</v>
      </c>
      <c r="AB239" s="2" t="str">
        <f t="shared" si="106"/>
        <v xml:space="preserve">, </v>
      </c>
      <c r="AC239" s="2" t="str">
        <f>CONCATENATE(+Contacts!A239)</f>
        <v>Carola</v>
      </c>
      <c r="AD239" s="3" t="str">
        <f>CONCATENATE(" ",+Contacts!B239)</f>
        <v xml:space="preserve"> de</v>
      </c>
      <c r="AE239" s="2" t="str">
        <f t="shared" si="107"/>
        <v xml:space="preserve"> </v>
      </c>
      <c r="AF239" s="3" t="str">
        <f>CONCATENATE(+Contacts!D239)</f>
        <v/>
      </c>
      <c r="AG239" s="2" t="str">
        <f t="shared" si="108"/>
        <v xml:space="preserve"> </v>
      </c>
      <c r="AH239" t="str">
        <f>CONCATENATE(+Contacts!I239)</f>
        <v>c.dekoning1962@ziggo.nl</v>
      </c>
      <c r="AI239">
        <v>1500000010</v>
      </c>
      <c r="AJ239" s="5">
        <f t="shared" si="109"/>
        <v>0</v>
      </c>
    </row>
    <row r="240" spans="1:36" x14ac:dyDescent="0.35">
      <c r="A240" s="7" t="str">
        <f t="shared" si="84"/>
        <v>&lt;contact&gt;&lt;category&gt;0&lt;/category&gt;&lt;person&gt;&lt;realName&gt;Kooiman-Van Oost, Riet &amp;amp; Rob   &lt;/realName&gt;&lt;/person&gt;</v>
      </c>
      <c r="B240" s="7" t="str">
        <f t="shared" si="85"/>
        <v>&lt;telephony nid="1"&gt;&lt;number id="0" prio="1" type="home"&gt;+31 499463457&lt;/number&gt;&lt;/telephony&gt;</v>
      </c>
      <c r="C240" s="7" t="str">
        <f t="shared" si="86"/>
        <v>&lt;services nid="1"&gt;&lt;email id="0" classifier="private"&gt;riet.kooiman@hetnet.nl&lt;/email&gt;&lt;/services&gt;&lt;setup /&gt;&lt;mod_time&gt;1500000010&lt;/mod_time&gt;&lt;uniqueid&gt;1&lt;/uniqueid&gt;&lt;/contact&gt;</v>
      </c>
      <c r="D240" t="str">
        <f t="shared" si="87"/>
        <v>&lt;contact&gt;&lt;category&gt;0&lt;/category&gt;&lt;person&gt;&lt;realName&gt;Kooiman-Van Oost, Riet &amp;amp; Rob   &lt;/realName&gt;&lt;/person&gt;</v>
      </c>
      <c r="E240" t="str">
        <f t="shared" si="88"/>
        <v>&lt;telephony nid="1"&gt;&lt;number id="0" prio="1" type="home"&gt;+31 499463457&lt;/number&gt;&lt;/telephony&gt;</v>
      </c>
      <c r="F240" t="str">
        <f t="shared" si="89"/>
        <v>&lt;telephony nid="1"&gt;</v>
      </c>
      <c r="G240" t="str">
        <f t="shared" si="90"/>
        <v/>
      </c>
      <c r="H240" t="str">
        <f t="shared" si="91"/>
        <v>&lt;services nid="1"&gt;&lt;email id="0" classifier="private"&gt;riet.kooiman@hetnet.nl&lt;/email&gt;&lt;/services&gt;&lt;setup /&gt;&lt;mod_time&gt;1500000010&lt;/mod_time&gt;&lt;uniqueid&gt;1&lt;/uniqueid&gt;&lt;/contact&gt;</v>
      </c>
      <c r="I240" t="str">
        <f t="shared" si="92"/>
        <v>&lt;services /&gt;&lt;setup /&gt;&lt;mod_time&gt;1500000010&lt;/mod_time&gt;&lt;uniqueid&gt;1&lt;/uniqueid&gt;&lt;/contact&gt;</v>
      </c>
      <c r="J240" t="str">
        <f t="shared" si="93"/>
        <v>&lt;services nid="1"&gt;&lt;email id="0" classifier="private"&gt;riet.kooiman@hetnet.nl&lt;/email&gt;&lt;/services&gt;&lt;setup /&gt;&lt;mod_time&gt;1500000010&lt;/mod_time&gt;&lt;uniqueid&gt;1&lt;/uniqueid&gt;&lt;/contact&gt;</v>
      </c>
      <c r="K240" s="5">
        <f t="shared" si="94"/>
        <v>0</v>
      </c>
      <c r="L240" s="5">
        <f t="shared" si="95"/>
        <v>0</v>
      </c>
      <c r="M240" s="5" t="str">
        <f>CONCATENATE(+Contacts!E240)</f>
        <v/>
      </c>
      <c r="N240" t="str">
        <f t="shared" si="96"/>
        <v>&lt;number id="0" prio="1" type="home"&gt;+31 499463457&lt;/number&gt;</v>
      </c>
      <c r="O240" s="5">
        <f t="shared" si="97"/>
        <v>1</v>
      </c>
      <c r="P240" s="5">
        <f t="shared" si="98"/>
        <v>1</v>
      </c>
      <c r="Q240" s="5" t="str">
        <f>CONCATENATE(+Contacts!G240)</f>
        <v>+31 499463457</v>
      </c>
      <c r="R240" t="str">
        <f t="shared" si="99"/>
        <v/>
      </c>
      <c r="S240" s="5">
        <f t="shared" si="100"/>
        <v>1</v>
      </c>
      <c r="T240" s="5">
        <f t="shared" si="101"/>
        <v>1</v>
      </c>
      <c r="U240" s="5" t="str">
        <f>CONCATENATE(+Contacts!H240)</f>
        <v/>
      </c>
      <c r="V240" t="str">
        <f t="shared" si="102"/>
        <v/>
      </c>
      <c r="W240" s="5">
        <f t="shared" si="103"/>
        <v>1</v>
      </c>
      <c r="X240" s="5">
        <f t="shared" si="104"/>
        <v>1</v>
      </c>
      <c r="Y240" s="5" t="str">
        <f>CONCATENATE(+Contacts!F240)</f>
        <v/>
      </c>
      <c r="Z240" s="2" t="str">
        <f t="shared" si="105"/>
        <v xml:space="preserve">Kooiman-Van Oost, Riet &amp;amp; Rob   </v>
      </c>
      <c r="AA240" s="2" t="str">
        <f>CONCATENATE(+Contacts!C240)</f>
        <v>Kooiman-Van Oost</v>
      </c>
      <c r="AB240" s="2" t="str">
        <f t="shared" si="106"/>
        <v xml:space="preserve">, </v>
      </c>
      <c r="AC240" s="2" t="str">
        <f>CONCATENATE(+Contacts!A240)</f>
        <v>Riet &amp;amp; Rob</v>
      </c>
      <c r="AD240" s="3" t="str">
        <f>CONCATENATE(" ",+Contacts!B240)</f>
        <v xml:space="preserve"> </v>
      </c>
      <c r="AE240" s="2" t="str">
        <f t="shared" si="107"/>
        <v xml:space="preserve"> </v>
      </c>
      <c r="AF240" s="3" t="str">
        <f>CONCATENATE(+Contacts!D240)</f>
        <v/>
      </c>
      <c r="AG240" s="2" t="str">
        <f t="shared" si="108"/>
        <v xml:space="preserve"> </v>
      </c>
      <c r="AH240" t="str">
        <f>CONCATENATE(+Contacts!I240)</f>
        <v>riet.kooiman@hetnet.nl</v>
      </c>
      <c r="AI240">
        <v>1500000010</v>
      </c>
      <c r="AJ240" s="5">
        <f t="shared" si="109"/>
        <v>1</v>
      </c>
    </row>
    <row r="241" spans="1:36" x14ac:dyDescent="0.35">
      <c r="A241" s="7" t="str">
        <f t="shared" si="84"/>
        <v>&lt;contact&gt;&lt;category&gt;0&lt;/category&gt;&lt;person&gt;&lt;realName&gt;Koomen, Rob   &lt;/realName&gt;&lt;/person&gt;</v>
      </c>
      <c r="B241" s="7" t="str">
        <f t="shared" si="85"/>
        <v>&lt;telephony nid="1"&gt;&lt;number id="0" prio="1" type="mobile"&gt;+31 6 54 620 855&lt;/number&gt;&lt;/telephony&gt;</v>
      </c>
      <c r="C241" s="7" t="str">
        <f t="shared" si="86"/>
        <v>&lt;services nid="1"&gt;&lt;email id="0" classifier="private"&gt;robkoomen@caiway.nl&lt;/email&gt;&lt;/services&gt;&lt;setup /&gt;&lt;mod_time&gt;1500000010&lt;/mod_time&gt;&lt;uniqueid&gt;1&lt;/uniqueid&gt;&lt;/contact&gt;</v>
      </c>
      <c r="D241" t="str">
        <f t="shared" si="87"/>
        <v>&lt;contact&gt;&lt;category&gt;0&lt;/category&gt;&lt;person&gt;&lt;realName&gt;Koomen, Rob   &lt;/realName&gt;&lt;/person&gt;</v>
      </c>
      <c r="E241" t="str">
        <f t="shared" si="88"/>
        <v>&lt;telephony nid="1"&gt;&lt;number id="0" prio="1" type="mobile"&gt;+31 6 54 620 855&lt;/number&gt;&lt;/telephony&gt;</v>
      </c>
      <c r="F241" t="str">
        <f t="shared" si="89"/>
        <v>&lt;telephony nid="1"&gt;</v>
      </c>
      <c r="G241" t="str">
        <f t="shared" si="90"/>
        <v/>
      </c>
      <c r="H241" t="str">
        <f t="shared" si="91"/>
        <v>&lt;services nid="1"&gt;&lt;email id="0" classifier="private"&gt;robkoomen@caiway.nl&lt;/email&gt;&lt;/services&gt;&lt;setup /&gt;&lt;mod_time&gt;1500000010&lt;/mod_time&gt;&lt;uniqueid&gt;1&lt;/uniqueid&gt;&lt;/contact&gt;</v>
      </c>
      <c r="I241" t="str">
        <f t="shared" si="92"/>
        <v>&lt;services /&gt;&lt;setup /&gt;&lt;mod_time&gt;1500000010&lt;/mod_time&gt;&lt;uniqueid&gt;1&lt;/uniqueid&gt;&lt;/contact&gt;</v>
      </c>
      <c r="J241" t="str">
        <f t="shared" si="93"/>
        <v>&lt;services nid="1"&gt;&lt;email id="0" classifier="private"&gt;robkoomen@caiway.nl&lt;/email&gt;&lt;/services&gt;&lt;setup /&gt;&lt;mod_time&gt;1500000010&lt;/mod_time&gt;&lt;uniqueid&gt;1&lt;/uniqueid&gt;&lt;/contact&gt;</v>
      </c>
      <c r="K241" s="5">
        <f t="shared" si="94"/>
        <v>0</v>
      </c>
      <c r="L241" s="5">
        <f t="shared" si="95"/>
        <v>0</v>
      </c>
      <c r="M241" s="5" t="str">
        <f>CONCATENATE(+Contacts!E241)</f>
        <v/>
      </c>
      <c r="N241" t="str">
        <f t="shared" si="96"/>
        <v/>
      </c>
      <c r="O241" s="5">
        <f t="shared" si="97"/>
        <v>0</v>
      </c>
      <c r="P241" s="5">
        <f t="shared" si="98"/>
        <v>0</v>
      </c>
      <c r="Q241" s="5" t="str">
        <f>CONCATENATE(+Contacts!G241)</f>
        <v/>
      </c>
      <c r="R241" t="str">
        <f t="shared" si="99"/>
        <v>&lt;number id="0" prio="1" type="mobile"&gt;+31 6 54 620 855&lt;/number&gt;</v>
      </c>
      <c r="S241" s="5">
        <f t="shared" si="100"/>
        <v>1</v>
      </c>
      <c r="T241" s="5">
        <f t="shared" si="101"/>
        <v>1</v>
      </c>
      <c r="U241" s="5" t="str">
        <f>CONCATENATE(+Contacts!H241)</f>
        <v>+31 6 54 620 855</v>
      </c>
      <c r="V241" t="str">
        <f t="shared" si="102"/>
        <v/>
      </c>
      <c r="W241" s="5">
        <f t="shared" si="103"/>
        <v>1</v>
      </c>
      <c r="X241" s="5">
        <f t="shared" si="104"/>
        <v>1</v>
      </c>
      <c r="Y241" s="5" t="str">
        <f>CONCATENATE(+Contacts!F241)</f>
        <v/>
      </c>
      <c r="Z241" s="2" t="str">
        <f t="shared" si="105"/>
        <v xml:space="preserve">Koomen, Rob   </v>
      </c>
      <c r="AA241" s="2" t="str">
        <f>CONCATENATE(+Contacts!C241)</f>
        <v>Koomen</v>
      </c>
      <c r="AB241" s="2" t="str">
        <f t="shared" si="106"/>
        <v xml:space="preserve">, </v>
      </c>
      <c r="AC241" s="2" t="str">
        <f>CONCATENATE(+Contacts!A241)</f>
        <v>Rob</v>
      </c>
      <c r="AD241" s="3" t="str">
        <f>CONCATENATE(" ",+Contacts!B241)</f>
        <v xml:space="preserve"> </v>
      </c>
      <c r="AE241" s="2" t="str">
        <f t="shared" si="107"/>
        <v xml:space="preserve"> </v>
      </c>
      <c r="AF241" s="3" t="str">
        <f>CONCATENATE(+Contacts!D241)</f>
        <v/>
      </c>
      <c r="AG241" s="2" t="str">
        <f t="shared" si="108"/>
        <v xml:space="preserve"> </v>
      </c>
      <c r="AH241" t="str">
        <f>CONCATENATE(+Contacts!I241)</f>
        <v>robkoomen@caiway.nl</v>
      </c>
      <c r="AI241">
        <v>1500000010</v>
      </c>
      <c r="AJ241" s="5">
        <f t="shared" si="109"/>
        <v>1</v>
      </c>
    </row>
    <row r="242" spans="1:36" x14ac:dyDescent="0.35">
      <c r="A242" s="7" t="str">
        <f t="shared" si="84"/>
        <v>&lt;contact&gt;&lt;category&gt;0&lt;/category&gt;&lt;person&gt;&lt;realName&gt;Koornhof, Nicole (Schoonheidsspecialiste)&lt;/realName&gt;&lt;/person&gt;</v>
      </c>
      <c r="B242" s="7" t="str">
        <f t="shared" si="85"/>
        <v>&lt;telephony nid="3"&gt;&lt;number id="0" prio="1" type="work"&gt;+31 10 420 6800&lt;/number&gt;&lt;number id="1" prio="0" type="home"&gt;+31 6 12666500&lt;/number&gt;&lt;number id="2" prio="0" type="mobile"&gt;+31 6 39345512&lt;/number&gt;&lt;/telephony&gt;</v>
      </c>
      <c r="C242" s="7" t="str">
        <f t="shared" si="86"/>
        <v>&lt;services nid="1"&gt;&lt;email id="0" classifier="private"&gt;nicolekoornhof@live.nl&lt;/email&gt;&lt;/services&gt;&lt;setup /&gt;&lt;mod_time&gt;1500000010&lt;/mod_time&gt;&lt;uniqueid&gt;1&lt;/uniqueid&gt;&lt;/contact&gt;</v>
      </c>
      <c r="D242" t="str">
        <f t="shared" si="87"/>
        <v>&lt;contact&gt;&lt;category&gt;0&lt;/category&gt;&lt;person&gt;&lt;realName&gt;Koornhof, Nicole (Schoonheidsspecialiste)&lt;/realName&gt;&lt;/person&gt;</v>
      </c>
      <c r="E242" t="str">
        <f t="shared" si="88"/>
        <v>&lt;telephony nid="3"&gt;&lt;number id="0" prio="1" type="work"&gt;+31 10 420 6800&lt;/number&gt;&lt;number id="1" prio="0" type="home"&gt;+31 6 12666500&lt;/number&gt;&lt;number id="2" prio="0" type="mobile"&gt;+31 6 39345512&lt;/number&gt;&lt;/telephony&gt;</v>
      </c>
      <c r="F242" t="str">
        <f t="shared" si="89"/>
        <v>&lt;telephony nid="3"&gt;</v>
      </c>
      <c r="G242" t="str">
        <f t="shared" si="90"/>
        <v>&lt;number id="0" prio="1" type="work"&gt;+31 10 420 6800&lt;/number&gt;</v>
      </c>
      <c r="H242" t="str">
        <f t="shared" si="91"/>
        <v>&lt;services nid="1"&gt;&lt;email id="0" classifier="private"&gt;nicolekoornhof@live.nl&lt;/email&gt;&lt;/services&gt;&lt;setup /&gt;&lt;mod_time&gt;1500000010&lt;/mod_time&gt;&lt;uniqueid&gt;1&lt;/uniqueid&gt;&lt;/contact&gt;</v>
      </c>
      <c r="I242" t="str">
        <f t="shared" si="92"/>
        <v>&lt;services /&gt;&lt;setup /&gt;&lt;mod_time&gt;1500000010&lt;/mod_time&gt;&lt;uniqueid&gt;1&lt;/uniqueid&gt;&lt;/contact&gt;</v>
      </c>
      <c r="J242" t="str">
        <f t="shared" si="93"/>
        <v>&lt;services nid="1"&gt;&lt;email id="0" classifier="private"&gt;nicolekoornhof@live.nl&lt;/email&gt;&lt;/services&gt;&lt;setup /&gt;&lt;mod_time&gt;1500000010&lt;/mod_time&gt;&lt;uniqueid&gt;1&lt;/uniqueid&gt;&lt;/contact&gt;</v>
      </c>
      <c r="K242" s="5">
        <f t="shared" si="94"/>
        <v>1</v>
      </c>
      <c r="L242" s="5">
        <f t="shared" si="95"/>
        <v>1</v>
      </c>
      <c r="M242" s="5" t="str">
        <f>CONCATENATE(+Contacts!E242)</f>
        <v>+31 10 420 6800</v>
      </c>
      <c r="N242" t="str">
        <f t="shared" si="96"/>
        <v>&lt;number id="1" prio="0" type="home"&gt;+31 6 12666500&lt;/number&gt;</v>
      </c>
      <c r="O242" s="5">
        <f t="shared" si="97"/>
        <v>2</v>
      </c>
      <c r="P242" s="5">
        <f t="shared" si="98"/>
        <v>0</v>
      </c>
      <c r="Q242" s="5" t="str">
        <f>CONCATENATE(+Contacts!G242)</f>
        <v>+31 6 12666500</v>
      </c>
      <c r="R242" t="str">
        <f t="shared" si="99"/>
        <v>&lt;number id="2" prio="0" type="mobile"&gt;+31 6 39345512&lt;/number&gt;</v>
      </c>
      <c r="S242" s="5">
        <f t="shared" si="100"/>
        <v>3</v>
      </c>
      <c r="T242" s="5">
        <f t="shared" si="101"/>
        <v>0</v>
      </c>
      <c r="U242" s="5" t="str">
        <f>CONCATENATE(+Contacts!H242)</f>
        <v>+31 6 39345512</v>
      </c>
      <c r="V242" t="str">
        <f t="shared" si="102"/>
        <v/>
      </c>
      <c r="W242" s="5">
        <f t="shared" si="103"/>
        <v>3</v>
      </c>
      <c r="X242" s="5">
        <f t="shared" si="104"/>
        <v>0</v>
      </c>
      <c r="Y242" s="5" t="str">
        <f>CONCATENATE(+Contacts!F242)</f>
        <v/>
      </c>
      <c r="Z242" s="2" t="str">
        <f t="shared" si="105"/>
        <v>Koornhof, Nicole (Schoonheidsspecialiste)</v>
      </c>
      <c r="AA242" s="2" t="str">
        <f>CONCATENATE(+Contacts!C242)</f>
        <v>Koornhof</v>
      </c>
      <c r="AB242" s="2" t="str">
        <f t="shared" si="106"/>
        <v xml:space="preserve">, </v>
      </c>
      <c r="AC242" s="2" t="str">
        <f>CONCATENATE(+Contacts!A242)</f>
        <v>Nicole</v>
      </c>
      <c r="AD242" s="3" t="str">
        <f>CONCATENATE(" ",+Contacts!B242)</f>
        <v xml:space="preserve"> </v>
      </c>
      <c r="AE242" s="2" t="str">
        <f t="shared" si="107"/>
        <v>(</v>
      </c>
      <c r="AF242" s="3" t="str">
        <f>CONCATENATE(+Contacts!D242)</f>
        <v>Schoonheidsspecialiste</v>
      </c>
      <c r="AG242" s="2" t="str">
        <f t="shared" si="108"/>
        <v>)</v>
      </c>
      <c r="AH242" t="str">
        <f>CONCATENATE(+Contacts!I242)</f>
        <v>nicolekoornhof@live.nl</v>
      </c>
      <c r="AI242">
        <v>1500000010</v>
      </c>
      <c r="AJ242" s="5">
        <f t="shared" si="109"/>
        <v>1</v>
      </c>
    </row>
    <row r="243" spans="1:36" x14ac:dyDescent="0.35">
      <c r="A243" s="7" t="str">
        <f t="shared" si="84"/>
        <v>&lt;contact&gt;&lt;category&gt;0&lt;/category&gt;&lt;person&gt;&lt;realName&gt;KoReMi, Mirjam (Fitness)&lt;/realName&gt;&lt;/person&gt;</v>
      </c>
      <c r="B243" s="7" t="str">
        <f t="shared" si="85"/>
        <v>&lt;telephony nid="2"&gt;&lt;number id="0" prio="1" type="work"&gt;+31 10 420 4090&lt;/number&gt;&lt;number id="1" prio="0" type="mobile"&gt;+31 6 26654277&lt;/number&gt;&lt;/telephony&gt;</v>
      </c>
      <c r="C243" s="7" t="str">
        <f t="shared" si="86"/>
        <v>&lt;services nid="1"&gt;&lt;email id="0" classifier="private"&gt;info@koremi.nl&lt;/email&gt;&lt;/services&gt;&lt;setup /&gt;&lt;mod_time&gt;1500000010&lt;/mod_time&gt;&lt;uniqueid&gt;1&lt;/uniqueid&gt;&lt;/contact&gt;</v>
      </c>
      <c r="D243" t="str">
        <f t="shared" si="87"/>
        <v>&lt;contact&gt;&lt;category&gt;0&lt;/category&gt;&lt;person&gt;&lt;realName&gt;KoReMi, Mirjam (Fitness)&lt;/realName&gt;&lt;/person&gt;</v>
      </c>
      <c r="E243" t="str">
        <f t="shared" si="88"/>
        <v>&lt;telephony nid="2"&gt;&lt;number id="0" prio="1" type="work"&gt;+31 10 420 4090&lt;/number&gt;&lt;number id="1" prio="0" type="mobile"&gt;+31 6 26654277&lt;/number&gt;&lt;/telephony&gt;</v>
      </c>
      <c r="F243" t="str">
        <f t="shared" si="89"/>
        <v>&lt;telephony nid="2"&gt;</v>
      </c>
      <c r="G243" t="str">
        <f t="shared" si="90"/>
        <v>&lt;number id="0" prio="1" type="work"&gt;+31 10 420 4090&lt;/number&gt;</v>
      </c>
      <c r="H243" t="str">
        <f t="shared" si="91"/>
        <v>&lt;services nid="1"&gt;&lt;email id="0" classifier="private"&gt;info@koremi.nl&lt;/email&gt;&lt;/services&gt;&lt;setup /&gt;&lt;mod_time&gt;1500000010&lt;/mod_time&gt;&lt;uniqueid&gt;1&lt;/uniqueid&gt;&lt;/contact&gt;</v>
      </c>
      <c r="I243" t="str">
        <f t="shared" si="92"/>
        <v>&lt;services /&gt;&lt;setup /&gt;&lt;mod_time&gt;1500000010&lt;/mod_time&gt;&lt;uniqueid&gt;1&lt;/uniqueid&gt;&lt;/contact&gt;</v>
      </c>
      <c r="J243" t="str">
        <f t="shared" si="93"/>
        <v>&lt;services nid="1"&gt;&lt;email id="0" classifier="private"&gt;info@koremi.nl&lt;/email&gt;&lt;/services&gt;&lt;setup /&gt;&lt;mod_time&gt;1500000010&lt;/mod_time&gt;&lt;uniqueid&gt;1&lt;/uniqueid&gt;&lt;/contact&gt;</v>
      </c>
      <c r="K243" s="5">
        <f t="shared" si="94"/>
        <v>1</v>
      </c>
      <c r="L243" s="5">
        <f t="shared" si="95"/>
        <v>1</v>
      </c>
      <c r="M243" s="5" t="str">
        <f>CONCATENATE(+Contacts!E243)</f>
        <v>+31 10 420 4090</v>
      </c>
      <c r="N243" t="str">
        <f t="shared" si="96"/>
        <v/>
      </c>
      <c r="O243" s="5">
        <f t="shared" si="97"/>
        <v>1</v>
      </c>
      <c r="P243" s="5">
        <f t="shared" si="98"/>
        <v>1</v>
      </c>
      <c r="Q243" s="5" t="str">
        <f>CONCATENATE(+Contacts!G243)</f>
        <v/>
      </c>
      <c r="R243" t="str">
        <f t="shared" si="99"/>
        <v>&lt;number id="1" prio="0" type="mobile"&gt;+31 6 26654277&lt;/number&gt;</v>
      </c>
      <c r="S243" s="5">
        <f t="shared" si="100"/>
        <v>2</v>
      </c>
      <c r="T243" s="5">
        <f t="shared" si="101"/>
        <v>0</v>
      </c>
      <c r="U243" s="5" t="str">
        <f>CONCATENATE(+Contacts!H243)</f>
        <v>+31 6 26654277</v>
      </c>
      <c r="V243" t="str">
        <f t="shared" si="102"/>
        <v/>
      </c>
      <c r="W243" s="5">
        <f t="shared" si="103"/>
        <v>2</v>
      </c>
      <c r="X243" s="5">
        <f t="shared" si="104"/>
        <v>0</v>
      </c>
      <c r="Y243" s="5" t="str">
        <f>CONCATENATE(+Contacts!F243)</f>
        <v/>
      </c>
      <c r="Z243" s="2" t="str">
        <f t="shared" si="105"/>
        <v>KoReMi, Mirjam (Fitness)</v>
      </c>
      <c r="AA243" s="2" t="str">
        <f>CONCATENATE(+Contacts!C243)</f>
        <v>KoReMi</v>
      </c>
      <c r="AB243" s="2" t="str">
        <f t="shared" si="106"/>
        <v xml:space="preserve">, </v>
      </c>
      <c r="AC243" s="2" t="str">
        <f>CONCATENATE(+Contacts!A243)</f>
        <v>Mirjam</v>
      </c>
      <c r="AD243" s="3" t="str">
        <f>CONCATENATE(" ",+Contacts!B243)</f>
        <v xml:space="preserve"> </v>
      </c>
      <c r="AE243" s="2" t="str">
        <f t="shared" si="107"/>
        <v>(</v>
      </c>
      <c r="AF243" s="3" t="str">
        <f>CONCATENATE(+Contacts!D243)</f>
        <v>Fitness</v>
      </c>
      <c r="AG243" s="2" t="str">
        <f t="shared" si="108"/>
        <v>)</v>
      </c>
      <c r="AH243" t="str">
        <f>CONCATENATE(+Contacts!I243)</f>
        <v>info@koremi.nl</v>
      </c>
      <c r="AI243">
        <v>1500000010</v>
      </c>
      <c r="AJ243" s="5">
        <f t="shared" si="109"/>
        <v>1</v>
      </c>
    </row>
    <row r="244" spans="1:36" x14ac:dyDescent="0.35">
      <c r="A244" s="7" t="str">
        <f t="shared" si="84"/>
        <v>&lt;contact&gt;&lt;category&gt;0&lt;/category&gt;&lt;person&gt;&lt;realName&gt;Kort, Sander (Popschool Ommoord)&lt;/realName&gt;&lt;/person&gt;</v>
      </c>
      <c r="B244" s="7" t="str">
        <f t="shared" si="85"/>
        <v>&lt;telephony nid="1"&gt;&lt;number id="0" prio="1" type="mobile"&gt;+31 6 18 648544&lt;/number&gt;&lt;/telephony&gt;</v>
      </c>
      <c r="C244" s="7" t="str">
        <f t="shared" si="86"/>
        <v>&lt;services nid="1"&gt;&lt;email id="0" classifier="private"&gt;sander@popschoolommoord.nl&lt;/email&gt;&lt;/services&gt;&lt;setup /&gt;&lt;mod_time&gt;1500000010&lt;/mod_time&gt;&lt;uniqueid&gt;1&lt;/uniqueid&gt;&lt;/contact&gt;</v>
      </c>
      <c r="D244" t="str">
        <f t="shared" si="87"/>
        <v>&lt;contact&gt;&lt;category&gt;0&lt;/category&gt;&lt;person&gt;&lt;realName&gt;Kort, Sander (Popschool Ommoord)&lt;/realName&gt;&lt;/person&gt;</v>
      </c>
      <c r="E244" t="str">
        <f t="shared" si="88"/>
        <v>&lt;telephony nid="1"&gt;&lt;number id="0" prio="1" type="mobile"&gt;+31 6 18 648544&lt;/number&gt;&lt;/telephony&gt;</v>
      </c>
      <c r="F244" t="str">
        <f t="shared" si="89"/>
        <v>&lt;telephony nid="1"&gt;</v>
      </c>
      <c r="G244" t="str">
        <f t="shared" si="90"/>
        <v/>
      </c>
      <c r="H244" t="str">
        <f t="shared" si="91"/>
        <v>&lt;services nid="1"&gt;&lt;email id="0" classifier="private"&gt;sander@popschoolommoord.nl&lt;/email&gt;&lt;/services&gt;&lt;setup /&gt;&lt;mod_time&gt;1500000010&lt;/mod_time&gt;&lt;uniqueid&gt;1&lt;/uniqueid&gt;&lt;/contact&gt;</v>
      </c>
      <c r="I244" t="str">
        <f t="shared" si="92"/>
        <v>&lt;services /&gt;&lt;setup /&gt;&lt;mod_time&gt;1500000010&lt;/mod_time&gt;&lt;uniqueid&gt;1&lt;/uniqueid&gt;&lt;/contact&gt;</v>
      </c>
      <c r="J244" t="str">
        <f t="shared" si="93"/>
        <v>&lt;services nid="1"&gt;&lt;email id="0" classifier="private"&gt;sander@popschoolommoord.nl&lt;/email&gt;&lt;/services&gt;&lt;setup /&gt;&lt;mod_time&gt;1500000010&lt;/mod_time&gt;&lt;uniqueid&gt;1&lt;/uniqueid&gt;&lt;/contact&gt;</v>
      </c>
      <c r="K244" s="5">
        <f t="shared" si="94"/>
        <v>0</v>
      </c>
      <c r="L244" s="5">
        <f t="shared" si="95"/>
        <v>0</v>
      </c>
      <c r="M244" s="5" t="str">
        <f>CONCATENATE(+Contacts!E244)</f>
        <v/>
      </c>
      <c r="N244" t="str">
        <f t="shared" si="96"/>
        <v/>
      </c>
      <c r="O244" s="5">
        <f t="shared" si="97"/>
        <v>0</v>
      </c>
      <c r="P244" s="5">
        <f t="shared" si="98"/>
        <v>0</v>
      </c>
      <c r="Q244" s="5" t="str">
        <f>CONCATENATE(+Contacts!G244)</f>
        <v/>
      </c>
      <c r="R244" t="str">
        <f t="shared" si="99"/>
        <v>&lt;number id="0" prio="1" type="mobile"&gt;+31 6 18 648544&lt;/number&gt;</v>
      </c>
      <c r="S244" s="5">
        <f t="shared" si="100"/>
        <v>1</v>
      </c>
      <c r="T244" s="5">
        <f t="shared" si="101"/>
        <v>1</v>
      </c>
      <c r="U244" s="5" t="str">
        <f>CONCATENATE(+Contacts!H244)</f>
        <v>+31 6 18 648544</v>
      </c>
      <c r="V244" t="str">
        <f t="shared" si="102"/>
        <v/>
      </c>
      <c r="W244" s="5">
        <f t="shared" si="103"/>
        <v>1</v>
      </c>
      <c r="X244" s="5">
        <f t="shared" si="104"/>
        <v>1</v>
      </c>
      <c r="Y244" s="5" t="str">
        <f>CONCATENATE(+Contacts!F244)</f>
        <v/>
      </c>
      <c r="Z244" s="2" t="str">
        <f t="shared" si="105"/>
        <v>Kort, Sander (Popschool Ommoord)</v>
      </c>
      <c r="AA244" s="2" t="str">
        <f>CONCATENATE(+Contacts!C244)</f>
        <v>Kort</v>
      </c>
      <c r="AB244" s="2" t="str">
        <f t="shared" si="106"/>
        <v xml:space="preserve">, </v>
      </c>
      <c r="AC244" s="2" t="str">
        <f>CONCATENATE(+Contacts!A244)</f>
        <v>Sander</v>
      </c>
      <c r="AD244" s="3" t="str">
        <f>CONCATENATE(" ",+Contacts!B244)</f>
        <v xml:space="preserve"> </v>
      </c>
      <c r="AE244" s="2" t="str">
        <f t="shared" si="107"/>
        <v>(</v>
      </c>
      <c r="AF244" s="3" t="str">
        <f>CONCATENATE(+Contacts!D244)</f>
        <v>Popschool Ommoord</v>
      </c>
      <c r="AG244" s="2" t="str">
        <f t="shared" si="108"/>
        <v>)</v>
      </c>
      <c r="AH244" t="str">
        <f>CONCATENATE(+Contacts!I244)</f>
        <v>sander@popschoolommoord.nl</v>
      </c>
      <c r="AI244">
        <v>1500000010</v>
      </c>
      <c r="AJ244" s="5">
        <f t="shared" si="109"/>
        <v>1</v>
      </c>
    </row>
    <row r="245" spans="1:36" x14ac:dyDescent="0.35">
      <c r="A245" s="7" t="str">
        <f t="shared" si="84"/>
        <v>&lt;contact&gt;&lt;category&gt;0&lt;/category&gt;&lt;person&gt;&lt;realName&gt;Kortenoever, Annemieke   &lt;/realName&gt;&lt;/person&gt;</v>
      </c>
      <c r="B245" s="7" t="str">
        <f t="shared" si="85"/>
        <v>&lt;telephony nid="2"&gt;&lt;number id="0" prio="1" type="home"&gt;+31 715215801&lt;/number&gt;&lt;number id="1" prio="0" type="mobile"&gt;+31 628759156&lt;/number&gt;&lt;/telephony&gt;</v>
      </c>
      <c r="C245" s="7" t="str">
        <f t="shared" si="86"/>
        <v>&lt;services /&gt;&lt;setup /&gt;&lt;mod_time&gt;1500000010&lt;/mod_time&gt;&lt;uniqueid&gt;1&lt;/uniqueid&gt;&lt;/contact&gt;</v>
      </c>
      <c r="D245" t="str">
        <f t="shared" si="87"/>
        <v>&lt;contact&gt;&lt;category&gt;0&lt;/category&gt;&lt;person&gt;&lt;realName&gt;Kortenoever, Annemieke   &lt;/realName&gt;&lt;/person&gt;</v>
      </c>
      <c r="E245" t="str">
        <f t="shared" si="88"/>
        <v>&lt;telephony nid="2"&gt;&lt;number id="0" prio="1" type="home"&gt;+31 715215801&lt;/number&gt;&lt;number id="1" prio="0" type="mobile"&gt;+31 628759156&lt;/number&gt;&lt;/telephony&gt;</v>
      </c>
      <c r="F245" t="str">
        <f t="shared" si="89"/>
        <v>&lt;telephony nid="2"&gt;</v>
      </c>
      <c r="G245" t="str">
        <f t="shared" si="90"/>
        <v/>
      </c>
      <c r="H245" t="str">
        <f t="shared" si="91"/>
        <v>&lt;services nid="1"&gt;&lt;email id="0" classifier="private"&gt;&lt;/email&gt;&lt;/services&gt;&lt;setup /&gt;&lt;mod_time&gt;1500000010&lt;/mod_time&gt;&lt;uniqueid&gt;1&lt;/uniqueid&gt;&lt;/contact&gt;</v>
      </c>
      <c r="I245" t="str">
        <f t="shared" si="92"/>
        <v>&lt;services /&gt;&lt;setup /&gt;&lt;mod_time&gt;1500000010&lt;/mod_time&gt;&lt;uniqueid&gt;1&lt;/uniqueid&gt;&lt;/contact&gt;</v>
      </c>
      <c r="J245" t="str">
        <f t="shared" si="93"/>
        <v>&lt;services /&gt;&lt;setup /&gt;&lt;mod_time&gt;1500000010&lt;/mod_time&gt;&lt;uniqueid&gt;1&lt;/uniqueid&gt;&lt;/contact&gt;</v>
      </c>
      <c r="K245" s="5">
        <f t="shared" si="94"/>
        <v>0</v>
      </c>
      <c r="L245" s="5">
        <f t="shared" si="95"/>
        <v>0</v>
      </c>
      <c r="M245" s="5" t="str">
        <f>CONCATENATE(+Contacts!E245)</f>
        <v/>
      </c>
      <c r="N245" t="str">
        <f t="shared" si="96"/>
        <v>&lt;number id="0" prio="1" type="home"&gt;+31 715215801&lt;/number&gt;</v>
      </c>
      <c r="O245" s="5">
        <f t="shared" si="97"/>
        <v>1</v>
      </c>
      <c r="P245" s="5">
        <f t="shared" si="98"/>
        <v>1</v>
      </c>
      <c r="Q245" s="5" t="str">
        <f>CONCATENATE(+Contacts!G245)</f>
        <v>+31 715215801</v>
      </c>
      <c r="R245" t="str">
        <f t="shared" si="99"/>
        <v>&lt;number id="1" prio="0" type="mobile"&gt;+31 628759156&lt;/number&gt;</v>
      </c>
      <c r="S245" s="5">
        <f t="shared" si="100"/>
        <v>2</v>
      </c>
      <c r="T245" s="5">
        <f t="shared" si="101"/>
        <v>0</v>
      </c>
      <c r="U245" s="5" t="str">
        <f>CONCATENATE(+Contacts!H245)</f>
        <v>+31 628759156</v>
      </c>
      <c r="V245" t="str">
        <f t="shared" si="102"/>
        <v/>
      </c>
      <c r="W245" s="5">
        <f t="shared" si="103"/>
        <v>2</v>
      </c>
      <c r="X245" s="5">
        <f t="shared" si="104"/>
        <v>0</v>
      </c>
      <c r="Y245" s="5" t="str">
        <f>CONCATENATE(+Contacts!F245)</f>
        <v/>
      </c>
      <c r="Z245" s="2" t="str">
        <f t="shared" si="105"/>
        <v xml:space="preserve">Kortenoever, Annemieke   </v>
      </c>
      <c r="AA245" s="2" t="str">
        <f>CONCATENATE(+Contacts!C245)</f>
        <v>Kortenoever</v>
      </c>
      <c r="AB245" s="2" t="str">
        <f t="shared" si="106"/>
        <v xml:space="preserve">, </v>
      </c>
      <c r="AC245" s="2" t="str">
        <f>CONCATENATE(+Contacts!A245)</f>
        <v>Annemieke</v>
      </c>
      <c r="AD245" s="3" t="str">
        <f>CONCATENATE(" ",+Contacts!B245)</f>
        <v xml:space="preserve"> </v>
      </c>
      <c r="AE245" s="2" t="str">
        <f t="shared" si="107"/>
        <v xml:space="preserve"> </v>
      </c>
      <c r="AF245" s="3" t="str">
        <f>CONCATENATE(+Contacts!D245)</f>
        <v/>
      </c>
      <c r="AG245" s="2" t="str">
        <f t="shared" si="108"/>
        <v xml:space="preserve"> </v>
      </c>
      <c r="AH245" t="str">
        <f>CONCATENATE(+Contacts!I245)</f>
        <v/>
      </c>
      <c r="AI245">
        <v>1500000010</v>
      </c>
      <c r="AJ245" s="5">
        <f t="shared" si="109"/>
        <v>1</v>
      </c>
    </row>
    <row r="246" spans="1:36" x14ac:dyDescent="0.35">
      <c r="A246" s="7" t="str">
        <f t="shared" si="84"/>
        <v>&lt;contact&gt;&lt;category&gt;0&lt;/category&gt;&lt;person&gt;&lt;realName&gt;Kreber, Willeke en Hans   &lt;/realName&gt;&lt;/person&gt;</v>
      </c>
      <c r="B246" s="7" t="str">
        <f t="shared" si="85"/>
        <v>&lt;telephony nid="2"&gt;&lt;number id="0" prio="1" type="home"&gt;+31 10 418 03 27&lt;/number&gt;&lt;number id="1" prio="0" type="work"&gt;+31 6 41 42 67 98&lt;/number&gt;&lt;/telephony&gt;</v>
      </c>
      <c r="C246" s="7" t="str">
        <f t="shared" si="86"/>
        <v>&lt;services /&gt;&lt;setup /&gt;&lt;mod_time&gt;1500000010&lt;/mod_time&gt;&lt;uniqueid&gt;1&lt;/uniqueid&gt;&lt;/contact&gt;</v>
      </c>
      <c r="D246" t="str">
        <f t="shared" si="87"/>
        <v>&lt;contact&gt;&lt;category&gt;0&lt;/category&gt;&lt;person&gt;&lt;realName&gt;Kreber, Willeke en Hans   &lt;/realName&gt;&lt;/person&gt;</v>
      </c>
      <c r="E246" t="str">
        <f t="shared" si="88"/>
        <v>&lt;telephony nid="2"&gt;&lt;number id="0" prio="1" type="home"&gt;+31 10 418 03 27&lt;/number&gt;&lt;number id="1" prio="0" type="work"&gt;+31 6 41 42 67 98&lt;/number&gt;&lt;/telephony&gt;</v>
      </c>
      <c r="F246" t="str">
        <f t="shared" si="89"/>
        <v>&lt;telephony nid="2"&gt;</v>
      </c>
      <c r="G246" t="str">
        <f t="shared" si="90"/>
        <v/>
      </c>
      <c r="H246" t="str">
        <f t="shared" si="91"/>
        <v>&lt;services nid="1"&gt;&lt;email id="0" classifier="private"&gt;&lt;/email&gt;&lt;/services&gt;&lt;setup /&gt;&lt;mod_time&gt;1500000010&lt;/mod_time&gt;&lt;uniqueid&gt;1&lt;/uniqueid&gt;&lt;/contact&gt;</v>
      </c>
      <c r="I246" t="str">
        <f t="shared" si="92"/>
        <v>&lt;services /&gt;&lt;setup /&gt;&lt;mod_time&gt;1500000010&lt;/mod_time&gt;&lt;uniqueid&gt;1&lt;/uniqueid&gt;&lt;/contact&gt;</v>
      </c>
      <c r="J246" t="str">
        <f t="shared" si="93"/>
        <v>&lt;services /&gt;&lt;setup /&gt;&lt;mod_time&gt;1500000010&lt;/mod_time&gt;&lt;uniqueid&gt;1&lt;/uniqueid&gt;&lt;/contact&gt;</v>
      </c>
      <c r="K246" s="5">
        <f t="shared" si="94"/>
        <v>0</v>
      </c>
      <c r="L246" s="5">
        <f t="shared" si="95"/>
        <v>0</v>
      </c>
      <c r="M246" s="5" t="str">
        <f>CONCATENATE(+Contacts!E246)</f>
        <v/>
      </c>
      <c r="N246" t="str">
        <f t="shared" si="96"/>
        <v>&lt;number id="0" prio="1" type="home"&gt;+31 10 418 03 27&lt;/number&gt;</v>
      </c>
      <c r="O246" s="5">
        <f t="shared" si="97"/>
        <v>1</v>
      </c>
      <c r="P246" s="5">
        <f t="shared" si="98"/>
        <v>1</v>
      </c>
      <c r="Q246" s="5" t="str">
        <f>CONCATENATE(+Contacts!G246)</f>
        <v>+31 10 418 03 27</v>
      </c>
      <c r="R246" t="str">
        <f t="shared" si="99"/>
        <v/>
      </c>
      <c r="S246" s="5">
        <f t="shared" si="100"/>
        <v>1</v>
      </c>
      <c r="T246" s="5">
        <f t="shared" si="101"/>
        <v>1</v>
      </c>
      <c r="U246" s="5" t="str">
        <f>CONCATENATE(+Contacts!H246)</f>
        <v/>
      </c>
      <c r="V246" t="str">
        <f t="shared" si="102"/>
        <v>&lt;number id="1" prio="0" type="work"&gt;+31 6 41 42 67 98&lt;/number&gt;</v>
      </c>
      <c r="W246" s="5">
        <f t="shared" si="103"/>
        <v>2</v>
      </c>
      <c r="X246" s="5">
        <f t="shared" si="104"/>
        <v>0</v>
      </c>
      <c r="Y246" s="5" t="str">
        <f>CONCATENATE(+Contacts!F246)</f>
        <v>+31 6 41 42 67 98</v>
      </c>
      <c r="Z246" s="2" t="str">
        <f t="shared" si="105"/>
        <v xml:space="preserve">Kreber, Willeke en Hans   </v>
      </c>
      <c r="AA246" s="2" t="str">
        <f>CONCATENATE(+Contacts!C246)</f>
        <v>Kreber</v>
      </c>
      <c r="AB246" s="2" t="str">
        <f t="shared" si="106"/>
        <v xml:space="preserve">, </v>
      </c>
      <c r="AC246" s="2" t="str">
        <f>CONCATENATE(+Contacts!A246)</f>
        <v>Willeke en Hans</v>
      </c>
      <c r="AD246" s="3" t="str">
        <f>CONCATENATE(" ",+Contacts!B246)</f>
        <v xml:space="preserve"> </v>
      </c>
      <c r="AE246" s="2" t="str">
        <f t="shared" si="107"/>
        <v xml:space="preserve"> </v>
      </c>
      <c r="AF246" s="3" t="str">
        <f>CONCATENATE(+Contacts!D246)</f>
        <v/>
      </c>
      <c r="AG246" s="2" t="str">
        <f t="shared" si="108"/>
        <v xml:space="preserve"> </v>
      </c>
      <c r="AH246" t="str">
        <f>CONCATENATE(+Contacts!I246)</f>
        <v/>
      </c>
      <c r="AI246">
        <v>1500000010</v>
      </c>
      <c r="AJ246" s="5">
        <f t="shared" si="109"/>
        <v>1</v>
      </c>
    </row>
    <row r="247" spans="1:36" x14ac:dyDescent="0.35">
      <c r="A247" s="7" t="str">
        <f t="shared" si="84"/>
        <v>&lt;contact&gt;&lt;category&gt;0&lt;/category&gt;&lt;person&gt;&lt;realName&gt;Kreefft, Bart   &lt;/realName&gt;&lt;/person&gt;</v>
      </c>
      <c r="B247" s="7" t="str">
        <f t="shared" si="85"/>
        <v>&lt;telephony nid="1"&gt;&lt;number id="0" prio="1" type="mobile"&gt;+31 628231561&lt;/number&gt;&lt;/telephony&gt;</v>
      </c>
      <c r="C247" s="7" t="str">
        <f t="shared" si="86"/>
        <v>&lt;services nid="1"&gt;&lt;email id="0" classifier="private"&gt;bartisjok@hotmail.com&lt;/email&gt;&lt;/services&gt;&lt;setup /&gt;&lt;mod_time&gt;1500000010&lt;/mod_time&gt;&lt;uniqueid&gt;1&lt;/uniqueid&gt;&lt;/contact&gt;</v>
      </c>
      <c r="D247" t="str">
        <f t="shared" si="87"/>
        <v>&lt;contact&gt;&lt;category&gt;0&lt;/category&gt;&lt;person&gt;&lt;realName&gt;Kreefft, Bart   &lt;/realName&gt;&lt;/person&gt;</v>
      </c>
      <c r="E247" t="str">
        <f t="shared" si="88"/>
        <v>&lt;telephony nid="1"&gt;&lt;number id="0" prio="1" type="mobile"&gt;+31 628231561&lt;/number&gt;&lt;/telephony&gt;</v>
      </c>
      <c r="F247" t="str">
        <f t="shared" si="89"/>
        <v>&lt;telephony nid="1"&gt;</v>
      </c>
      <c r="G247" t="str">
        <f t="shared" si="90"/>
        <v/>
      </c>
      <c r="H247" t="str">
        <f t="shared" si="91"/>
        <v>&lt;services nid="1"&gt;&lt;email id="0" classifier="private"&gt;bartisjok@hotmail.com&lt;/email&gt;&lt;/services&gt;&lt;setup /&gt;&lt;mod_time&gt;1500000010&lt;/mod_time&gt;&lt;uniqueid&gt;1&lt;/uniqueid&gt;&lt;/contact&gt;</v>
      </c>
      <c r="I247" t="str">
        <f t="shared" si="92"/>
        <v>&lt;services /&gt;&lt;setup /&gt;&lt;mod_time&gt;1500000010&lt;/mod_time&gt;&lt;uniqueid&gt;1&lt;/uniqueid&gt;&lt;/contact&gt;</v>
      </c>
      <c r="J247" t="str">
        <f t="shared" si="93"/>
        <v>&lt;services nid="1"&gt;&lt;email id="0" classifier="private"&gt;bartisjok@hotmail.com&lt;/email&gt;&lt;/services&gt;&lt;setup /&gt;&lt;mod_time&gt;1500000010&lt;/mod_time&gt;&lt;uniqueid&gt;1&lt;/uniqueid&gt;&lt;/contact&gt;</v>
      </c>
      <c r="K247" s="5">
        <f t="shared" si="94"/>
        <v>0</v>
      </c>
      <c r="L247" s="5">
        <f t="shared" si="95"/>
        <v>0</v>
      </c>
      <c r="M247" s="5" t="str">
        <f>CONCATENATE(+Contacts!E247)</f>
        <v/>
      </c>
      <c r="N247" t="str">
        <f t="shared" si="96"/>
        <v/>
      </c>
      <c r="O247" s="5">
        <f t="shared" si="97"/>
        <v>0</v>
      </c>
      <c r="P247" s="5">
        <f t="shared" si="98"/>
        <v>0</v>
      </c>
      <c r="Q247" s="5" t="str">
        <f>CONCATENATE(+Contacts!G247)</f>
        <v/>
      </c>
      <c r="R247" t="str">
        <f t="shared" si="99"/>
        <v>&lt;number id="0" prio="1" type="mobile"&gt;+31 628231561&lt;/number&gt;</v>
      </c>
      <c r="S247" s="5">
        <f t="shared" si="100"/>
        <v>1</v>
      </c>
      <c r="T247" s="5">
        <f t="shared" si="101"/>
        <v>1</v>
      </c>
      <c r="U247" s="5" t="str">
        <f>CONCATENATE(+Contacts!H247)</f>
        <v>+31 628231561</v>
      </c>
      <c r="V247" t="str">
        <f t="shared" si="102"/>
        <v/>
      </c>
      <c r="W247" s="5">
        <f t="shared" si="103"/>
        <v>1</v>
      </c>
      <c r="X247" s="5">
        <f t="shared" si="104"/>
        <v>1</v>
      </c>
      <c r="Y247" s="5" t="str">
        <f>CONCATENATE(+Contacts!F247)</f>
        <v/>
      </c>
      <c r="Z247" s="2" t="str">
        <f t="shared" si="105"/>
        <v xml:space="preserve">Kreefft, Bart   </v>
      </c>
      <c r="AA247" s="2" t="str">
        <f>CONCATENATE(+Contacts!C247)</f>
        <v>Kreefft</v>
      </c>
      <c r="AB247" s="2" t="str">
        <f t="shared" si="106"/>
        <v xml:space="preserve">, </v>
      </c>
      <c r="AC247" s="2" t="str">
        <f>CONCATENATE(+Contacts!A247)</f>
        <v>Bart</v>
      </c>
      <c r="AD247" s="3" t="str">
        <f>CONCATENATE(" ",+Contacts!B247)</f>
        <v xml:space="preserve"> </v>
      </c>
      <c r="AE247" s="2" t="str">
        <f t="shared" si="107"/>
        <v xml:space="preserve"> </v>
      </c>
      <c r="AF247" s="3" t="str">
        <f>CONCATENATE(+Contacts!D247)</f>
        <v/>
      </c>
      <c r="AG247" s="2" t="str">
        <f t="shared" si="108"/>
        <v xml:space="preserve"> </v>
      </c>
      <c r="AH247" t="str">
        <f>CONCATENATE(+Contacts!I247)</f>
        <v>bartisjok@hotmail.com</v>
      </c>
      <c r="AI247">
        <v>1500000010</v>
      </c>
      <c r="AJ247" s="5">
        <f t="shared" si="109"/>
        <v>1</v>
      </c>
    </row>
    <row r="248" spans="1:36" x14ac:dyDescent="0.35">
      <c r="A248" s="7" t="str">
        <f t="shared" si="84"/>
        <v>&lt;contact&gt;&lt;category&gt;0&lt;/category&gt;&lt;person&gt;&lt;realName&gt;Kroon, Theo van der(Aannemer)&lt;/realName&gt;&lt;/person&gt;</v>
      </c>
      <c r="B248" s="7" t="str">
        <f t="shared" si="85"/>
        <v>&lt;telephony nid="2"&gt;&lt;number id="0" prio="1" type="work"&gt;+31 182502522&lt;/number&gt;&lt;number id="1" prio="0" type="mobile"&gt;+31 653351324&lt;/number&gt;&lt;/telephony&gt;</v>
      </c>
      <c r="C248" s="7" t="str">
        <f t="shared" si="86"/>
        <v>&lt;services /&gt;&lt;setup /&gt;&lt;mod_time&gt;1500000010&lt;/mod_time&gt;&lt;uniqueid&gt;1&lt;/uniqueid&gt;&lt;/contact&gt;</v>
      </c>
      <c r="D248" t="str">
        <f t="shared" si="87"/>
        <v>&lt;contact&gt;&lt;category&gt;0&lt;/category&gt;&lt;person&gt;&lt;realName&gt;Kroon, Theo van der(Aannemer)&lt;/realName&gt;&lt;/person&gt;</v>
      </c>
      <c r="E248" t="str">
        <f t="shared" si="88"/>
        <v>&lt;telephony nid="2"&gt;&lt;number id="0" prio="1" type="work"&gt;+31 182502522&lt;/number&gt;&lt;number id="1" prio="0" type="mobile"&gt;+31 653351324&lt;/number&gt;&lt;/telephony&gt;</v>
      </c>
      <c r="F248" t="str">
        <f t="shared" si="89"/>
        <v>&lt;telephony nid="2"&gt;</v>
      </c>
      <c r="G248" t="str">
        <f t="shared" si="90"/>
        <v>&lt;number id="0" prio="1" type="work"&gt;+31 182502522&lt;/number&gt;</v>
      </c>
      <c r="H248" t="str">
        <f t="shared" si="91"/>
        <v>&lt;services nid="1"&gt;&lt;email id="0" classifier="private"&gt;&lt;/email&gt;&lt;/services&gt;&lt;setup /&gt;&lt;mod_time&gt;1500000010&lt;/mod_time&gt;&lt;uniqueid&gt;1&lt;/uniqueid&gt;&lt;/contact&gt;</v>
      </c>
      <c r="I248" t="str">
        <f t="shared" si="92"/>
        <v>&lt;services /&gt;&lt;setup /&gt;&lt;mod_time&gt;1500000010&lt;/mod_time&gt;&lt;uniqueid&gt;1&lt;/uniqueid&gt;&lt;/contact&gt;</v>
      </c>
      <c r="J248" t="str">
        <f t="shared" si="93"/>
        <v>&lt;services /&gt;&lt;setup /&gt;&lt;mod_time&gt;1500000010&lt;/mod_time&gt;&lt;uniqueid&gt;1&lt;/uniqueid&gt;&lt;/contact&gt;</v>
      </c>
      <c r="K248" s="5">
        <f t="shared" si="94"/>
        <v>1</v>
      </c>
      <c r="L248" s="5">
        <f t="shared" si="95"/>
        <v>1</v>
      </c>
      <c r="M248" s="5" t="str">
        <f>CONCATENATE(+Contacts!E248)</f>
        <v>+31 182502522</v>
      </c>
      <c r="N248" t="str">
        <f t="shared" si="96"/>
        <v/>
      </c>
      <c r="O248" s="5">
        <f t="shared" si="97"/>
        <v>1</v>
      </c>
      <c r="P248" s="5">
        <f t="shared" si="98"/>
        <v>1</v>
      </c>
      <c r="Q248" s="5" t="str">
        <f>CONCATENATE(+Contacts!G248)</f>
        <v/>
      </c>
      <c r="R248" t="str">
        <f t="shared" si="99"/>
        <v>&lt;number id="1" prio="0" type="mobile"&gt;+31 653351324&lt;/number&gt;</v>
      </c>
      <c r="S248" s="5">
        <f t="shared" si="100"/>
        <v>2</v>
      </c>
      <c r="T248" s="5">
        <f t="shared" si="101"/>
        <v>0</v>
      </c>
      <c r="U248" s="5" t="str">
        <f>CONCATENATE(+Contacts!H248)</f>
        <v>+31 653351324</v>
      </c>
      <c r="V248" t="str">
        <f t="shared" si="102"/>
        <v/>
      </c>
      <c r="W248" s="5">
        <f t="shared" si="103"/>
        <v>2</v>
      </c>
      <c r="X248" s="5">
        <f t="shared" si="104"/>
        <v>0</v>
      </c>
      <c r="Y248" s="5" t="str">
        <f>CONCATENATE(+Contacts!F248)</f>
        <v/>
      </c>
      <c r="Z248" s="2" t="str">
        <f t="shared" si="105"/>
        <v>Kroon, Theo van der(Aannemer)</v>
      </c>
      <c r="AA248" s="2" t="str">
        <f>CONCATENATE(+Contacts!C248)</f>
        <v>Kroon</v>
      </c>
      <c r="AB248" s="2" t="str">
        <f t="shared" si="106"/>
        <v xml:space="preserve">, </v>
      </c>
      <c r="AC248" s="2" t="str">
        <f>CONCATENATE(+Contacts!A248)</f>
        <v>Theo</v>
      </c>
      <c r="AD248" s="3" t="str">
        <f>CONCATENATE(" ",+Contacts!B248)</f>
        <v xml:space="preserve"> van der</v>
      </c>
      <c r="AE248" s="2" t="str">
        <f t="shared" si="107"/>
        <v>(</v>
      </c>
      <c r="AF248" s="3" t="str">
        <f>CONCATENATE(+Contacts!D248)</f>
        <v>Aannemer</v>
      </c>
      <c r="AG248" s="2" t="str">
        <f t="shared" si="108"/>
        <v>)</v>
      </c>
      <c r="AH248" t="str">
        <f>CONCATENATE(+Contacts!I248)</f>
        <v/>
      </c>
      <c r="AI248">
        <v>1500000010</v>
      </c>
      <c r="AJ248" s="5">
        <f t="shared" si="109"/>
        <v>1</v>
      </c>
    </row>
    <row r="249" spans="1:36" x14ac:dyDescent="0.35">
      <c r="A249" s="7" t="str">
        <f t="shared" si="84"/>
        <v>&lt;contact&gt;&lt;category&gt;0&lt;/category&gt;&lt;person&gt;&lt;realName&gt;Kruit, Don &amp;amp; Karin   &lt;/realName&gt;&lt;/person&gt;</v>
      </c>
      <c r="B249" s="7" t="str">
        <f t="shared" si="85"/>
        <v>&lt;telephony nid="1"&gt;&lt;number id="0" prio="1" type="work"&gt;+31 102202014&lt;/number&gt;&lt;/telephony&gt;</v>
      </c>
      <c r="C249" s="7" t="str">
        <f t="shared" si="86"/>
        <v>&lt;services /&gt;&lt;setup /&gt;&lt;mod_time&gt;1500000010&lt;/mod_time&gt;&lt;uniqueid&gt;1&lt;/uniqueid&gt;&lt;/contact&gt;</v>
      </c>
      <c r="D249" t="str">
        <f t="shared" si="87"/>
        <v>&lt;contact&gt;&lt;category&gt;0&lt;/category&gt;&lt;person&gt;&lt;realName&gt;Kruit, Don &amp;amp; Karin   &lt;/realName&gt;&lt;/person&gt;</v>
      </c>
      <c r="E249" t="str">
        <f t="shared" si="88"/>
        <v>&lt;telephony nid="1"&gt;&lt;number id="0" prio="1" type="work"&gt;+31 102202014&lt;/number&gt;&lt;/telephony&gt;</v>
      </c>
      <c r="F249" t="str">
        <f t="shared" si="89"/>
        <v>&lt;telephony nid="1"&gt;</v>
      </c>
      <c r="G249" t="str">
        <f t="shared" si="90"/>
        <v/>
      </c>
      <c r="H249" t="str">
        <f t="shared" si="91"/>
        <v>&lt;services nid="1"&gt;&lt;email id="0" classifier="private"&gt;&lt;/email&gt;&lt;/services&gt;&lt;setup /&gt;&lt;mod_time&gt;1500000010&lt;/mod_time&gt;&lt;uniqueid&gt;1&lt;/uniqueid&gt;&lt;/contact&gt;</v>
      </c>
      <c r="I249" t="str">
        <f t="shared" si="92"/>
        <v>&lt;services /&gt;&lt;setup /&gt;&lt;mod_time&gt;1500000010&lt;/mod_time&gt;&lt;uniqueid&gt;1&lt;/uniqueid&gt;&lt;/contact&gt;</v>
      </c>
      <c r="J249" t="str">
        <f t="shared" si="93"/>
        <v>&lt;services /&gt;&lt;setup /&gt;&lt;mod_time&gt;1500000010&lt;/mod_time&gt;&lt;uniqueid&gt;1&lt;/uniqueid&gt;&lt;/contact&gt;</v>
      </c>
      <c r="K249" s="5">
        <f t="shared" si="94"/>
        <v>0</v>
      </c>
      <c r="L249" s="5">
        <f t="shared" si="95"/>
        <v>0</v>
      </c>
      <c r="M249" s="5" t="str">
        <f>CONCATENATE(+Contacts!E249)</f>
        <v/>
      </c>
      <c r="N249" t="str">
        <f t="shared" si="96"/>
        <v/>
      </c>
      <c r="O249" s="5">
        <f t="shared" si="97"/>
        <v>0</v>
      </c>
      <c r="P249" s="5">
        <f t="shared" si="98"/>
        <v>0</v>
      </c>
      <c r="Q249" s="5" t="str">
        <f>CONCATENATE(+Contacts!G249)</f>
        <v/>
      </c>
      <c r="R249" t="str">
        <f t="shared" si="99"/>
        <v/>
      </c>
      <c r="S249" s="5">
        <f t="shared" si="100"/>
        <v>0</v>
      </c>
      <c r="T249" s="5">
        <f t="shared" si="101"/>
        <v>0</v>
      </c>
      <c r="U249" s="5" t="str">
        <f>CONCATENATE(+Contacts!H249)</f>
        <v/>
      </c>
      <c r="V249" t="str">
        <f t="shared" si="102"/>
        <v>&lt;number id="0" prio="1" type="work"&gt;+31 102202014&lt;/number&gt;</v>
      </c>
      <c r="W249" s="5">
        <f t="shared" si="103"/>
        <v>1</v>
      </c>
      <c r="X249" s="5">
        <f t="shared" si="104"/>
        <v>1</v>
      </c>
      <c r="Y249" s="5" t="str">
        <f>CONCATENATE(+Contacts!F249)</f>
        <v>+31 102202014</v>
      </c>
      <c r="Z249" s="2" t="str">
        <f t="shared" si="105"/>
        <v xml:space="preserve">Kruit, Don &amp;amp; Karin   </v>
      </c>
      <c r="AA249" s="2" t="str">
        <f>CONCATENATE(+Contacts!C249)</f>
        <v>Kruit</v>
      </c>
      <c r="AB249" s="2" t="str">
        <f t="shared" si="106"/>
        <v xml:space="preserve">, </v>
      </c>
      <c r="AC249" s="2" t="str">
        <f>CONCATENATE(+Contacts!A249)</f>
        <v>Don &amp;amp; Karin</v>
      </c>
      <c r="AD249" s="3" t="str">
        <f>CONCATENATE(" ",+Contacts!B249)</f>
        <v xml:space="preserve"> </v>
      </c>
      <c r="AE249" s="2" t="str">
        <f t="shared" si="107"/>
        <v xml:space="preserve"> </v>
      </c>
      <c r="AF249" s="3" t="str">
        <f>CONCATENATE(+Contacts!D249)</f>
        <v/>
      </c>
      <c r="AG249" s="2" t="str">
        <f t="shared" si="108"/>
        <v xml:space="preserve"> </v>
      </c>
      <c r="AH249" t="str">
        <f>CONCATENATE(+Contacts!I249)</f>
        <v/>
      </c>
      <c r="AI249">
        <v>1500000010</v>
      </c>
      <c r="AJ249" s="5">
        <f t="shared" si="109"/>
        <v>1</v>
      </c>
    </row>
    <row r="250" spans="1:36" x14ac:dyDescent="0.35">
      <c r="A250" s="7" t="str">
        <f t="shared" si="84"/>
        <v>&lt;contact&gt;&lt;category&gt;0&lt;/category&gt;&lt;person&gt;&lt;realName&gt;Kuster, Mischa   &lt;/realName&gt;&lt;/person&gt;</v>
      </c>
      <c r="B250" s="7" t="str">
        <f t="shared" si="85"/>
        <v>&lt;telephony nid="1"&gt;&lt;number id="0" prio="1" type="mobile"&gt;+31 654933646&lt;/number&gt;&lt;/telephony&gt;</v>
      </c>
      <c r="C250" s="7" t="str">
        <f t="shared" si="86"/>
        <v>&lt;services nid="1"&gt;&lt;email id="0" classifier="private"&gt;mkuster@melanchthon.nl&lt;/email&gt;&lt;/services&gt;&lt;setup /&gt;&lt;mod_time&gt;1500000010&lt;/mod_time&gt;&lt;uniqueid&gt;1&lt;/uniqueid&gt;&lt;/contact&gt;</v>
      </c>
      <c r="D250" t="str">
        <f t="shared" si="87"/>
        <v>&lt;contact&gt;&lt;category&gt;0&lt;/category&gt;&lt;person&gt;&lt;realName&gt;Kuster, Mischa   &lt;/realName&gt;&lt;/person&gt;</v>
      </c>
      <c r="E250" t="str">
        <f t="shared" si="88"/>
        <v>&lt;telephony nid="1"&gt;&lt;number id="0" prio="1" type="mobile"&gt;+31 654933646&lt;/number&gt;&lt;/telephony&gt;</v>
      </c>
      <c r="F250" t="str">
        <f t="shared" si="89"/>
        <v>&lt;telephony nid="1"&gt;</v>
      </c>
      <c r="G250" t="str">
        <f t="shared" si="90"/>
        <v/>
      </c>
      <c r="H250" t="str">
        <f t="shared" si="91"/>
        <v>&lt;services nid="1"&gt;&lt;email id="0" classifier="private"&gt;mkuster@melanchthon.nl&lt;/email&gt;&lt;/services&gt;&lt;setup /&gt;&lt;mod_time&gt;1500000010&lt;/mod_time&gt;&lt;uniqueid&gt;1&lt;/uniqueid&gt;&lt;/contact&gt;</v>
      </c>
      <c r="I250" t="str">
        <f t="shared" si="92"/>
        <v>&lt;services /&gt;&lt;setup /&gt;&lt;mod_time&gt;1500000010&lt;/mod_time&gt;&lt;uniqueid&gt;1&lt;/uniqueid&gt;&lt;/contact&gt;</v>
      </c>
      <c r="J250" t="str">
        <f t="shared" si="93"/>
        <v>&lt;services nid="1"&gt;&lt;email id="0" classifier="private"&gt;mkuster@melanchthon.nl&lt;/email&gt;&lt;/services&gt;&lt;setup /&gt;&lt;mod_time&gt;1500000010&lt;/mod_time&gt;&lt;uniqueid&gt;1&lt;/uniqueid&gt;&lt;/contact&gt;</v>
      </c>
      <c r="K250" s="5">
        <f t="shared" si="94"/>
        <v>0</v>
      </c>
      <c r="L250" s="5">
        <f t="shared" si="95"/>
        <v>0</v>
      </c>
      <c r="M250" s="5" t="str">
        <f>CONCATENATE(+Contacts!E250)</f>
        <v/>
      </c>
      <c r="N250" t="str">
        <f t="shared" si="96"/>
        <v/>
      </c>
      <c r="O250" s="5">
        <f t="shared" si="97"/>
        <v>0</v>
      </c>
      <c r="P250" s="5">
        <f t="shared" si="98"/>
        <v>0</v>
      </c>
      <c r="Q250" s="5" t="str">
        <f>CONCATENATE(+Contacts!G250)</f>
        <v/>
      </c>
      <c r="R250" t="str">
        <f t="shared" si="99"/>
        <v>&lt;number id="0" prio="1" type="mobile"&gt;+31 654933646&lt;/number&gt;</v>
      </c>
      <c r="S250" s="5">
        <f t="shared" si="100"/>
        <v>1</v>
      </c>
      <c r="T250" s="5">
        <f t="shared" si="101"/>
        <v>1</v>
      </c>
      <c r="U250" s="5" t="str">
        <f>CONCATENATE(+Contacts!H250)</f>
        <v>+31 654933646</v>
      </c>
      <c r="V250" t="str">
        <f t="shared" si="102"/>
        <v/>
      </c>
      <c r="W250" s="5">
        <f t="shared" si="103"/>
        <v>1</v>
      </c>
      <c r="X250" s="5">
        <f t="shared" si="104"/>
        <v>1</v>
      </c>
      <c r="Y250" s="5" t="str">
        <f>CONCATENATE(+Contacts!F250)</f>
        <v/>
      </c>
      <c r="Z250" s="2" t="str">
        <f t="shared" si="105"/>
        <v xml:space="preserve">Kuster, Mischa   </v>
      </c>
      <c r="AA250" s="2" t="str">
        <f>CONCATENATE(+Contacts!C250)</f>
        <v>Kuster</v>
      </c>
      <c r="AB250" s="2" t="str">
        <f t="shared" si="106"/>
        <v xml:space="preserve">, </v>
      </c>
      <c r="AC250" s="2" t="str">
        <f>CONCATENATE(+Contacts!A250)</f>
        <v>Mischa</v>
      </c>
      <c r="AD250" s="3" t="str">
        <f>CONCATENATE(" ",+Contacts!B250)</f>
        <v xml:space="preserve"> </v>
      </c>
      <c r="AE250" s="2" t="str">
        <f t="shared" si="107"/>
        <v xml:space="preserve"> </v>
      </c>
      <c r="AF250" s="3" t="str">
        <f>CONCATENATE(+Contacts!D250)</f>
        <v/>
      </c>
      <c r="AG250" s="2" t="str">
        <f t="shared" si="108"/>
        <v xml:space="preserve"> </v>
      </c>
      <c r="AH250" t="str">
        <f>CONCATENATE(+Contacts!I250)</f>
        <v>mkuster@melanchthon.nl</v>
      </c>
      <c r="AI250">
        <v>1500000010</v>
      </c>
      <c r="AJ250" s="5">
        <f t="shared" si="109"/>
        <v>1</v>
      </c>
    </row>
    <row r="251" spans="1:36" x14ac:dyDescent="0.35">
      <c r="A251" s="7" t="str">
        <f t="shared" si="84"/>
        <v>&lt;contact&gt;&lt;category&gt;0&lt;/category&gt;&lt;person&gt;&lt;realName&gt;, Lake House (Restaurant)&lt;/realName&gt;&lt;/person&gt;</v>
      </c>
      <c r="B251" s="7" t="str">
        <f t="shared" si="85"/>
        <v>&lt;telephony nid="1"&gt;&lt;number id="0" prio="1" type="home"&gt;(010) 223 53 81&lt;/number&gt;&lt;/telephony&gt;</v>
      </c>
      <c r="C251" s="7" t="str">
        <f t="shared" si="86"/>
        <v>&lt;services /&gt;&lt;setup /&gt;&lt;mod_time&gt;1500000010&lt;/mod_time&gt;&lt;uniqueid&gt;1&lt;/uniqueid&gt;&lt;/contact&gt;</v>
      </c>
      <c r="D251" t="str">
        <f t="shared" si="87"/>
        <v>&lt;contact&gt;&lt;category&gt;0&lt;/category&gt;&lt;person&gt;&lt;realName&gt;, Lake House (Restaurant)&lt;/realName&gt;&lt;/person&gt;</v>
      </c>
      <c r="E251" t="str">
        <f t="shared" si="88"/>
        <v>&lt;telephony nid="1"&gt;&lt;number id="0" prio="1" type="home"&gt;(010) 223 53 81&lt;/number&gt;&lt;/telephony&gt;</v>
      </c>
      <c r="F251" t="str">
        <f t="shared" si="89"/>
        <v>&lt;telephony nid="1"&gt;</v>
      </c>
      <c r="G251" t="str">
        <f t="shared" si="90"/>
        <v/>
      </c>
      <c r="H251" t="str">
        <f t="shared" si="91"/>
        <v>&lt;services nid="1"&gt;&lt;email id="0" classifier="private"&gt;&lt;/email&gt;&lt;/services&gt;&lt;setup /&gt;&lt;mod_time&gt;1500000010&lt;/mod_time&gt;&lt;uniqueid&gt;1&lt;/uniqueid&gt;&lt;/contact&gt;</v>
      </c>
      <c r="I251" t="str">
        <f t="shared" si="92"/>
        <v>&lt;services /&gt;&lt;setup /&gt;&lt;mod_time&gt;1500000010&lt;/mod_time&gt;&lt;uniqueid&gt;1&lt;/uniqueid&gt;&lt;/contact&gt;</v>
      </c>
      <c r="J251" t="str">
        <f t="shared" si="93"/>
        <v>&lt;services /&gt;&lt;setup /&gt;&lt;mod_time&gt;1500000010&lt;/mod_time&gt;&lt;uniqueid&gt;1&lt;/uniqueid&gt;&lt;/contact&gt;</v>
      </c>
      <c r="K251" s="5">
        <f t="shared" si="94"/>
        <v>0</v>
      </c>
      <c r="L251" s="5">
        <f t="shared" si="95"/>
        <v>0</v>
      </c>
      <c r="M251" s="5" t="str">
        <f>CONCATENATE(+Contacts!E251)</f>
        <v/>
      </c>
      <c r="N251" t="str">
        <f t="shared" si="96"/>
        <v>&lt;number id="0" prio="1" type="home"&gt;(010) 223 53 81&lt;/number&gt;</v>
      </c>
      <c r="O251" s="5">
        <f t="shared" si="97"/>
        <v>1</v>
      </c>
      <c r="P251" s="5">
        <f t="shared" si="98"/>
        <v>1</v>
      </c>
      <c r="Q251" s="5" t="str">
        <f>CONCATENATE(+Contacts!G251)</f>
        <v>(010) 223 53 81</v>
      </c>
      <c r="R251" t="str">
        <f t="shared" si="99"/>
        <v/>
      </c>
      <c r="S251" s="5">
        <f t="shared" si="100"/>
        <v>1</v>
      </c>
      <c r="T251" s="5">
        <f t="shared" si="101"/>
        <v>1</v>
      </c>
      <c r="U251" s="5" t="str">
        <f>CONCATENATE(+Contacts!H251)</f>
        <v/>
      </c>
      <c r="V251" t="str">
        <f t="shared" si="102"/>
        <v/>
      </c>
      <c r="W251" s="5">
        <f t="shared" si="103"/>
        <v>1</v>
      </c>
      <c r="X251" s="5">
        <f t="shared" si="104"/>
        <v>1</v>
      </c>
      <c r="Y251" s="5" t="str">
        <f>CONCATENATE(+Contacts!F251)</f>
        <v/>
      </c>
      <c r="Z251" s="2" t="str">
        <f t="shared" si="105"/>
        <v>, Lake House (Restaurant)</v>
      </c>
      <c r="AA251" s="2" t="str">
        <f>CONCATENATE(+Contacts!C251)</f>
        <v/>
      </c>
      <c r="AB251" s="2" t="str">
        <f t="shared" si="106"/>
        <v xml:space="preserve">, </v>
      </c>
      <c r="AC251" s="2" t="str">
        <f>CONCATENATE(+Contacts!A251)</f>
        <v>Lake House</v>
      </c>
      <c r="AD251" s="3" t="str">
        <f>CONCATENATE(" ",+Contacts!B251)</f>
        <v xml:space="preserve"> </v>
      </c>
      <c r="AE251" s="2" t="str">
        <f t="shared" si="107"/>
        <v>(</v>
      </c>
      <c r="AF251" s="3" t="str">
        <f>CONCATENATE(+Contacts!D251)</f>
        <v>Restaurant</v>
      </c>
      <c r="AG251" s="2" t="str">
        <f t="shared" si="108"/>
        <v>)</v>
      </c>
      <c r="AH251" t="str">
        <f>CONCATENATE(+Contacts!I251)</f>
        <v/>
      </c>
      <c r="AI251">
        <v>1500000010</v>
      </c>
      <c r="AJ251" s="5">
        <f t="shared" si="109"/>
        <v>1</v>
      </c>
    </row>
    <row r="252" spans="1:36" x14ac:dyDescent="0.35">
      <c r="A252" s="7" t="str">
        <f t="shared" si="84"/>
        <v>&lt;contact&gt;&lt;category&gt;0&lt;/category&gt;&lt;person&gt;&lt;realName&gt;Lantaren-Venster  (Bioscoop)&lt;/realName&gt;&lt;/person&gt;</v>
      </c>
      <c r="B252" s="7" t="str">
        <f t="shared" si="85"/>
        <v>&lt;telephony nid="1"&gt;&lt;number id="0" prio="1" type="work"&gt;+31 102772277&lt;/number&gt;&lt;/telephony&gt;</v>
      </c>
      <c r="C252" s="7" t="str">
        <f t="shared" si="86"/>
        <v>&lt;services /&gt;&lt;setup /&gt;&lt;mod_time&gt;1500000010&lt;/mod_time&gt;&lt;uniqueid&gt;1&lt;/uniqueid&gt;&lt;/contact&gt;</v>
      </c>
      <c r="D252" t="str">
        <f t="shared" si="87"/>
        <v>&lt;contact&gt;&lt;category&gt;0&lt;/category&gt;&lt;person&gt;&lt;realName&gt;Lantaren-Venster  (Bioscoop)&lt;/realName&gt;&lt;/person&gt;</v>
      </c>
      <c r="E252" t="str">
        <f t="shared" si="88"/>
        <v>&lt;telephony nid="1"&gt;&lt;number id="0" prio="1" type="work"&gt;+31 102772277&lt;/number&gt;&lt;/telephony&gt;</v>
      </c>
      <c r="F252" t="str">
        <f t="shared" si="89"/>
        <v>&lt;telephony nid="1"&gt;</v>
      </c>
      <c r="G252" t="str">
        <f t="shared" si="90"/>
        <v>&lt;number id="0" prio="1" type="work"&gt;+31 102772277&lt;/number&gt;</v>
      </c>
      <c r="H252" t="str">
        <f t="shared" si="91"/>
        <v>&lt;services nid="1"&gt;&lt;email id="0" classifier="private"&gt;&lt;/email&gt;&lt;/services&gt;&lt;setup /&gt;&lt;mod_time&gt;1500000010&lt;/mod_time&gt;&lt;uniqueid&gt;1&lt;/uniqueid&gt;&lt;/contact&gt;</v>
      </c>
      <c r="I252" t="str">
        <f t="shared" si="92"/>
        <v>&lt;services /&gt;&lt;setup /&gt;&lt;mod_time&gt;1500000010&lt;/mod_time&gt;&lt;uniqueid&gt;1&lt;/uniqueid&gt;&lt;/contact&gt;</v>
      </c>
      <c r="J252" t="str">
        <f t="shared" si="93"/>
        <v>&lt;services /&gt;&lt;setup /&gt;&lt;mod_time&gt;1500000010&lt;/mod_time&gt;&lt;uniqueid&gt;1&lt;/uniqueid&gt;&lt;/contact&gt;</v>
      </c>
      <c r="K252" s="5">
        <f t="shared" si="94"/>
        <v>1</v>
      </c>
      <c r="L252" s="5">
        <f t="shared" si="95"/>
        <v>1</v>
      </c>
      <c r="M252" s="5" t="str">
        <f>CONCATENATE(+Contacts!E252)</f>
        <v>+31 102772277</v>
      </c>
      <c r="N252" t="str">
        <f t="shared" si="96"/>
        <v/>
      </c>
      <c r="O252" s="5">
        <f t="shared" si="97"/>
        <v>1</v>
      </c>
      <c r="P252" s="5">
        <f t="shared" si="98"/>
        <v>1</v>
      </c>
      <c r="Q252" s="5" t="str">
        <f>CONCATENATE(+Contacts!G252)</f>
        <v/>
      </c>
      <c r="R252" t="str">
        <f t="shared" si="99"/>
        <v/>
      </c>
      <c r="S252" s="5">
        <f t="shared" si="100"/>
        <v>1</v>
      </c>
      <c r="T252" s="5">
        <f t="shared" si="101"/>
        <v>1</v>
      </c>
      <c r="U252" s="5" t="str">
        <f>CONCATENATE(+Contacts!H252)</f>
        <v/>
      </c>
      <c r="V252" t="str">
        <f t="shared" si="102"/>
        <v/>
      </c>
      <c r="W252" s="5">
        <f t="shared" si="103"/>
        <v>1</v>
      </c>
      <c r="X252" s="5">
        <f t="shared" si="104"/>
        <v>1</v>
      </c>
      <c r="Y252" s="5" t="str">
        <f>CONCATENATE(+Contacts!F252)</f>
        <v/>
      </c>
      <c r="Z252" s="2" t="str">
        <f t="shared" si="105"/>
        <v>Lantaren-Venster  (Bioscoop)</v>
      </c>
      <c r="AA252" s="2" t="str">
        <f>CONCATENATE(+Contacts!C252)</f>
        <v>Lantaren-Venster</v>
      </c>
      <c r="AB252" s="2" t="str">
        <f t="shared" si="106"/>
        <v xml:space="preserve"> </v>
      </c>
      <c r="AC252" s="2" t="str">
        <f>CONCATENATE(+Contacts!A252)</f>
        <v/>
      </c>
      <c r="AD252" s="3" t="str">
        <f>CONCATENATE(" ",+Contacts!B252)</f>
        <v xml:space="preserve"> </v>
      </c>
      <c r="AE252" s="2" t="str">
        <f t="shared" si="107"/>
        <v>(</v>
      </c>
      <c r="AF252" s="3" t="str">
        <f>CONCATENATE(+Contacts!D252)</f>
        <v>Bioscoop</v>
      </c>
      <c r="AG252" s="2" t="str">
        <f t="shared" si="108"/>
        <v>)</v>
      </c>
      <c r="AH252" t="str">
        <f>CONCATENATE(+Contacts!I252)</f>
        <v/>
      </c>
      <c r="AI252">
        <v>1500000010</v>
      </c>
      <c r="AJ252" s="5">
        <f t="shared" si="109"/>
        <v>1</v>
      </c>
    </row>
    <row r="253" spans="1:36" x14ac:dyDescent="0.35">
      <c r="A253" s="7" t="str">
        <f t="shared" si="84"/>
        <v>&lt;contact&gt;&lt;category&gt;0&lt;/category&gt;&lt;person&gt;&lt;realName&gt;Lap, Piet (Kledingwinkel)&lt;/realName&gt;&lt;/person&gt;</v>
      </c>
      <c r="B253" s="7" t="str">
        <f t="shared" si="85"/>
        <v>&lt;telephony nid="1"&gt;&lt;number id="0" prio="1" type="work"&gt;+31 102201789&lt;/number&gt;&lt;/telephony&gt;</v>
      </c>
      <c r="C253" s="7" t="str">
        <f t="shared" si="86"/>
        <v>&lt;services /&gt;&lt;setup /&gt;&lt;mod_time&gt;1500000010&lt;/mod_time&gt;&lt;uniqueid&gt;1&lt;/uniqueid&gt;&lt;/contact&gt;</v>
      </c>
      <c r="D253" t="str">
        <f t="shared" si="87"/>
        <v>&lt;contact&gt;&lt;category&gt;0&lt;/category&gt;&lt;person&gt;&lt;realName&gt;Lap, Piet (Kledingwinkel)&lt;/realName&gt;&lt;/person&gt;</v>
      </c>
      <c r="E253" t="str">
        <f t="shared" si="88"/>
        <v>&lt;telephony nid="1"&gt;&lt;number id="0" prio="1" type="work"&gt;+31 102201789&lt;/number&gt;&lt;/telephony&gt;</v>
      </c>
      <c r="F253" t="str">
        <f t="shared" si="89"/>
        <v>&lt;telephony nid="1"&gt;</v>
      </c>
      <c r="G253" t="str">
        <f t="shared" si="90"/>
        <v>&lt;number id="0" prio="1" type="work"&gt;+31 102201789&lt;/number&gt;</v>
      </c>
      <c r="H253" t="str">
        <f t="shared" si="91"/>
        <v>&lt;services nid="1"&gt;&lt;email id="0" classifier="private"&gt;&lt;/email&gt;&lt;/services&gt;&lt;setup /&gt;&lt;mod_time&gt;1500000010&lt;/mod_time&gt;&lt;uniqueid&gt;1&lt;/uniqueid&gt;&lt;/contact&gt;</v>
      </c>
      <c r="I253" t="str">
        <f t="shared" si="92"/>
        <v>&lt;services /&gt;&lt;setup /&gt;&lt;mod_time&gt;1500000010&lt;/mod_time&gt;&lt;uniqueid&gt;1&lt;/uniqueid&gt;&lt;/contact&gt;</v>
      </c>
      <c r="J253" t="str">
        <f t="shared" si="93"/>
        <v>&lt;services /&gt;&lt;setup /&gt;&lt;mod_time&gt;1500000010&lt;/mod_time&gt;&lt;uniqueid&gt;1&lt;/uniqueid&gt;&lt;/contact&gt;</v>
      </c>
      <c r="K253" s="5">
        <f t="shared" si="94"/>
        <v>1</v>
      </c>
      <c r="L253" s="5">
        <f t="shared" si="95"/>
        <v>1</v>
      </c>
      <c r="M253" s="5" t="str">
        <f>CONCATENATE(+Contacts!E253)</f>
        <v>+31 102201789</v>
      </c>
      <c r="N253" t="str">
        <f t="shared" si="96"/>
        <v/>
      </c>
      <c r="O253" s="5">
        <f t="shared" si="97"/>
        <v>1</v>
      </c>
      <c r="P253" s="5">
        <f t="shared" si="98"/>
        <v>1</v>
      </c>
      <c r="Q253" s="5" t="str">
        <f>CONCATENATE(+Contacts!G253)</f>
        <v/>
      </c>
      <c r="R253" t="str">
        <f t="shared" si="99"/>
        <v/>
      </c>
      <c r="S253" s="5">
        <f t="shared" si="100"/>
        <v>1</v>
      </c>
      <c r="T253" s="5">
        <f t="shared" si="101"/>
        <v>1</v>
      </c>
      <c r="U253" s="5" t="str">
        <f>CONCATENATE(+Contacts!H253)</f>
        <v/>
      </c>
      <c r="V253" t="str">
        <f t="shared" si="102"/>
        <v/>
      </c>
      <c r="W253" s="5">
        <f t="shared" si="103"/>
        <v>1</v>
      </c>
      <c r="X253" s="5">
        <f t="shared" si="104"/>
        <v>1</v>
      </c>
      <c r="Y253" s="5" t="str">
        <f>CONCATENATE(+Contacts!F253)</f>
        <v/>
      </c>
      <c r="Z253" s="2" t="str">
        <f t="shared" si="105"/>
        <v>Lap, Piet (Kledingwinkel)</v>
      </c>
      <c r="AA253" s="2" t="str">
        <f>CONCATENATE(+Contacts!C253)</f>
        <v>Lap</v>
      </c>
      <c r="AB253" s="2" t="str">
        <f t="shared" si="106"/>
        <v xml:space="preserve">, </v>
      </c>
      <c r="AC253" s="2" t="str">
        <f>CONCATENATE(+Contacts!A253)</f>
        <v>Piet</v>
      </c>
      <c r="AD253" s="3" t="str">
        <f>CONCATENATE(" ",+Contacts!B253)</f>
        <v xml:space="preserve"> </v>
      </c>
      <c r="AE253" s="2" t="str">
        <f t="shared" si="107"/>
        <v>(</v>
      </c>
      <c r="AF253" s="3" t="str">
        <f>CONCATENATE(+Contacts!D253)</f>
        <v>Kledingwinkel</v>
      </c>
      <c r="AG253" s="2" t="str">
        <f t="shared" si="108"/>
        <v>)</v>
      </c>
      <c r="AH253" t="str">
        <f>CONCATENATE(+Contacts!I253)</f>
        <v/>
      </c>
      <c r="AI253">
        <v>1500000010</v>
      </c>
      <c r="AJ253" s="5">
        <f t="shared" si="109"/>
        <v>1</v>
      </c>
    </row>
    <row r="254" spans="1:36" x14ac:dyDescent="0.35">
      <c r="A254" s="7" t="str">
        <f t="shared" si="84"/>
        <v>&lt;contact&gt;&lt;category&gt;0&lt;/category&gt;&lt;person&gt;&lt;realName&gt;, Laurens   &lt;/realName&gt;&lt;/person&gt;</v>
      </c>
      <c r="B254" s="7" t="str">
        <f t="shared" si="85"/>
        <v>&lt;telephony nid="1"&gt;&lt;number id="0" prio="1" type="home"&gt;00 31 10 844 25 95&lt;/number&gt;&lt;/telephony&gt;</v>
      </c>
      <c r="C254" s="7" t="str">
        <f t="shared" si="86"/>
        <v>&lt;services /&gt;&lt;setup /&gt;&lt;mod_time&gt;1500000010&lt;/mod_time&gt;&lt;uniqueid&gt;1&lt;/uniqueid&gt;&lt;/contact&gt;</v>
      </c>
      <c r="D254" t="str">
        <f t="shared" si="87"/>
        <v>&lt;contact&gt;&lt;category&gt;0&lt;/category&gt;&lt;person&gt;&lt;realName&gt;, Laurens   &lt;/realName&gt;&lt;/person&gt;</v>
      </c>
      <c r="E254" t="str">
        <f t="shared" si="88"/>
        <v>&lt;telephony nid="1"&gt;&lt;number id="0" prio="1" type="home"&gt;00 31 10 844 25 95&lt;/number&gt;&lt;/telephony&gt;</v>
      </c>
      <c r="F254" t="str">
        <f t="shared" si="89"/>
        <v>&lt;telephony nid="1"&gt;</v>
      </c>
      <c r="G254" t="str">
        <f t="shared" si="90"/>
        <v/>
      </c>
      <c r="H254" t="str">
        <f t="shared" si="91"/>
        <v>&lt;services nid="1"&gt;&lt;email id="0" classifier="private"&gt;&lt;/email&gt;&lt;/services&gt;&lt;setup /&gt;&lt;mod_time&gt;1500000010&lt;/mod_time&gt;&lt;uniqueid&gt;1&lt;/uniqueid&gt;&lt;/contact&gt;</v>
      </c>
      <c r="I254" t="str">
        <f t="shared" si="92"/>
        <v>&lt;services /&gt;&lt;setup /&gt;&lt;mod_time&gt;1500000010&lt;/mod_time&gt;&lt;uniqueid&gt;1&lt;/uniqueid&gt;&lt;/contact&gt;</v>
      </c>
      <c r="J254" t="str">
        <f t="shared" si="93"/>
        <v>&lt;services /&gt;&lt;setup /&gt;&lt;mod_time&gt;1500000010&lt;/mod_time&gt;&lt;uniqueid&gt;1&lt;/uniqueid&gt;&lt;/contact&gt;</v>
      </c>
      <c r="K254" s="5">
        <f t="shared" si="94"/>
        <v>0</v>
      </c>
      <c r="L254" s="5">
        <f t="shared" si="95"/>
        <v>0</v>
      </c>
      <c r="M254" s="5" t="str">
        <f>CONCATENATE(+Contacts!E254)</f>
        <v/>
      </c>
      <c r="N254" t="str">
        <f t="shared" si="96"/>
        <v>&lt;number id="0" prio="1" type="home"&gt;00 31 10 844 25 95&lt;/number&gt;</v>
      </c>
      <c r="O254" s="5">
        <f t="shared" si="97"/>
        <v>1</v>
      </c>
      <c r="P254" s="5">
        <f t="shared" si="98"/>
        <v>1</v>
      </c>
      <c r="Q254" s="5" t="str">
        <f>CONCATENATE(+Contacts!G254)</f>
        <v>00 31 10 844 25 95</v>
      </c>
      <c r="R254" t="str">
        <f t="shared" si="99"/>
        <v/>
      </c>
      <c r="S254" s="5">
        <f t="shared" si="100"/>
        <v>1</v>
      </c>
      <c r="T254" s="5">
        <f t="shared" si="101"/>
        <v>1</v>
      </c>
      <c r="U254" s="5" t="str">
        <f>CONCATENATE(+Contacts!H254)</f>
        <v/>
      </c>
      <c r="V254" t="str">
        <f t="shared" si="102"/>
        <v/>
      </c>
      <c r="W254" s="5">
        <f t="shared" si="103"/>
        <v>1</v>
      </c>
      <c r="X254" s="5">
        <f t="shared" si="104"/>
        <v>1</v>
      </c>
      <c r="Y254" s="5" t="str">
        <f>CONCATENATE(+Contacts!F254)</f>
        <v/>
      </c>
      <c r="Z254" s="2" t="str">
        <f t="shared" si="105"/>
        <v xml:space="preserve">, Laurens   </v>
      </c>
      <c r="AA254" s="2" t="str">
        <f>CONCATENATE(+Contacts!C254)</f>
        <v/>
      </c>
      <c r="AB254" s="2" t="str">
        <f t="shared" si="106"/>
        <v xml:space="preserve">, </v>
      </c>
      <c r="AC254" s="2" t="str">
        <f>CONCATENATE(+Contacts!A254)</f>
        <v>Laurens</v>
      </c>
      <c r="AD254" s="3" t="str">
        <f>CONCATENATE(" ",+Contacts!B254)</f>
        <v xml:space="preserve"> </v>
      </c>
      <c r="AE254" s="2" t="str">
        <f t="shared" si="107"/>
        <v xml:space="preserve"> </v>
      </c>
      <c r="AF254" s="3" t="str">
        <f>CONCATENATE(+Contacts!D254)</f>
        <v/>
      </c>
      <c r="AG254" s="2" t="str">
        <f t="shared" si="108"/>
        <v xml:space="preserve"> </v>
      </c>
      <c r="AH254" t="str">
        <f>CONCATENATE(+Contacts!I254)</f>
        <v/>
      </c>
      <c r="AI254">
        <v>1500000010</v>
      </c>
      <c r="AJ254" s="5">
        <f t="shared" si="109"/>
        <v>1</v>
      </c>
    </row>
    <row r="255" spans="1:36" x14ac:dyDescent="0.35">
      <c r="A255" s="7" t="str">
        <f t="shared" si="84"/>
        <v/>
      </c>
      <c r="B255" s="7" t="str">
        <f t="shared" si="85"/>
        <v/>
      </c>
      <c r="C255" s="7" t="str">
        <f t="shared" si="86"/>
        <v/>
      </c>
      <c r="D255" t="str">
        <f t="shared" si="87"/>
        <v>&lt;contact&gt;&lt;category&gt;0&lt;/category&gt;&lt;person&gt;&lt;realName&gt;Le Vieux Praderet  (Le Vieux Praderet)&lt;/realName&gt;&lt;/person&gt;</v>
      </c>
      <c r="E255" t="str">
        <f t="shared" si="88"/>
        <v>&lt;telephony nid="0"&gt;&lt;/telephony&gt;</v>
      </c>
      <c r="F255" t="str">
        <f t="shared" si="89"/>
        <v>&lt;telephony nid="0"&gt;</v>
      </c>
      <c r="G255" t="str">
        <f t="shared" si="90"/>
        <v/>
      </c>
      <c r="H255" t="str">
        <f t="shared" si="91"/>
        <v>&lt;services nid="1"&gt;&lt;email id="0" classifier="private"&gt;le_vieux_praderet@yahoo.com&lt;/email&gt;&lt;/services&gt;&lt;setup /&gt;&lt;mod_time&gt;1500000010&lt;/mod_time&gt;&lt;uniqueid&gt;0&lt;/uniqueid&gt;&lt;/contact&gt;</v>
      </c>
      <c r="I255" t="str">
        <f t="shared" si="92"/>
        <v>&lt;services /&gt;&lt;setup /&gt;&lt;mod_time&gt;1500000010&lt;/mod_time&gt;&lt;uniqueid&gt;0&lt;/uniqueid&gt;&lt;/contact&gt;</v>
      </c>
      <c r="J255" t="str">
        <f t="shared" si="93"/>
        <v>&lt;services nid="1"&gt;&lt;email id="0" classifier="private"&gt;le_vieux_praderet@yahoo.com&lt;/email&gt;&lt;/services&gt;&lt;setup /&gt;&lt;mod_time&gt;1500000010&lt;/mod_time&gt;&lt;uniqueid&gt;0&lt;/uniqueid&gt;&lt;/contact&gt;</v>
      </c>
      <c r="K255" s="5">
        <f t="shared" si="94"/>
        <v>0</v>
      </c>
      <c r="L255" s="5">
        <f t="shared" si="95"/>
        <v>0</v>
      </c>
      <c r="M255" s="5" t="str">
        <f>CONCATENATE(+Contacts!E255)</f>
        <v/>
      </c>
      <c r="N255" t="str">
        <f t="shared" si="96"/>
        <v/>
      </c>
      <c r="O255" s="5">
        <f t="shared" si="97"/>
        <v>0</v>
      </c>
      <c r="P255" s="5">
        <f t="shared" si="98"/>
        <v>0</v>
      </c>
      <c r="Q255" s="5" t="str">
        <f>CONCATENATE(+Contacts!G255)</f>
        <v/>
      </c>
      <c r="R255" t="str">
        <f t="shared" si="99"/>
        <v/>
      </c>
      <c r="S255" s="5">
        <f t="shared" si="100"/>
        <v>0</v>
      </c>
      <c r="T255" s="5">
        <f t="shared" si="101"/>
        <v>0</v>
      </c>
      <c r="U255" s="5" t="str">
        <f>CONCATENATE(+Contacts!H255)</f>
        <v/>
      </c>
      <c r="V255" t="str">
        <f t="shared" si="102"/>
        <v/>
      </c>
      <c r="W255" s="5">
        <f t="shared" si="103"/>
        <v>0</v>
      </c>
      <c r="X255" s="5">
        <f t="shared" si="104"/>
        <v>0</v>
      </c>
      <c r="Y255" s="5" t="str">
        <f>CONCATENATE(+Contacts!F255)</f>
        <v/>
      </c>
      <c r="Z255" s="2" t="str">
        <f t="shared" si="105"/>
        <v>Le Vieux Praderet  (Le Vieux Praderet)</v>
      </c>
      <c r="AA255" s="2" t="str">
        <f>CONCATENATE(+Contacts!C255)</f>
        <v>Le Vieux Praderet</v>
      </c>
      <c r="AB255" s="2" t="str">
        <f t="shared" si="106"/>
        <v xml:space="preserve"> </v>
      </c>
      <c r="AC255" s="2" t="str">
        <f>CONCATENATE(+Contacts!A255)</f>
        <v/>
      </c>
      <c r="AD255" s="3" t="str">
        <f>CONCATENATE(" ",+Contacts!B255)</f>
        <v xml:space="preserve"> </v>
      </c>
      <c r="AE255" s="2" t="str">
        <f t="shared" si="107"/>
        <v>(</v>
      </c>
      <c r="AF255" s="3" t="str">
        <f>CONCATENATE(+Contacts!D255)</f>
        <v>Le Vieux Praderet</v>
      </c>
      <c r="AG255" s="2" t="str">
        <f t="shared" si="108"/>
        <v>)</v>
      </c>
      <c r="AH255" t="str">
        <f>CONCATENATE(+Contacts!I255)</f>
        <v>le_vieux_praderet@yahoo.com</v>
      </c>
      <c r="AI255">
        <v>1500000010</v>
      </c>
      <c r="AJ255" s="5">
        <f t="shared" si="109"/>
        <v>0</v>
      </c>
    </row>
    <row r="256" spans="1:36" x14ac:dyDescent="0.35">
      <c r="A256" s="7" t="str">
        <f t="shared" si="84"/>
        <v>&lt;contact&gt;&lt;category&gt;0&lt;/category&gt;&lt;person&gt;&lt;realName&gt;Leer, Saskia van  &lt;/realName&gt;&lt;/person&gt;</v>
      </c>
      <c r="B256" s="7" t="str">
        <f t="shared" si="85"/>
        <v>&lt;telephony nid="1"&gt;&lt;number id="0" prio="1" type="mobile"&gt;+31 641263683&lt;/number&gt;&lt;/telephony&gt;</v>
      </c>
      <c r="C256" s="7" t="str">
        <f t="shared" si="86"/>
        <v>&lt;services nid="1"&gt;&lt;email id="0" classifier="private"&gt;saskia_van_leer@hotmail.com&lt;/email&gt;&lt;/services&gt;&lt;setup /&gt;&lt;mod_time&gt;1500000010&lt;/mod_time&gt;&lt;uniqueid&gt;1&lt;/uniqueid&gt;&lt;/contact&gt;</v>
      </c>
      <c r="D256" t="str">
        <f t="shared" si="87"/>
        <v>&lt;contact&gt;&lt;category&gt;0&lt;/category&gt;&lt;person&gt;&lt;realName&gt;Leer, Saskia van  &lt;/realName&gt;&lt;/person&gt;</v>
      </c>
      <c r="E256" t="str">
        <f t="shared" si="88"/>
        <v>&lt;telephony nid="1"&gt;&lt;number id="0" prio="1" type="mobile"&gt;+31 641263683&lt;/number&gt;&lt;/telephony&gt;</v>
      </c>
      <c r="F256" t="str">
        <f t="shared" si="89"/>
        <v>&lt;telephony nid="1"&gt;</v>
      </c>
      <c r="G256" t="str">
        <f t="shared" si="90"/>
        <v/>
      </c>
      <c r="H256" t="str">
        <f t="shared" si="91"/>
        <v>&lt;services nid="1"&gt;&lt;email id="0" classifier="private"&gt;saskia_van_leer@hotmail.com&lt;/email&gt;&lt;/services&gt;&lt;setup /&gt;&lt;mod_time&gt;1500000010&lt;/mod_time&gt;&lt;uniqueid&gt;1&lt;/uniqueid&gt;&lt;/contact&gt;</v>
      </c>
      <c r="I256" t="str">
        <f t="shared" si="92"/>
        <v>&lt;services /&gt;&lt;setup /&gt;&lt;mod_time&gt;1500000010&lt;/mod_time&gt;&lt;uniqueid&gt;1&lt;/uniqueid&gt;&lt;/contact&gt;</v>
      </c>
      <c r="J256" t="str">
        <f t="shared" si="93"/>
        <v>&lt;services nid="1"&gt;&lt;email id="0" classifier="private"&gt;saskia_van_leer@hotmail.com&lt;/email&gt;&lt;/services&gt;&lt;setup /&gt;&lt;mod_time&gt;1500000010&lt;/mod_time&gt;&lt;uniqueid&gt;1&lt;/uniqueid&gt;&lt;/contact&gt;</v>
      </c>
      <c r="K256" s="5">
        <f t="shared" si="94"/>
        <v>0</v>
      </c>
      <c r="L256" s="5">
        <f t="shared" si="95"/>
        <v>0</v>
      </c>
      <c r="M256" s="5" t="str">
        <f>CONCATENATE(+Contacts!E256)</f>
        <v/>
      </c>
      <c r="N256" t="str">
        <f t="shared" si="96"/>
        <v/>
      </c>
      <c r="O256" s="5">
        <f t="shared" si="97"/>
        <v>0</v>
      </c>
      <c r="P256" s="5">
        <f t="shared" si="98"/>
        <v>0</v>
      </c>
      <c r="Q256" s="5" t="str">
        <f>CONCATENATE(+Contacts!G256)</f>
        <v/>
      </c>
      <c r="R256" t="str">
        <f t="shared" si="99"/>
        <v>&lt;number id="0" prio="1" type="mobile"&gt;+31 641263683&lt;/number&gt;</v>
      </c>
      <c r="S256" s="5">
        <f t="shared" si="100"/>
        <v>1</v>
      </c>
      <c r="T256" s="5">
        <f t="shared" si="101"/>
        <v>1</v>
      </c>
      <c r="U256" s="5" t="str">
        <f>CONCATENATE(+Contacts!H256)</f>
        <v>+31 641263683</v>
      </c>
      <c r="V256" t="str">
        <f t="shared" si="102"/>
        <v/>
      </c>
      <c r="W256" s="5">
        <f t="shared" si="103"/>
        <v>1</v>
      </c>
      <c r="X256" s="5">
        <f t="shared" si="104"/>
        <v>1</v>
      </c>
      <c r="Y256" s="5" t="str">
        <f>CONCATENATE(+Contacts!F256)</f>
        <v/>
      </c>
      <c r="Z256" s="2" t="str">
        <f t="shared" si="105"/>
        <v xml:space="preserve">Leer, Saskia van  </v>
      </c>
      <c r="AA256" s="2" t="str">
        <f>CONCATENATE(+Contacts!C256)</f>
        <v>Leer</v>
      </c>
      <c r="AB256" s="2" t="str">
        <f t="shared" si="106"/>
        <v xml:space="preserve">, </v>
      </c>
      <c r="AC256" s="2" t="str">
        <f>CONCATENATE(+Contacts!A256)</f>
        <v>Saskia</v>
      </c>
      <c r="AD256" s="3" t="str">
        <f>CONCATENATE(" ",+Contacts!B256)</f>
        <v xml:space="preserve"> van</v>
      </c>
      <c r="AE256" s="2" t="str">
        <f t="shared" si="107"/>
        <v xml:space="preserve"> </v>
      </c>
      <c r="AF256" s="3" t="str">
        <f>CONCATENATE(+Contacts!D256)</f>
        <v/>
      </c>
      <c r="AG256" s="2" t="str">
        <f t="shared" si="108"/>
        <v xml:space="preserve"> </v>
      </c>
      <c r="AH256" t="str">
        <f>CONCATENATE(+Contacts!I256)</f>
        <v>saskia_van_leer@hotmail.com</v>
      </c>
      <c r="AI256">
        <v>1500000010</v>
      </c>
      <c r="AJ256" s="5">
        <f t="shared" si="109"/>
        <v>1</v>
      </c>
    </row>
    <row r="257" spans="1:36" x14ac:dyDescent="0.35">
      <c r="A257" s="7" t="str">
        <f t="shared" si="84"/>
        <v>&lt;contact&gt;&lt;category&gt;0&lt;/category&gt;&lt;person&gt;&lt;realName&gt;Leeuwen, Henk van  &lt;/realName&gt;&lt;/person&gt;</v>
      </c>
      <c r="B257" s="7" t="str">
        <f t="shared" si="85"/>
        <v>&lt;telephony nid="1"&gt;&lt;number id="0" prio="1" type="home"&gt;+31 529851536&lt;/number&gt;&lt;/telephony&gt;</v>
      </c>
      <c r="C257" s="7" t="str">
        <f t="shared" si="86"/>
        <v>&lt;services /&gt;&lt;setup /&gt;&lt;mod_time&gt;1500000010&lt;/mod_time&gt;&lt;uniqueid&gt;1&lt;/uniqueid&gt;&lt;/contact&gt;</v>
      </c>
      <c r="D257" t="str">
        <f t="shared" si="87"/>
        <v>&lt;contact&gt;&lt;category&gt;0&lt;/category&gt;&lt;person&gt;&lt;realName&gt;Leeuwen, Henk van  &lt;/realName&gt;&lt;/person&gt;</v>
      </c>
      <c r="E257" t="str">
        <f t="shared" si="88"/>
        <v>&lt;telephony nid="1"&gt;&lt;number id="0" prio="1" type="home"&gt;+31 529851536&lt;/number&gt;&lt;/telephony&gt;</v>
      </c>
      <c r="F257" t="str">
        <f t="shared" si="89"/>
        <v>&lt;telephony nid="1"&gt;</v>
      </c>
      <c r="G257" t="str">
        <f t="shared" si="90"/>
        <v/>
      </c>
      <c r="H257" t="str">
        <f t="shared" si="91"/>
        <v>&lt;services nid="1"&gt;&lt;email id="0" classifier="private"&gt;&lt;/email&gt;&lt;/services&gt;&lt;setup /&gt;&lt;mod_time&gt;1500000010&lt;/mod_time&gt;&lt;uniqueid&gt;1&lt;/uniqueid&gt;&lt;/contact&gt;</v>
      </c>
      <c r="I257" t="str">
        <f t="shared" si="92"/>
        <v>&lt;services /&gt;&lt;setup /&gt;&lt;mod_time&gt;1500000010&lt;/mod_time&gt;&lt;uniqueid&gt;1&lt;/uniqueid&gt;&lt;/contact&gt;</v>
      </c>
      <c r="J257" t="str">
        <f t="shared" si="93"/>
        <v>&lt;services /&gt;&lt;setup /&gt;&lt;mod_time&gt;1500000010&lt;/mod_time&gt;&lt;uniqueid&gt;1&lt;/uniqueid&gt;&lt;/contact&gt;</v>
      </c>
      <c r="K257" s="5">
        <f t="shared" si="94"/>
        <v>0</v>
      </c>
      <c r="L257" s="5">
        <f t="shared" si="95"/>
        <v>0</v>
      </c>
      <c r="M257" s="5" t="str">
        <f>CONCATENATE(+Contacts!E257)</f>
        <v/>
      </c>
      <c r="N257" t="str">
        <f t="shared" si="96"/>
        <v>&lt;number id="0" prio="1" type="home"&gt;+31 529851536&lt;/number&gt;</v>
      </c>
      <c r="O257" s="5">
        <f t="shared" si="97"/>
        <v>1</v>
      </c>
      <c r="P257" s="5">
        <f t="shared" si="98"/>
        <v>1</v>
      </c>
      <c r="Q257" s="5" t="str">
        <f>CONCATENATE(+Contacts!G257)</f>
        <v>+31 529851536</v>
      </c>
      <c r="R257" t="str">
        <f t="shared" si="99"/>
        <v/>
      </c>
      <c r="S257" s="5">
        <f t="shared" si="100"/>
        <v>1</v>
      </c>
      <c r="T257" s="5">
        <f t="shared" si="101"/>
        <v>1</v>
      </c>
      <c r="U257" s="5" t="str">
        <f>CONCATENATE(+Contacts!H257)</f>
        <v/>
      </c>
      <c r="V257" t="str">
        <f t="shared" si="102"/>
        <v/>
      </c>
      <c r="W257" s="5">
        <f t="shared" si="103"/>
        <v>1</v>
      </c>
      <c r="X257" s="5">
        <f t="shared" si="104"/>
        <v>1</v>
      </c>
      <c r="Y257" s="5" t="str">
        <f>CONCATENATE(+Contacts!F257)</f>
        <v/>
      </c>
      <c r="Z257" s="2" t="str">
        <f t="shared" si="105"/>
        <v xml:space="preserve">Leeuwen, Henk van  </v>
      </c>
      <c r="AA257" s="2" t="str">
        <f>CONCATENATE(+Contacts!C257)</f>
        <v>Leeuwen</v>
      </c>
      <c r="AB257" s="2" t="str">
        <f t="shared" si="106"/>
        <v xml:space="preserve">, </v>
      </c>
      <c r="AC257" s="2" t="str">
        <f>CONCATENATE(+Contacts!A257)</f>
        <v>Henk</v>
      </c>
      <c r="AD257" s="3" t="str">
        <f>CONCATENATE(" ",+Contacts!B257)</f>
        <v xml:space="preserve"> van</v>
      </c>
      <c r="AE257" s="2" t="str">
        <f t="shared" si="107"/>
        <v xml:space="preserve"> </v>
      </c>
      <c r="AF257" s="3" t="str">
        <f>CONCATENATE(+Contacts!D257)</f>
        <v/>
      </c>
      <c r="AG257" s="2" t="str">
        <f t="shared" si="108"/>
        <v xml:space="preserve"> </v>
      </c>
      <c r="AH257" t="str">
        <f>CONCATENATE(+Contacts!I257)</f>
        <v/>
      </c>
      <c r="AI257">
        <v>1500000010</v>
      </c>
      <c r="AJ257" s="5">
        <f t="shared" si="109"/>
        <v>1</v>
      </c>
    </row>
    <row r="258" spans="1:36" x14ac:dyDescent="0.35">
      <c r="A258" s="7" t="str">
        <f t="shared" si="84"/>
        <v>&lt;contact&gt;&lt;category&gt;0&lt;/category&gt;&lt;person&gt;&lt;realName&gt;Leliveld, Hanneke   &lt;/realName&gt;&lt;/person&gt;</v>
      </c>
      <c r="B258" s="7" t="str">
        <f t="shared" si="85"/>
        <v>&lt;telephony nid="1"&gt;&lt;number id="0" prio="1" type="mobile"&gt;+31 611352928&lt;/number&gt;&lt;/telephony&gt;</v>
      </c>
      <c r="C258" s="7" t="str">
        <f t="shared" si="86"/>
        <v>&lt;services /&gt;&lt;setup /&gt;&lt;mod_time&gt;1500000010&lt;/mod_time&gt;&lt;uniqueid&gt;1&lt;/uniqueid&gt;&lt;/contact&gt;</v>
      </c>
      <c r="D258" t="str">
        <f t="shared" si="87"/>
        <v>&lt;contact&gt;&lt;category&gt;0&lt;/category&gt;&lt;person&gt;&lt;realName&gt;Leliveld, Hanneke   &lt;/realName&gt;&lt;/person&gt;</v>
      </c>
      <c r="E258" t="str">
        <f t="shared" si="88"/>
        <v>&lt;telephony nid="1"&gt;&lt;number id="0" prio="1" type="mobile"&gt;+31 611352928&lt;/number&gt;&lt;/telephony&gt;</v>
      </c>
      <c r="F258" t="str">
        <f t="shared" si="89"/>
        <v>&lt;telephony nid="1"&gt;</v>
      </c>
      <c r="G258" t="str">
        <f t="shared" si="90"/>
        <v/>
      </c>
      <c r="H258" t="str">
        <f t="shared" si="91"/>
        <v>&lt;services nid="1"&gt;&lt;email id="0" classifier="private"&gt;&lt;/email&gt;&lt;/services&gt;&lt;setup /&gt;&lt;mod_time&gt;1500000010&lt;/mod_time&gt;&lt;uniqueid&gt;1&lt;/uniqueid&gt;&lt;/contact&gt;</v>
      </c>
      <c r="I258" t="str">
        <f t="shared" si="92"/>
        <v>&lt;services /&gt;&lt;setup /&gt;&lt;mod_time&gt;1500000010&lt;/mod_time&gt;&lt;uniqueid&gt;1&lt;/uniqueid&gt;&lt;/contact&gt;</v>
      </c>
      <c r="J258" t="str">
        <f t="shared" si="93"/>
        <v>&lt;services /&gt;&lt;setup /&gt;&lt;mod_time&gt;1500000010&lt;/mod_time&gt;&lt;uniqueid&gt;1&lt;/uniqueid&gt;&lt;/contact&gt;</v>
      </c>
      <c r="K258" s="5">
        <f t="shared" si="94"/>
        <v>0</v>
      </c>
      <c r="L258" s="5">
        <f t="shared" si="95"/>
        <v>0</v>
      </c>
      <c r="M258" s="5" t="str">
        <f>CONCATENATE(+Contacts!E258)</f>
        <v/>
      </c>
      <c r="N258" t="str">
        <f t="shared" si="96"/>
        <v/>
      </c>
      <c r="O258" s="5">
        <f t="shared" si="97"/>
        <v>0</v>
      </c>
      <c r="P258" s="5">
        <f t="shared" si="98"/>
        <v>0</v>
      </c>
      <c r="Q258" s="5" t="str">
        <f>CONCATENATE(+Contacts!G258)</f>
        <v/>
      </c>
      <c r="R258" t="str">
        <f t="shared" si="99"/>
        <v>&lt;number id="0" prio="1" type="mobile"&gt;+31 611352928&lt;/number&gt;</v>
      </c>
      <c r="S258" s="5">
        <f t="shared" si="100"/>
        <v>1</v>
      </c>
      <c r="T258" s="5">
        <f t="shared" si="101"/>
        <v>1</v>
      </c>
      <c r="U258" s="5" t="str">
        <f>CONCATENATE(+Contacts!H258)</f>
        <v>+31 611352928</v>
      </c>
      <c r="V258" t="str">
        <f t="shared" si="102"/>
        <v/>
      </c>
      <c r="W258" s="5">
        <f t="shared" si="103"/>
        <v>1</v>
      </c>
      <c r="X258" s="5">
        <f t="shared" si="104"/>
        <v>1</v>
      </c>
      <c r="Y258" s="5" t="str">
        <f>CONCATENATE(+Contacts!F258)</f>
        <v/>
      </c>
      <c r="Z258" s="2" t="str">
        <f t="shared" si="105"/>
        <v xml:space="preserve">Leliveld, Hanneke   </v>
      </c>
      <c r="AA258" s="2" t="str">
        <f>CONCATENATE(+Contacts!C258)</f>
        <v>Leliveld</v>
      </c>
      <c r="AB258" s="2" t="str">
        <f t="shared" si="106"/>
        <v xml:space="preserve">, </v>
      </c>
      <c r="AC258" s="2" t="str">
        <f>CONCATENATE(+Contacts!A258)</f>
        <v>Hanneke</v>
      </c>
      <c r="AD258" s="3" t="str">
        <f>CONCATENATE(" ",+Contacts!B258)</f>
        <v xml:space="preserve"> </v>
      </c>
      <c r="AE258" s="2" t="str">
        <f t="shared" si="107"/>
        <v xml:space="preserve"> </v>
      </c>
      <c r="AF258" s="3" t="str">
        <f>CONCATENATE(+Contacts!D258)</f>
        <v/>
      </c>
      <c r="AG258" s="2" t="str">
        <f t="shared" si="108"/>
        <v xml:space="preserve"> </v>
      </c>
      <c r="AH258" t="str">
        <f>CONCATENATE(+Contacts!I258)</f>
        <v/>
      </c>
      <c r="AI258">
        <v>1500000010</v>
      </c>
      <c r="AJ258" s="5">
        <f t="shared" si="109"/>
        <v>1</v>
      </c>
    </row>
    <row r="259" spans="1:36" x14ac:dyDescent="0.35">
      <c r="A259" s="7" t="str">
        <f t="shared" ref="A259:A322" si="110">IF(+W259 = 0,"",+D259)</f>
        <v>&lt;contact&gt;&lt;category&gt;0&lt;/category&gt;&lt;person&gt;&lt;realName&gt;Levy, Marina (CMC Metal building systems)&lt;/realName&gt;&lt;/person&gt;</v>
      </c>
      <c r="B259" s="7" t="str">
        <f t="shared" ref="B259:B322" si="111">IF(+W259 = 0,"",+E259)</f>
        <v>&lt;telephony nid="1"&gt;&lt;number id="0" prio="1" type="work"&gt;31638258751&lt;/number&gt;&lt;/telephony&gt;</v>
      </c>
      <c r="C259" s="7" t="str">
        <f t="shared" ref="C259:C322" si="112">IF(+W259 = 0,"",+J259)</f>
        <v>&lt;services /&gt;&lt;setup /&gt;&lt;mod_time&gt;1500000010&lt;/mod_time&gt;&lt;uniqueid&gt;1&lt;/uniqueid&gt;&lt;/contact&gt;</v>
      </c>
      <c r="D259" t="str">
        <f t="shared" ref="D259:D322" si="113">CONCATENATE("&lt;contact&gt;&lt;category&gt;0&lt;/category&gt;&lt;person&gt;&lt;realName&gt;",+Z259,"&lt;/realName&gt;&lt;/person&gt;")</f>
        <v>&lt;contact&gt;&lt;category&gt;0&lt;/category&gt;&lt;person&gt;&lt;realName&gt;Levy, Marina (CMC Metal building systems)&lt;/realName&gt;&lt;/person&gt;</v>
      </c>
      <c r="E259" t="str">
        <f t="shared" ref="E259:E322" si="114">CONCATENATE(+F259,+G259,+N259,+R259,+V259,"&lt;/telephony&gt;")</f>
        <v>&lt;telephony nid="1"&gt;&lt;number id="0" prio="1" type="work"&gt;31638258751&lt;/number&gt;&lt;/telephony&gt;</v>
      </c>
      <c r="F259" t="str">
        <f t="shared" ref="F259:F322" si="115">CONCATENATE("&lt;telephony nid=""",+W259,"""&gt;")</f>
        <v>&lt;telephony nid="1"&gt;</v>
      </c>
      <c r="G259" t="str">
        <f t="shared" ref="G259:G322" si="116">IF(+K259 &gt; 0,+CONCATENATE("&lt;number id=""",+K259-1,""" prio=""",+L259,""" type=""work""&gt;",+M259,"&lt;/number&gt;"),"")</f>
        <v/>
      </c>
      <c r="H259" t="str">
        <f t="shared" ref="H259:H322" si="117">CONCATENATE("&lt;services nid=""1""&gt;&lt;email id=""0"" classifier=""private""&gt;",+AH259,"&lt;/email&gt;&lt;/services&gt;&lt;setup /&gt;&lt;mod_time&gt;",+AI259,"&lt;/mod_time&gt;&lt;uniqueid&gt;",+AJ259,"&lt;/uniqueid&gt;&lt;/contact&gt;")</f>
        <v>&lt;services nid="1"&gt;&lt;email id="0" classifier="private"&gt;&lt;/email&gt;&lt;/services&gt;&lt;setup /&gt;&lt;mod_time&gt;1500000010&lt;/mod_time&gt;&lt;uniqueid&gt;1&lt;/uniqueid&gt;&lt;/contact&gt;</v>
      </c>
      <c r="I259" t="str">
        <f t="shared" ref="I259:I322" si="118">CONCATENATE("&lt;services /&gt;&lt;setup /&gt;&lt;mod_time&gt;",+AI259,"&lt;/mod_time&gt;&lt;uniqueid&gt;",+AJ259,"&lt;/uniqueid&gt;&lt;/contact&gt;")</f>
        <v>&lt;services /&gt;&lt;setup /&gt;&lt;mod_time&gt;1500000010&lt;/mod_time&gt;&lt;uniqueid&gt;1&lt;/uniqueid&gt;&lt;/contact&gt;</v>
      </c>
      <c r="J259" t="str">
        <f t="shared" ref="J259:J322" si="119">+IF(+AH259 = "",+I259,+H259)</f>
        <v>&lt;services /&gt;&lt;setup /&gt;&lt;mod_time&gt;1500000010&lt;/mod_time&gt;&lt;uniqueid&gt;1&lt;/uniqueid&gt;&lt;/contact&gt;</v>
      </c>
      <c r="K259" s="5">
        <f t="shared" ref="K259:K322" si="120">IF(+M259 = "",0,1)</f>
        <v>0</v>
      </c>
      <c r="L259" s="5">
        <f t="shared" ref="L259:L322" si="121">IF(+K259 = 1,1,0)</f>
        <v>0</v>
      </c>
      <c r="M259" s="5" t="str">
        <f>CONCATENATE(+Contacts!E259)</f>
        <v/>
      </c>
      <c r="N259" t="str">
        <f t="shared" ref="N259:N322" si="122">IF(+O259 &gt; +K259,+CONCATENATE("&lt;number id=""",+O259-1,""" prio=""",+P259,""" type=""home""&gt;",+Q259,"&lt;/number&gt;"),"")</f>
        <v/>
      </c>
      <c r="O259" s="5">
        <f t="shared" ref="O259:O322" si="123">IF(+Q259 = "",+K259,+K259+1)</f>
        <v>0</v>
      </c>
      <c r="P259" s="5">
        <f t="shared" ref="P259:P322" si="124">IF(+O259 = 1,1,0)</f>
        <v>0</v>
      </c>
      <c r="Q259" s="5" t="str">
        <f>CONCATENATE(+Contacts!G259)</f>
        <v/>
      </c>
      <c r="R259" t="str">
        <f t="shared" ref="R259:R322" si="125">IF(+S259 &gt; +O259,+CONCATENATE("&lt;number id=""",+S259-1,""" prio=""",+T259,""" type=""mobile""&gt;",+U259,"&lt;/number&gt;"),"")</f>
        <v/>
      </c>
      <c r="S259" s="5">
        <f t="shared" ref="S259:S322" si="126">IF(+U259 = "",+O259,+O259+1)</f>
        <v>0</v>
      </c>
      <c r="T259" s="5">
        <f t="shared" ref="T259:T322" si="127">IF(+S259 = 1,1,0)</f>
        <v>0</v>
      </c>
      <c r="U259" s="5" t="str">
        <f>CONCATENATE(+Contacts!H259)</f>
        <v/>
      </c>
      <c r="V259" t="str">
        <f t="shared" ref="V259:V322" si="128">IF(+W259 &gt; +S259,+CONCATENATE("&lt;number id=""",+W259-1,""" prio=""",+X259,""" type=""work""&gt;",+Y259,"&lt;/number&gt;"),"")</f>
        <v>&lt;number id="0" prio="1" type="work"&gt;31638258751&lt;/number&gt;</v>
      </c>
      <c r="W259" s="5">
        <f t="shared" ref="W259:W322" si="129">IF(+Y259 = "",+S259,+S259+1)</f>
        <v>1</v>
      </c>
      <c r="X259" s="5">
        <f t="shared" ref="X259:X322" si="130">IF(+W259 = 1,1,0)</f>
        <v>1</v>
      </c>
      <c r="Y259" s="5" t="str">
        <f>CONCATENATE(+Contacts!F259)</f>
        <v>31638258751</v>
      </c>
      <c r="Z259" s="2" t="str">
        <f t="shared" ref="Z259:Z322" si="131">CONCATENATE(+AA259,+AB259,+AC259,+AD259,+AE259,+AF259,+AG259)</f>
        <v>Levy, Marina (CMC Metal building systems)</v>
      </c>
      <c r="AA259" s="2" t="str">
        <f>CONCATENATE(+Contacts!C259)</f>
        <v>Levy</v>
      </c>
      <c r="AB259" s="2" t="str">
        <f t="shared" ref="AB259:AB322" si="132">IF(+AC259 = ""," ",", ")</f>
        <v xml:space="preserve">, </v>
      </c>
      <c r="AC259" s="2" t="str">
        <f>CONCATENATE(+Contacts!A259)</f>
        <v>Marina</v>
      </c>
      <c r="AD259" s="3" t="str">
        <f>CONCATENATE(" ",+Contacts!B259)</f>
        <v xml:space="preserve"> </v>
      </c>
      <c r="AE259" s="2" t="str">
        <f t="shared" ref="AE259:AE322" si="133">IF(+AF259 = ""," ","(")</f>
        <v>(</v>
      </c>
      <c r="AF259" s="3" t="str">
        <f>CONCATENATE(+Contacts!D259)</f>
        <v>CMC Metal building systems</v>
      </c>
      <c r="AG259" s="2" t="str">
        <f t="shared" ref="AG259:AG322" si="134">IF(+AF259 = ""," ",")")</f>
        <v>)</v>
      </c>
      <c r="AH259" t="str">
        <f>CONCATENATE(+Contacts!I259)</f>
        <v/>
      </c>
      <c r="AI259">
        <v>1500000010</v>
      </c>
      <c r="AJ259" s="5">
        <f t="shared" ref="AJ259:AJ322" si="135">IF(+W259 = 0,0,1)</f>
        <v>1</v>
      </c>
    </row>
    <row r="260" spans="1:36" x14ac:dyDescent="0.35">
      <c r="A260" s="7" t="str">
        <f t="shared" si="110"/>
        <v>&lt;contact&gt;&lt;category&gt;0&lt;/category&gt;&lt;person&gt;&lt;realName&gt;Levy, Mirjam    &lt;/realName&gt;&lt;/person&gt;</v>
      </c>
      <c r="B260" s="7" t="str">
        <f t="shared" si="111"/>
        <v>&lt;telephony nid="2"&gt;&lt;number id="0" prio="1" type="home"&gt;00 31 6 12 41 31 81&lt;/number&gt;&lt;number id="1" prio="0" type="work"&gt;00 31 6 48 82 30 45&lt;/number&gt;&lt;/telephony&gt;</v>
      </c>
      <c r="C260" s="7" t="str">
        <f t="shared" si="112"/>
        <v>&lt;services nid="1"&gt;&lt;email id="0" classifier="private"&gt;levy.mirjam@gmail.com&lt;/email&gt;&lt;/services&gt;&lt;setup /&gt;&lt;mod_time&gt;1500000010&lt;/mod_time&gt;&lt;uniqueid&gt;1&lt;/uniqueid&gt;&lt;/contact&gt;</v>
      </c>
      <c r="D260" t="str">
        <f t="shared" si="113"/>
        <v>&lt;contact&gt;&lt;category&gt;0&lt;/category&gt;&lt;person&gt;&lt;realName&gt;Levy, Mirjam    &lt;/realName&gt;&lt;/person&gt;</v>
      </c>
      <c r="E260" t="str">
        <f t="shared" si="114"/>
        <v>&lt;telephony nid="2"&gt;&lt;number id="0" prio="1" type="home"&gt;00 31 6 12 41 31 81&lt;/number&gt;&lt;number id="1" prio="0" type="work"&gt;00 31 6 48 82 30 45&lt;/number&gt;&lt;/telephony&gt;</v>
      </c>
      <c r="F260" t="str">
        <f t="shared" si="115"/>
        <v>&lt;telephony nid="2"&gt;</v>
      </c>
      <c r="G260" t="str">
        <f t="shared" si="116"/>
        <v/>
      </c>
      <c r="H260" t="str">
        <f t="shared" si="117"/>
        <v>&lt;services nid="1"&gt;&lt;email id="0" classifier="private"&gt;levy.mirjam@gmail.com&lt;/email&gt;&lt;/services&gt;&lt;setup /&gt;&lt;mod_time&gt;1500000010&lt;/mod_time&gt;&lt;uniqueid&gt;1&lt;/uniqueid&gt;&lt;/contact&gt;</v>
      </c>
      <c r="I260" t="str">
        <f t="shared" si="118"/>
        <v>&lt;services /&gt;&lt;setup /&gt;&lt;mod_time&gt;1500000010&lt;/mod_time&gt;&lt;uniqueid&gt;1&lt;/uniqueid&gt;&lt;/contact&gt;</v>
      </c>
      <c r="J260" t="str">
        <f t="shared" si="119"/>
        <v>&lt;services nid="1"&gt;&lt;email id="0" classifier="private"&gt;levy.mirjam@gmail.com&lt;/email&gt;&lt;/services&gt;&lt;setup /&gt;&lt;mod_time&gt;1500000010&lt;/mod_time&gt;&lt;uniqueid&gt;1&lt;/uniqueid&gt;&lt;/contact&gt;</v>
      </c>
      <c r="K260" s="5">
        <f t="shared" si="120"/>
        <v>0</v>
      </c>
      <c r="L260" s="5">
        <f t="shared" si="121"/>
        <v>0</v>
      </c>
      <c r="M260" s="5" t="str">
        <f>CONCATENATE(+Contacts!E260)</f>
        <v/>
      </c>
      <c r="N260" t="str">
        <f t="shared" si="122"/>
        <v>&lt;number id="0" prio="1" type="home"&gt;00 31 6 12 41 31 81&lt;/number&gt;</v>
      </c>
      <c r="O260" s="5">
        <f t="shared" si="123"/>
        <v>1</v>
      </c>
      <c r="P260" s="5">
        <f t="shared" si="124"/>
        <v>1</v>
      </c>
      <c r="Q260" s="5" t="str">
        <f>CONCATENATE(+Contacts!G260)</f>
        <v>00 31 6 12 41 31 81</v>
      </c>
      <c r="R260" t="str">
        <f t="shared" si="125"/>
        <v/>
      </c>
      <c r="S260" s="5">
        <f t="shared" si="126"/>
        <v>1</v>
      </c>
      <c r="T260" s="5">
        <f t="shared" si="127"/>
        <v>1</v>
      </c>
      <c r="U260" s="5" t="str">
        <f>CONCATENATE(+Contacts!H260)</f>
        <v/>
      </c>
      <c r="V260" t="str">
        <f t="shared" si="128"/>
        <v>&lt;number id="1" prio="0" type="work"&gt;00 31 6 48 82 30 45&lt;/number&gt;</v>
      </c>
      <c r="W260" s="5">
        <f t="shared" si="129"/>
        <v>2</v>
      </c>
      <c r="X260" s="5">
        <f t="shared" si="130"/>
        <v>0</v>
      </c>
      <c r="Y260" s="5" t="str">
        <f>CONCATENATE(+Contacts!F260)</f>
        <v>00 31 6 48 82 30 45</v>
      </c>
      <c r="Z260" s="2" t="str">
        <f t="shared" si="131"/>
        <v xml:space="preserve">Levy, Mirjam    </v>
      </c>
      <c r="AA260" s="2" t="str">
        <f>CONCATENATE(+Contacts!C260)</f>
        <v>Levy</v>
      </c>
      <c r="AB260" s="2" t="str">
        <f t="shared" si="132"/>
        <v xml:space="preserve">, </v>
      </c>
      <c r="AC260" s="2" t="str">
        <f>CONCATENATE(+Contacts!A260)</f>
        <v xml:space="preserve">Mirjam </v>
      </c>
      <c r="AD260" s="3" t="str">
        <f>CONCATENATE(" ",+Contacts!B260)</f>
        <v xml:space="preserve"> </v>
      </c>
      <c r="AE260" s="2" t="str">
        <f t="shared" si="133"/>
        <v xml:space="preserve"> </v>
      </c>
      <c r="AF260" s="3" t="str">
        <f>CONCATENATE(+Contacts!D260)</f>
        <v/>
      </c>
      <c r="AG260" s="2" t="str">
        <f t="shared" si="134"/>
        <v xml:space="preserve"> </v>
      </c>
      <c r="AH260" t="str">
        <f>CONCATENATE(+Contacts!I260)</f>
        <v>levy.mirjam@gmail.com</v>
      </c>
      <c r="AI260">
        <v>1500000010</v>
      </c>
      <c r="AJ260" s="5">
        <f t="shared" si="135"/>
        <v>1</v>
      </c>
    </row>
    <row r="261" spans="1:36" x14ac:dyDescent="0.35">
      <c r="A261" s="7" t="str">
        <f t="shared" si="110"/>
        <v>&lt;contact&gt;&lt;category&gt;0&lt;/category&gt;&lt;person&gt;&lt;realName&gt;Libelle   (Niet Bezorgd)&lt;/realName&gt;&lt;/person&gt;</v>
      </c>
      <c r="B261" s="7" t="str">
        <f t="shared" si="111"/>
        <v>&lt;telephony nid="1"&gt;&lt;number id="0" prio="1" type="home"&gt;(088) 550 01 13&lt;/number&gt;&lt;/telephony&gt;</v>
      </c>
      <c r="C261" s="7" t="str">
        <f t="shared" si="112"/>
        <v>&lt;services /&gt;&lt;setup /&gt;&lt;mod_time&gt;1500000010&lt;/mod_time&gt;&lt;uniqueid&gt;1&lt;/uniqueid&gt;&lt;/contact&gt;</v>
      </c>
      <c r="D261" t="str">
        <f t="shared" si="113"/>
        <v>&lt;contact&gt;&lt;category&gt;0&lt;/category&gt;&lt;person&gt;&lt;realName&gt;Libelle   (Niet Bezorgd)&lt;/realName&gt;&lt;/person&gt;</v>
      </c>
      <c r="E261" t="str">
        <f t="shared" si="114"/>
        <v>&lt;telephony nid="1"&gt;&lt;number id="0" prio="1" type="home"&gt;(088) 550 01 13&lt;/number&gt;&lt;/telephony&gt;</v>
      </c>
      <c r="F261" t="str">
        <f t="shared" si="115"/>
        <v>&lt;telephony nid="1"&gt;</v>
      </c>
      <c r="G261" t="str">
        <f t="shared" si="116"/>
        <v/>
      </c>
      <c r="H261" t="str">
        <f t="shared" si="117"/>
        <v>&lt;services nid="1"&gt;&lt;email id="0" classifier="private"&gt;&lt;/email&gt;&lt;/services&gt;&lt;setup /&gt;&lt;mod_time&gt;1500000010&lt;/mod_time&gt;&lt;uniqueid&gt;1&lt;/uniqueid&gt;&lt;/contact&gt;</v>
      </c>
      <c r="I261" t="str">
        <f t="shared" si="118"/>
        <v>&lt;services /&gt;&lt;setup /&gt;&lt;mod_time&gt;1500000010&lt;/mod_time&gt;&lt;uniqueid&gt;1&lt;/uniqueid&gt;&lt;/contact&gt;</v>
      </c>
      <c r="J261" t="str">
        <f t="shared" si="119"/>
        <v>&lt;services /&gt;&lt;setup /&gt;&lt;mod_time&gt;1500000010&lt;/mod_time&gt;&lt;uniqueid&gt;1&lt;/uniqueid&gt;&lt;/contact&gt;</v>
      </c>
      <c r="K261" s="5">
        <f t="shared" si="120"/>
        <v>0</v>
      </c>
      <c r="L261" s="5">
        <f t="shared" si="121"/>
        <v>0</v>
      </c>
      <c r="M261" s="5" t="str">
        <f>CONCATENATE(+Contacts!E261)</f>
        <v/>
      </c>
      <c r="N261" t="str">
        <f t="shared" si="122"/>
        <v>&lt;number id="0" prio="1" type="home"&gt;(088) 550 01 13&lt;/number&gt;</v>
      </c>
      <c r="O261" s="5">
        <f t="shared" si="123"/>
        <v>1</v>
      </c>
      <c r="P261" s="5">
        <f t="shared" si="124"/>
        <v>1</v>
      </c>
      <c r="Q261" s="5" t="str">
        <f>CONCATENATE(+Contacts!G261)</f>
        <v>(088) 550 01 13</v>
      </c>
      <c r="R261" t="str">
        <f t="shared" si="125"/>
        <v/>
      </c>
      <c r="S261" s="5">
        <f t="shared" si="126"/>
        <v>1</v>
      </c>
      <c r="T261" s="5">
        <f t="shared" si="127"/>
        <v>1</v>
      </c>
      <c r="U261" s="5" t="str">
        <f>CONCATENATE(+Contacts!H261)</f>
        <v/>
      </c>
      <c r="V261" t="str">
        <f t="shared" si="128"/>
        <v/>
      </c>
      <c r="W261" s="5">
        <f t="shared" si="129"/>
        <v>1</v>
      </c>
      <c r="X261" s="5">
        <f t="shared" si="130"/>
        <v>1</v>
      </c>
      <c r="Y261" s="5" t="str">
        <f>CONCATENATE(+Contacts!F261)</f>
        <v/>
      </c>
      <c r="Z261" s="2" t="str">
        <f t="shared" si="131"/>
        <v>Libelle   (Niet Bezorgd)</v>
      </c>
      <c r="AA261" s="2" t="str">
        <f>CONCATENATE(+Contacts!C261)</f>
        <v xml:space="preserve">Libelle </v>
      </c>
      <c r="AB261" s="2" t="str">
        <f t="shared" si="132"/>
        <v xml:space="preserve"> </v>
      </c>
      <c r="AC261" s="2" t="str">
        <f>CONCATENATE(+Contacts!A261)</f>
        <v/>
      </c>
      <c r="AD261" s="3" t="str">
        <f>CONCATENATE(" ",+Contacts!B261)</f>
        <v xml:space="preserve"> </v>
      </c>
      <c r="AE261" s="2" t="str">
        <f t="shared" si="133"/>
        <v>(</v>
      </c>
      <c r="AF261" s="3" t="str">
        <f>CONCATENATE(+Contacts!D261)</f>
        <v>Niet Bezorgd</v>
      </c>
      <c r="AG261" s="2" t="str">
        <f t="shared" si="134"/>
        <v>)</v>
      </c>
      <c r="AH261" t="str">
        <f>CONCATENATE(+Contacts!I261)</f>
        <v/>
      </c>
      <c r="AI261">
        <v>1500000010</v>
      </c>
      <c r="AJ261" s="5">
        <f t="shared" si="135"/>
        <v>1</v>
      </c>
    </row>
    <row r="262" spans="1:36" x14ac:dyDescent="0.35">
      <c r="A262" s="7" t="str">
        <f t="shared" si="110"/>
        <v>&lt;contact&gt;&lt;category&gt;0&lt;/category&gt;&lt;person&gt;&lt;realName&gt;Liefting, Martin   &lt;/realName&gt;&lt;/person&gt;</v>
      </c>
      <c r="B262" s="7" t="str">
        <f t="shared" si="111"/>
        <v>&lt;telephony nid="2"&gt;&lt;number id="0" prio="1" type="mobile"&gt;+31 614 043 653&lt;/number&gt;&lt;number id="1" prio="0" type="work"&gt;+31 652027789&lt;/number&gt;&lt;/telephony&gt;</v>
      </c>
      <c r="C262" s="7" t="str">
        <f t="shared" si="112"/>
        <v>&lt;services nid="1"&gt;&lt;email id="0" classifier="private"&gt;Martin.Liefting@ing.nl&lt;/email&gt;&lt;/services&gt;&lt;setup /&gt;&lt;mod_time&gt;1500000010&lt;/mod_time&gt;&lt;uniqueid&gt;1&lt;/uniqueid&gt;&lt;/contact&gt;</v>
      </c>
      <c r="D262" t="str">
        <f t="shared" si="113"/>
        <v>&lt;contact&gt;&lt;category&gt;0&lt;/category&gt;&lt;person&gt;&lt;realName&gt;Liefting, Martin   &lt;/realName&gt;&lt;/person&gt;</v>
      </c>
      <c r="E262" t="str">
        <f t="shared" si="114"/>
        <v>&lt;telephony nid="2"&gt;&lt;number id="0" prio="1" type="mobile"&gt;+31 614 043 653&lt;/number&gt;&lt;number id="1" prio="0" type="work"&gt;+31 652027789&lt;/number&gt;&lt;/telephony&gt;</v>
      </c>
      <c r="F262" t="str">
        <f t="shared" si="115"/>
        <v>&lt;telephony nid="2"&gt;</v>
      </c>
      <c r="G262" t="str">
        <f t="shared" si="116"/>
        <v/>
      </c>
      <c r="H262" t="str">
        <f t="shared" si="117"/>
        <v>&lt;services nid="1"&gt;&lt;email id="0" classifier="private"&gt;Martin.Liefting@ing.nl&lt;/email&gt;&lt;/services&gt;&lt;setup /&gt;&lt;mod_time&gt;1500000010&lt;/mod_time&gt;&lt;uniqueid&gt;1&lt;/uniqueid&gt;&lt;/contact&gt;</v>
      </c>
      <c r="I262" t="str">
        <f t="shared" si="118"/>
        <v>&lt;services /&gt;&lt;setup /&gt;&lt;mod_time&gt;1500000010&lt;/mod_time&gt;&lt;uniqueid&gt;1&lt;/uniqueid&gt;&lt;/contact&gt;</v>
      </c>
      <c r="J262" t="str">
        <f t="shared" si="119"/>
        <v>&lt;services nid="1"&gt;&lt;email id="0" classifier="private"&gt;Martin.Liefting@ing.nl&lt;/email&gt;&lt;/services&gt;&lt;setup /&gt;&lt;mod_time&gt;1500000010&lt;/mod_time&gt;&lt;uniqueid&gt;1&lt;/uniqueid&gt;&lt;/contact&gt;</v>
      </c>
      <c r="K262" s="5">
        <f t="shared" si="120"/>
        <v>0</v>
      </c>
      <c r="L262" s="5">
        <f t="shared" si="121"/>
        <v>0</v>
      </c>
      <c r="M262" s="5" t="str">
        <f>CONCATENATE(+Contacts!E262)</f>
        <v/>
      </c>
      <c r="N262" t="str">
        <f t="shared" si="122"/>
        <v/>
      </c>
      <c r="O262" s="5">
        <f t="shared" si="123"/>
        <v>0</v>
      </c>
      <c r="P262" s="5">
        <f t="shared" si="124"/>
        <v>0</v>
      </c>
      <c r="Q262" s="5" t="str">
        <f>CONCATENATE(+Contacts!G262)</f>
        <v/>
      </c>
      <c r="R262" t="str">
        <f t="shared" si="125"/>
        <v>&lt;number id="0" prio="1" type="mobile"&gt;+31 614 043 653&lt;/number&gt;</v>
      </c>
      <c r="S262" s="5">
        <f t="shared" si="126"/>
        <v>1</v>
      </c>
      <c r="T262" s="5">
        <f t="shared" si="127"/>
        <v>1</v>
      </c>
      <c r="U262" s="5" t="str">
        <f>CONCATENATE(+Contacts!H262)</f>
        <v>+31 614 043 653</v>
      </c>
      <c r="V262" t="str">
        <f t="shared" si="128"/>
        <v>&lt;number id="1" prio="0" type="work"&gt;+31 652027789&lt;/number&gt;</v>
      </c>
      <c r="W262" s="5">
        <f t="shared" si="129"/>
        <v>2</v>
      </c>
      <c r="X262" s="5">
        <f t="shared" si="130"/>
        <v>0</v>
      </c>
      <c r="Y262" s="5" t="str">
        <f>CONCATENATE(+Contacts!F262)</f>
        <v>+31 652027789</v>
      </c>
      <c r="Z262" s="2" t="str">
        <f t="shared" si="131"/>
        <v xml:space="preserve">Liefting, Martin   </v>
      </c>
      <c r="AA262" s="2" t="str">
        <f>CONCATENATE(+Contacts!C262)</f>
        <v>Liefting</v>
      </c>
      <c r="AB262" s="2" t="str">
        <f t="shared" si="132"/>
        <v xml:space="preserve">, </v>
      </c>
      <c r="AC262" s="2" t="str">
        <f>CONCATENATE(+Contacts!A262)</f>
        <v>Martin</v>
      </c>
      <c r="AD262" s="3" t="str">
        <f>CONCATENATE(" ",+Contacts!B262)</f>
        <v xml:space="preserve"> </v>
      </c>
      <c r="AE262" s="2" t="str">
        <f t="shared" si="133"/>
        <v xml:space="preserve"> </v>
      </c>
      <c r="AF262" s="3" t="str">
        <f>CONCATENATE(+Contacts!D262)</f>
        <v/>
      </c>
      <c r="AG262" s="2" t="str">
        <f t="shared" si="134"/>
        <v xml:space="preserve"> </v>
      </c>
      <c r="AH262" t="str">
        <f>CONCATENATE(+Contacts!I262)</f>
        <v>Martin.Liefting@ing.nl</v>
      </c>
      <c r="AI262">
        <v>1500000010</v>
      </c>
      <c r="AJ262" s="5">
        <f t="shared" si="135"/>
        <v>1</v>
      </c>
    </row>
    <row r="263" spans="1:36" x14ac:dyDescent="0.35">
      <c r="A263" s="7" t="str">
        <f t="shared" si="110"/>
        <v>&lt;contact&gt;&lt;category&gt;0&lt;/category&gt;&lt;person&gt;&lt;realName&gt;Lierop, Irma van  &lt;/realName&gt;&lt;/person&gt;</v>
      </c>
      <c r="B263" s="7" t="str">
        <f t="shared" si="111"/>
        <v>&lt;telephony nid="2"&gt;&lt;number id="0" prio="1" type="home"&gt;+31 104412644&lt;/number&gt;&lt;number id="1" prio="0" type="mobile"&gt;+31 651983082&lt;/number&gt;&lt;/telephony&gt;</v>
      </c>
      <c r="C263" s="7" t="str">
        <f t="shared" si="112"/>
        <v>&lt;services nid="1"&gt;&lt;email id="0" classifier="private"&gt;irma@vanlierop.com&lt;/email&gt;&lt;/services&gt;&lt;setup /&gt;&lt;mod_time&gt;1500000010&lt;/mod_time&gt;&lt;uniqueid&gt;1&lt;/uniqueid&gt;&lt;/contact&gt;</v>
      </c>
      <c r="D263" t="str">
        <f t="shared" si="113"/>
        <v>&lt;contact&gt;&lt;category&gt;0&lt;/category&gt;&lt;person&gt;&lt;realName&gt;Lierop, Irma van  &lt;/realName&gt;&lt;/person&gt;</v>
      </c>
      <c r="E263" t="str">
        <f t="shared" si="114"/>
        <v>&lt;telephony nid="2"&gt;&lt;number id="0" prio="1" type="home"&gt;+31 104412644&lt;/number&gt;&lt;number id="1" prio="0" type="mobile"&gt;+31 651983082&lt;/number&gt;&lt;/telephony&gt;</v>
      </c>
      <c r="F263" t="str">
        <f t="shared" si="115"/>
        <v>&lt;telephony nid="2"&gt;</v>
      </c>
      <c r="G263" t="str">
        <f t="shared" si="116"/>
        <v/>
      </c>
      <c r="H263" t="str">
        <f t="shared" si="117"/>
        <v>&lt;services nid="1"&gt;&lt;email id="0" classifier="private"&gt;irma@vanlierop.com&lt;/email&gt;&lt;/services&gt;&lt;setup /&gt;&lt;mod_time&gt;1500000010&lt;/mod_time&gt;&lt;uniqueid&gt;1&lt;/uniqueid&gt;&lt;/contact&gt;</v>
      </c>
      <c r="I263" t="str">
        <f t="shared" si="118"/>
        <v>&lt;services /&gt;&lt;setup /&gt;&lt;mod_time&gt;1500000010&lt;/mod_time&gt;&lt;uniqueid&gt;1&lt;/uniqueid&gt;&lt;/contact&gt;</v>
      </c>
      <c r="J263" t="str">
        <f t="shared" si="119"/>
        <v>&lt;services nid="1"&gt;&lt;email id="0" classifier="private"&gt;irma@vanlierop.com&lt;/email&gt;&lt;/services&gt;&lt;setup /&gt;&lt;mod_time&gt;1500000010&lt;/mod_time&gt;&lt;uniqueid&gt;1&lt;/uniqueid&gt;&lt;/contact&gt;</v>
      </c>
      <c r="K263" s="5">
        <f t="shared" si="120"/>
        <v>0</v>
      </c>
      <c r="L263" s="5">
        <f t="shared" si="121"/>
        <v>0</v>
      </c>
      <c r="M263" s="5" t="str">
        <f>CONCATENATE(+Contacts!E263)</f>
        <v/>
      </c>
      <c r="N263" t="str">
        <f t="shared" si="122"/>
        <v>&lt;number id="0" prio="1" type="home"&gt;+31 104412644&lt;/number&gt;</v>
      </c>
      <c r="O263" s="5">
        <f t="shared" si="123"/>
        <v>1</v>
      </c>
      <c r="P263" s="5">
        <f t="shared" si="124"/>
        <v>1</v>
      </c>
      <c r="Q263" s="5" t="str">
        <f>CONCATENATE(+Contacts!G263)</f>
        <v>+31 104412644</v>
      </c>
      <c r="R263" t="str">
        <f t="shared" si="125"/>
        <v>&lt;number id="1" prio="0" type="mobile"&gt;+31 651983082&lt;/number&gt;</v>
      </c>
      <c r="S263" s="5">
        <f t="shared" si="126"/>
        <v>2</v>
      </c>
      <c r="T263" s="5">
        <f t="shared" si="127"/>
        <v>0</v>
      </c>
      <c r="U263" s="5" t="str">
        <f>CONCATENATE(+Contacts!H263)</f>
        <v>+31 651983082</v>
      </c>
      <c r="V263" t="str">
        <f t="shared" si="128"/>
        <v/>
      </c>
      <c r="W263" s="5">
        <f t="shared" si="129"/>
        <v>2</v>
      </c>
      <c r="X263" s="5">
        <f t="shared" si="130"/>
        <v>0</v>
      </c>
      <c r="Y263" s="5" t="str">
        <f>CONCATENATE(+Contacts!F263)</f>
        <v/>
      </c>
      <c r="Z263" s="2" t="str">
        <f t="shared" si="131"/>
        <v xml:space="preserve">Lierop, Irma van  </v>
      </c>
      <c r="AA263" s="2" t="str">
        <f>CONCATENATE(+Contacts!C263)</f>
        <v>Lierop</v>
      </c>
      <c r="AB263" s="2" t="str">
        <f t="shared" si="132"/>
        <v xml:space="preserve">, </v>
      </c>
      <c r="AC263" s="2" t="str">
        <f>CONCATENATE(+Contacts!A263)</f>
        <v>Irma</v>
      </c>
      <c r="AD263" s="3" t="str">
        <f>CONCATENATE(" ",+Contacts!B263)</f>
        <v xml:space="preserve"> van</v>
      </c>
      <c r="AE263" s="2" t="str">
        <f t="shared" si="133"/>
        <v xml:space="preserve"> </v>
      </c>
      <c r="AF263" s="3" t="str">
        <f>CONCATENATE(+Contacts!D263)</f>
        <v/>
      </c>
      <c r="AG263" s="2" t="str">
        <f t="shared" si="134"/>
        <v xml:space="preserve"> </v>
      </c>
      <c r="AH263" t="str">
        <f>CONCATENATE(+Contacts!I263)</f>
        <v>irma@vanlierop.com</v>
      </c>
      <c r="AI263">
        <v>1500000010</v>
      </c>
      <c r="AJ263" s="5">
        <f t="shared" si="135"/>
        <v>1</v>
      </c>
    </row>
    <row r="264" spans="1:36" x14ac:dyDescent="0.35">
      <c r="A264" s="7" t="str">
        <f t="shared" si="110"/>
        <v>&lt;contact&gt;&lt;category&gt;0&lt;/category&gt;&lt;person&gt;&lt;realName&gt;Lindeman, Marius   &lt;/realName&gt;&lt;/person&gt;</v>
      </c>
      <c r="B264" s="7" t="str">
        <f t="shared" si="111"/>
        <v>&lt;telephony nid="2"&gt;&lt;number id="0" prio="1" type="home"&gt;+31 104224973&lt;/number&gt;&lt;number id="1" prio="0" type="mobile"&gt;(06) 14 06 47 73&lt;/number&gt;&lt;/telephony&gt;</v>
      </c>
      <c r="C264" s="7" t="str">
        <f t="shared" si="112"/>
        <v>&lt;services /&gt;&lt;setup /&gt;&lt;mod_time&gt;1500000010&lt;/mod_time&gt;&lt;uniqueid&gt;1&lt;/uniqueid&gt;&lt;/contact&gt;</v>
      </c>
      <c r="D264" t="str">
        <f t="shared" si="113"/>
        <v>&lt;contact&gt;&lt;category&gt;0&lt;/category&gt;&lt;person&gt;&lt;realName&gt;Lindeman, Marius   &lt;/realName&gt;&lt;/person&gt;</v>
      </c>
      <c r="E264" t="str">
        <f t="shared" si="114"/>
        <v>&lt;telephony nid="2"&gt;&lt;number id="0" prio="1" type="home"&gt;+31 104224973&lt;/number&gt;&lt;number id="1" prio="0" type="mobile"&gt;(06) 14 06 47 73&lt;/number&gt;&lt;/telephony&gt;</v>
      </c>
      <c r="F264" t="str">
        <f t="shared" si="115"/>
        <v>&lt;telephony nid="2"&gt;</v>
      </c>
      <c r="G264" t="str">
        <f t="shared" si="116"/>
        <v/>
      </c>
      <c r="H264" t="str">
        <f t="shared" si="117"/>
        <v>&lt;services nid="1"&gt;&lt;email id="0" classifier="private"&gt;&lt;/email&gt;&lt;/services&gt;&lt;setup /&gt;&lt;mod_time&gt;1500000010&lt;/mod_time&gt;&lt;uniqueid&gt;1&lt;/uniqueid&gt;&lt;/contact&gt;</v>
      </c>
      <c r="I264" t="str">
        <f t="shared" si="118"/>
        <v>&lt;services /&gt;&lt;setup /&gt;&lt;mod_time&gt;1500000010&lt;/mod_time&gt;&lt;uniqueid&gt;1&lt;/uniqueid&gt;&lt;/contact&gt;</v>
      </c>
      <c r="J264" t="str">
        <f t="shared" si="119"/>
        <v>&lt;services /&gt;&lt;setup /&gt;&lt;mod_time&gt;1500000010&lt;/mod_time&gt;&lt;uniqueid&gt;1&lt;/uniqueid&gt;&lt;/contact&gt;</v>
      </c>
      <c r="K264" s="5">
        <f t="shared" si="120"/>
        <v>0</v>
      </c>
      <c r="L264" s="5">
        <f t="shared" si="121"/>
        <v>0</v>
      </c>
      <c r="M264" s="5" t="str">
        <f>CONCATENATE(+Contacts!E264)</f>
        <v/>
      </c>
      <c r="N264" t="str">
        <f t="shared" si="122"/>
        <v>&lt;number id="0" prio="1" type="home"&gt;+31 104224973&lt;/number&gt;</v>
      </c>
      <c r="O264" s="5">
        <f t="shared" si="123"/>
        <v>1</v>
      </c>
      <c r="P264" s="5">
        <f t="shared" si="124"/>
        <v>1</v>
      </c>
      <c r="Q264" s="5" t="str">
        <f>CONCATENATE(+Contacts!G264)</f>
        <v>+31 104224973</v>
      </c>
      <c r="R264" t="str">
        <f t="shared" si="125"/>
        <v>&lt;number id="1" prio="0" type="mobile"&gt;(06) 14 06 47 73&lt;/number&gt;</v>
      </c>
      <c r="S264" s="5">
        <f t="shared" si="126"/>
        <v>2</v>
      </c>
      <c r="T264" s="5">
        <f t="shared" si="127"/>
        <v>0</v>
      </c>
      <c r="U264" s="5" t="str">
        <f>CONCATENATE(+Contacts!H264)</f>
        <v>(06) 14 06 47 73</v>
      </c>
      <c r="V264" t="str">
        <f t="shared" si="128"/>
        <v/>
      </c>
      <c r="W264" s="5">
        <f t="shared" si="129"/>
        <v>2</v>
      </c>
      <c r="X264" s="5">
        <f t="shared" si="130"/>
        <v>0</v>
      </c>
      <c r="Y264" s="5" t="str">
        <f>CONCATENATE(+Contacts!F264)</f>
        <v/>
      </c>
      <c r="Z264" s="2" t="str">
        <f t="shared" si="131"/>
        <v xml:space="preserve">Lindeman, Marius   </v>
      </c>
      <c r="AA264" s="2" t="str">
        <f>CONCATENATE(+Contacts!C264)</f>
        <v>Lindeman</v>
      </c>
      <c r="AB264" s="2" t="str">
        <f t="shared" si="132"/>
        <v xml:space="preserve">, </v>
      </c>
      <c r="AC264" s="2" t="str">
        <f>CONCATENATE(+Contacts!A264)</f>
        <v>Marius</v>
      </c>
      <c r="AD264" s="3" t="str">
        <f>CONCATENATE(" ",+Contacts!B264)</f>
        <v xml:space="preserve"> </v>
      </c>
      <c r="AE264" s="2" t="str">
        <f t="shared" si="133"/>
        <v xml:space="preserve"> </v>
      </c>
      <c r="AF264" s="3" t="str">
        <f>CONCATENATE(+Contacts!D264)</f>
        <v/>
      </c>
      <c r="AG264" s="2" t="str">
        <f t="shared" si="134"/>
        <v xml:space="preserve"> </v>
      </c>
      <c r="AH264" t="str">
        <f>CONCATENATE(+Contacts!I264)</f>
        <v/>
      </c>
      <c r="AI264">
        <v>1500000010</v>
      </c>
      <c r="AJ264" s="5">
        <f t="shared" si="135"/>
        <v>1</v>
      </c>
    </row>
    <row r="265" spans="1:36" x14ac:dyDescent="0.35">
      <c r="A265" s="7" t="str">
        <f t="shared" si="110"/>
        <v>&lt;contact&gt;&lt;category&gt;0&lt;/category&gt;&lt;person&gt;&lt;realName&gt;Lindenbergh, Sieta   &lt;/realName&gt;&lt;/person&gt;</v>
      </c>
      <c r="B265" s="7" t="str">
        <f t="shared" si="111"/>
        <v>&lt;telephony nid="1"&gt;&lt;number id="0" prio="1" type="home"&gt;+31 6 44 65 20 82&lt;/number&gt;&lt;/telephony&gt;</v>
      </c>
      <c r="C265" s="7" t="str">
        <f t="shared" si="112"/>
        <v>&lt;services nid="1"&gt;&lt;email id="0" classifier="private"&gt;ipadsieta@icloud.com&lt;/email&gt;&lt;/services&gt;&lt;setup /&gt;&lt;mod_time&gt;1500000010&lt;/mod_time&gt;&lt;uniqueid&gt;1&lt;/uniqueid&gt;&lt;/contact&gt;</v>
      </c>
      <c r="D265" t="str">
        <f t="shared" si="113"/>
        <v>&lt;contact&gt;&lt;category&gt;0&lt;/category&gt;&lt;person&gt;&lt;realName&gt;Lindenbergh, Sieta   &lt;/realName&gt;&lt;/person&gt;</v>
      </c>
      <c r="E265" t="str">
        <f t="shared" si="114"/>
        <v>&lt;telephony nid="1"&gt;&lt;number id="0" prio="1" type="home"&gt;+31 6 44 65 20 82&lt;/number&gt;&lt;/telephony&gt;</v>
      </c>
      <c r="F265" t="str">
        <f t="shared" si="115"/>
        <v>&lt;telephony nid="1"&gt;</v>
      </c>
      <c r="G265" t="str">
        <f t="shared" si="116"/>
        <v/>
      </c>
      <c r="H265" t="str">
        <f t="shared" si="117"/>
        <v>&lt;services nid="1"&gt;&lt;email id="0" classifier="private"&gt;ipadsieta@icloud.com&lt;/email&gt;&lt;/services&gt;&lt;setup /&gt;&lt;mod_time&gt;1500000010&lt;/mod_time&gt;&lt;uniqueid&gt;1&lt;/uniqueid&gt;&lt;/contact&gt;</v>
      </c>
      <c r="I265" t="str">
        <f t="shared" si="118"/>
        <v>&lt;services /&gt;&lt;setup /&gt;&lt;mod_time&gt;1500000010&lt;/mod_time&gt;&lt;uniqueid&gt;1&lt;/uniqueid&gt;&lt;/contact&gt;</v>
      </c>
      <c r="J265" t="str">
        <f t="shared" si="119"/>
        <v>&lt;services nid="1"&gt;&lt;email id="0" classifier="private"&gt;ipadsieta@icloud.com&lt;/email&gt;&lt;/services&gt;&lt;setup /&gt;&lt;mod_time&gt;1500000010&lt;/mod_time&gt;&lt;uniqueid&gt;1&lt;/uniqueid&gt;&lt;/contact&gt;</v>
      </c>
      <c r="K265" s="5">
        <f t="shared" si="120"/>
        <v>0</v>
      </c>
      <c r="L265" s="5">
        <f t="shared" si="121"/>
        <v>0</v>
      </c>
      <c r="M265" s="5" t="str">
        <f>CONCATENATE(+Contacts!E265)</f>
        <v/>
      </c>
      <c r="N265" t="str">
        <f t="shared" si="122"/>
        <v>&lt;number id="0" prio="1" type="home"&gt;+31 6 44 65 20 82&lt;/number&gt;</v>
      </c>
      <c r="O265" s="5">
        <f t="shared" si="123"/>
        <v>1</v>
      </c>
      <c r="P265" s="5">
        <f t="shared" si="124"/>
        <v>1</v>
      </c>
      <c r="Q265" s="5" t="str">
        <f>CONCATENATE(+Contacts!G265)</f>
        <v>+31 6 44 65 20 82</v>
      </c>
      <c r="R265" t="str">
        <f t="shared" si="125"/>
        <v/>
      </c>
      <c r="S265" s="5">
        <f t="shared" si="126"/>
        <v>1</v>
      </c>
      <c r="T265" s="5">
        <f t="shared" si="127"/>
        <v>1</v>
      </c>
      <c r="U265" s="5" t="str">
        <f>CONCATENATE(+Contacts!H265)</f>
        <v/>
      </c>
      <c r="V265" t="str">
        <f t="shared" si="128"/>
        <v/>
      </c>
      <c r="W265" s="5">
        <f t="shared" si="129"/>
        <v>1</v>
      </c>
      <c r="X265" s="5">
        <f t="shared" si="130"/>
        <v>1</v>
      </c>
      <c r="Y265" s="5" t="str">
        <f>CONCATENATE(+Contacts!F265)</f>
        <v/>
      </c>
      <c r="Z265" s="2" t="str">
        <f t="shared" si="131"/>
        <v xml:space="preserve">Lindenbergh, Sieta   </v>
      </c>
      <c r="AA265" s="2" t="str">
        <f>CONCATENATE(+Contacts!C265)</f>
        <v>Lindenbergh</v>
      </c>
      <c r="AB265" s="2" t="str">
        <f t="shared" si="132"/>
        <v xml:space="preserve">, </v>
      </c>
      <c r="AC265" s="2" t="str">
        <f>CONCATENATE(+Contacts!A265)</f>
        <v>Sieta</v>
      </c>
      <c r="AD265" s="3" t="str">
        <f>CONCATENATE(" ",+Contacts!B265)</f>
        <v xml:space="preserve"> </v>
      </c>
      <c r="AE265" s="2" t="str">
        <f t="shared" si="133"/>
        <v xml:space="preserve"> </v>
      </c>
      <c r="AF265" s="3" t="str">
        <f>CONCATENATE(+Contacts!D265)</f>
        <v/>
      </c>
      <c r="AG265" s="2" t="str">
        <f t="shared" si="134"/>
        <v xml:space="preserve"> </v>
      </c>
      <c r="AH265" t="str">
        <f>CONCATENATE(+Contacts!I265)</f>
        <v>ipadsieta@icloud.com</v>
      </c>
      <c r="AI265">
        <v>1500000010</v>
      </c>
      <c r="AJ265" s="5">
        <f t="shared" si="135"/>
        <v>1</v>
      </c>
    </row>
    <row r="266" spans="1:36" x14ac:dyDescent="0.35">
      <c r="A266" s="7" t="str">
        <f t="shared" si="110"/>
        <v>&lt;contact&gt;&lt;category&gt;0&lt;/category&gt;&lt;person&gt;&lt;realName&gt;Lindt, Martin van de  &lt;/realName&gt;&lt;/person&gt;</v>
      </c>
      <c r="B266" s="7" t="str">
        <f t="shared" si="111"/>
        <v>&lt;telephony nid="2"&gt;&lt;number id="0" prio="1" type="home"&gt;+31 180314332&lt;/number&gt;&lt;number id="1" prio="0" type="mobile"&gt;+31 622 923 841&lt;/number&gt;&lt;/telephony&gt;</v>
      </c>
      <c r="C266" s="7" t="str">
        <f t="shared" si="112"/>
        <v>&lt;services nid="1"&gt;&lt;email id="0" classifier="private"&gt;m.vandelindt@gmail.com&lt;/email&gt;&lt;/services&gt;&lt;setup /&gt;&lt;mod_time&gt;1500000010&lt;/mod_time&gt;&lt;uniqueid&gt;1&lt;/uniqueid&gt;&lt;/contact&gt;</v>
      </c>
      <c r="D266" t="str">
        <f t="shared" si="113"/>
        <v>&lt;contact&gt;&lt;category&gt;0&lt;/category&gt;&lt;person&gt;&lt;realName&gt;Lindt, Martin van de  &lt;/realName&gt;&lt;/person&gt;</v>
      </c>
      <c r="E266" t="str">
        <f t="shared" si="114"/>
        <v>&lt;telephony nid="2"&gt;&lt;number id="0" prio="1" type="home"&gt;+31 180314332&lt;/number&gt;&lt;number id="1" prio="0" type="mobile"&gt;+31 622 923 841&lt;/number&gt;&lt;/telephony&gt;</v>
      </c>
      <c r="F266" t="str">
        <f t="shared" si="115"/>
        <v>&lt;telephony nid="2"&gt;</v>
      </c>
      <c r="G266" t="str">
        <f t="shared" si="116"/>
        <v/>
      </c>
      <c r="H266" t="str">
        <f t="shared" si="117"/>
        <v>&lt;services nid="1"&gt;&lt;email id="0" classifier="private"&gt;m.vandelindt@gmail.com&lt;/email&gt;&lt;/services&gt;&lt;setup /&gt;&lt;mod_time&gt;1500000010&lt;/mod_time&gt;&lt;uniqueid&gt;1&lt;/uniqueid&gt;&lt;/contact&gt;</v>
      </c>
      <c r="I266" t="str">
        <f t="shared" si="118"/>
        <v>&lt;services /&gt;&lt;setup /&gt;&lt;mod_time&gt;1500000010&lt;/mod_time&gt;&lt;uniqueid&gt;1&lt;/uniqueid&gt;&lt;/contact&gt;</v>
      </c>
      <c r="J266" t="str">
        <f t="shared" si="119"/>
        <v>&lt;services nid="1"&gt;&lt;email id="0" classifier="private"&gt;m.vandelindt@gmail.com&lt;/email&gt;&lt;/services&gt;&lt;setup /&gt;&lt;mod_time&gt;1500000010&lt;/mod_time&gt;&lt;uniqueid&gt;1&lt;/uniqueid&gt;&lt;/contact&gt;</v>
      </c>
      <c r="K266" s="5">
        <f t="shared" si="120"/>
        <v>0</v>
      </c>
      <c r="L266" s="5">
        <f t="shared" si="121"/>
        <v>0</v>
      </c>
      <c r="M266" s="5" t="str">
        <f>CONCATENATE(+Contacts!E266)</f>
        <v/>
      </c>
      <c r="N266" t="str">
        <f t="shared" si="122"/>
        <v>&lt;number id="0" prio="1" type="home"&gt;+31 180314332&lt;/number&gt;</v>
      </c>
      <c r="O266" s="5">
        <f t="shared" si="123"/>
        <v>1</v>
      </c>
      <c r="P266" s="5">
        <f t="shared" si="124"/>
        <v>1</v>
      </c>
      <c r="Q266" s="5" t="str">
        <f>CONCATENATE(+Contacts!G266)</f>
        <v>+31 180314332</v>
      </c>
      <c r="R266" t="str">
        <f t="shared" si="125"/>
        <v>&lt;number id="1" prio="0" type="mobile"&gt;+31 622 923 841&lt;/number&gt;</v>
      </c>
      <c r="S266" s="5">
        <f t="shared" si="126"/>
        <v>2</v>
      </c>
      <c r="T266" s="5">
        <f t="shared" si="127"/>
        <v>0</v>
      </c>
      <c r="U266" s="5" t="str">
        <f>CONCATENATE(+Contacts!H266)</f>
        <v>+31 622 923 841</v>
      </c>
      <c r="V266" t="str">
        <f t="shared" si="128"/>
        <v/>
      </c>
      <c r="W266" s="5">
        <f t="shared" si="129"/>
        <v>2</v>
      </c>
      <c r="X266" s="5">
        <f t="shared" si="130"/>
        <v>0</v>
      </c>
      <c r="Y266" s="5" t="str">
        <f>CONCATENATE(+Contacts!F266)</f>
        <v/>
      </c>
      <c r="Z266" s="2" t="str">
        <f t="shared" si="131"/>
        <v xml:space="preserve">Lindt, Martin van de  </v>
      </c>
      <c r="AA266" s="2" t="str">
        <f>CONCATENATE(+Contacts!C266)</f>
        <v>Lindt</v>
      </c>
      <c r="AB266" s="2" t="str">
        <f t="shared" si="132"/>
        <v xml:space="preserve">, </v>
      </c>
      <c r="AC266" s="2" t="str">
        <f>CONCATENATE(+Contacts!A266)</f>
        <v>Martin</v>
      </c>
      <c r="AD266" s="3" t="str">
        <f>CONCATENATE(" ",+Contacts!B266)</f>
        <v xml:space="preserve"> van de</v>
      </c>
      <c r="AE266" s="2" t="str">
        <f t="shared" si="133"/>
        <v xml:space="preserve"> </v>
      </c>
      <c r="AF266" s="3" t="str">
        <f>CONCATENATE(+Contacts!D266)</f>
        <v/>
      </c>
      <c r="AG266" s="2" t="str">
        <f t="shared" si="134"/>
        <v xml:space="preserve"> </v>
      </c>
      <c r="AH266" t="str">
        <f>CONCATENATE(+Contacts!I266)</f>
        <v>m.vandelindt@gmail.com</v>
      </c>
      <c r="AI266">
        <v>1500000010</v>
      </c>
      <c r="AJ266" s="5">
        <f t="shared" si="135"/>
        <v>1</v>
      </c>
    </row>
    <row r="267" spans="1:36" x14ac:dyDescent="0.35">
      <c r="A267" s="7" t="str">
        <f t="shared" si="110"/>
        <v>&lt;contact&gt;&lt;category&gt;0&lt;/category&gt;&lt;person&gt;&lt;realName&gt;Lips, Hans   &lt;/realName&gt;&lt;/person&gt;</v>
      </c>
      <c r="B267" s="7" t="str">
        <f t="shared" si="111"/>
        <v>&lt;telephony nid="1"&gt;&lt;number id="0" prio="1" type="work"&gt;(010) 258 32 44&lt;/number&gt;&lt;/telephony&gt;</v>
      </c>
      <c r="C267" s="7" t="str">
        <f t="shared" si="112"/>
        <v>&lt;services nid="1"&gt;&lt;email id="0" classifier="private"&gt;HLips@ysl.nl&lt;/email&gt;&lt;/services&gt;&lt;setup /&gt;&lt;mod_time&gt;1500000010&lt;/mod_time&gt;&lt;uniqueid&gt;1&lt;/uniqueid&gt;&lt;/contact&gt;</v>
      </c>
      <c r="D267" t="str">
        <f t="shared" si="113"/>
        <v>&lt;contact&gt;&lt;category&gt;0&lt;/category&gt;&lt;person&gt;&lt;realName&gt;Lips, Hans   &lt;/realName&gt;&lt;/person&gt;</v>
      </c>
      <c r="E267" t="str">
        <f t="shared" si="114"/>
        <v>&lt;telephony nid="1"&gt;&lt;number id="0" prio="1" type="work"&gt;(010) 258 32 44&lt;/number&gt;&lt;/telephony&gt;</v>
      </c>
      <c r="F267" t="str">
        <f t="shared" si="115"/>
        <v>&lt;telephony nid="1"&gt;</v>
      </c>
      <c r="G267" t="str">
        <f t="shared" si="116"/>
        <v/>
      </c>
      <c r="H267" t="str">
        <f t="shared" si="117"/>
        <v>&lt;services nid="1"&gt;&lt;email id="0" classifier="private"&gt;HLips@ysl.nl&lt;/email&gt;&lt;/services&gt;&lt;setup /&gt;&lt;mod_time&gt;1500000010&lt;/mod_time&gt;&lt;uniqueid&gt;1&lt;/uniqueid&gt;&lt;/contact&gt;</v>
      </c>
      <c r="I267" t="str">
        <f t="shared" si="118"/>
        <v>&lt;services /&gt;&lt;setup /&gt;&lt;mod_time&gt;1500000010&lt;/mod_time&gt;&lt;uniqueid&gt;1&lt;/uniqueid&gt;&lt;/contact&gt;</v>
      </c>
      <c r="J267" t="str">
        <f t="shared" si="119"/>
        <v>&lt;services nid="1"&gt;&lt;email id="0" classifier="private"&gt;HLips@ysl.nl&lt;/email&gt;&lt;/services&gt;&lt;setup /&gt;&lt;mod_time&gt;1500000010&lt;/mod_time&gt;&lt;uniqueid&gt;1&lt;/uniqueid&gt;&lt;/contact&gt;</v>
      </c>
      <c r="K267" s="5">
        <f t="shared" si="120"/>
        <v>0</v>
      </c>
      <c r="L267" s="5">
        <f t="shared" si="121"/>
        <v>0</v>
      </c>
      <c r="M267" s="5" t="str">
        <f>CONCATENATE(+Contacts!E267)</f>
        <v/>
      </c>
      <c r="N267" t="str">
        <f t="shared" si="122"/>
        <v/>
      </c>
      <c r="O267" s="5">
        <f t="shared" si="123"/>
        <v>0</v>
      </c>
      <c r="P267" s="5">
        <f t="shared" si="124"/>
        <v>0</v>
      </c>
      <c r="Q267" s="5" t="str">
        <f>CONCATENATE(+Contacts!G267)</f>
        <v/>
      </c>
      <c r="R267" t="str">
        <f t="shared" si="125"/>
        <v/>
      </c>
      <c r="S267" s="5">
        <f t="shared" si="126"/>
        <v>0</v>
      </c>
      <c r="T267" s="5">
        <f t="shared" si="127"/>
        <v>0</v>
      </c>
      <c r="U267" s="5" t="str">
        <f>CONCATENATE(+Contacts!H267)</f>
        <v/>
      </c>
      <c r="V267" t="str">
        <f t="shared" si="128"/>
        <v>&lt;number id="0" prio="1" type="work"&gt;(010) 258 32 44&lt;/number&gt;</v>
      </c>
      <c r="W267" s="5">
        <f t="shared" si="129"/>
        <v>1</v>
      </c>
      <c r="X267" s="5">
        <f t="shared" si="130"/>
        <v>1</v>
      </c>
      <c r="Y267" s="5" t="str">
        <f>CONCATENATE(+Contacts!F267)</f>
        <v>(010) 258 32 44</v>
      </c>
      <c r="Z267" s="2" t="str">
        <f t="shared" si="131"/>
        <v xml:space="preserve">Lips, Hans   </v>
      </c>
      <c r="AA267" s="2" t="str">
        <f>CONCATENATE(+Contacts!C267)</f>
        <v>Lips</v>
      </c>
      <c r="AB267" s="2" t="str">
        <f t="shared" si="132"/>
        <v xml:space="preserve">, </v>
      </c>
      <c r="AC267" s="2" t="str">
        <f>CONCATENATE(+Contacts!A267)</f>
        <v>Hans</v>
      </c>
      <c r="AD267" s="3" t="str">
        <f>CONCATENATE(" ",+Contacts!B267)</f>
        <v xml:space="preserve"> </v>
      </c>
      <c r="AE267" s="2" t="str">
        <f t="shared" si="133"/>
        <v xml:space="preserve"> </v>
      </c>
      <c r="AF267" s="3" t="str">
        <f>CONCATENATE(+Contacts!D267)</f>
        <v/>
      </c>
      <c r="AG267" s="2" t="str">
        <f t="shared" si="134"/>
        <v xml:space="preserve"> </v>
      </c>
      <c r="AH267" t="str">
        <f>CONCATENATE(+Contacts!I267)</f>
        <v>HLips@ysl.nl</v>
      </c>
      <c r="AI267">
        <v>1500000010</v>
      </c>
      <c r="AJ267" s="5">
        <f t="shared" si="135"/>
        <v>1</v>
      </c>
    </row>
    <row r="268" spans="1:36" x14ac:dyDescent="0.35">
      <c r="A268" s="7" t="str">
        <f t="shared" si="110"/>
        <v>&lt;contact&gt;&lt;category&gt;0&lt;/category&gt;&lt;person&gt;&lt;realName&gt;KIAN  (Loodgieter)&lt;/realName&gt;&lt;/person&gt;</v>
      </c>
      <c r="B268" s="7" t="str">
        <f t="shared" si="111"/>
        <v>&lt;telephony nid="1"&gt;&lt;number id="0" prio="1" type="work"&gt;+31 182374247&lt;/number&gt;&lt;/telephony&gt;</v>
      </c>
      <c r="C268" s="7" t="str">
        <f t="shared" si="112"/>
        <v>&lt;services nid="1"&gt;&lt;email id="0" classifier="private"&gt;KittyAndre@Hetnet.nl&lt;/email&gt;&lt;/services&gt;&lt;setup /&gt;&lt;mod_time&gt;1500000010&lt;/mod_time&gt;&lt;uniqueid&gt;1&lt;/uniqueid&gt;&lt;/contact&gt;</v>
      </c>
      <c r="D268" t="str">
        <f t="shared" si="113"/>
        <v>&lt;contact&gt;&lt;category&gt;0&lt;/category&gt;&lt;person&gt;&lt;realName&gt;KIAN  (Loodgieter)&lt;/realName&gt;&lt;/person&gt;</v>
      </c>
      <c r="E268" t="str">
        <f t="shared" si="114"/>
        <v>&lt;telephony nid="1"&gt;&lt;number id="0" prio="1" type="work"&gt;+31 182374247&lt;/number&gt;&lt;/telephony&gt;</v>
      </c>
      <c r="F268" t="str">
        <f t="shared" si="115"/>
        <v>&lt;telephony nid="1"&gt;</v>
      </c>
      <c r="G268" t="str">
        <f t="shared" si="116"/>
        <v>&lt;number id="0" prio="1" type="work"&gt;+31 182374247&lt;/number&gt;</v>
      </c>
      <c r="H268" t="str">
        <f t="shared" si="117"/>
        <v>&lt;services nid="1"&gt;&lt;email id="0" classifier="private"&gt;KittyAndre@Hetnet.nl&lt;/email&gt;&lt;/services&gt;&lt;setup /&gt;&lt;mod_time&gt;1500000010&lt;/mod_time&gt;&lt;uniqueid&gt;1&lt;/uniqueid&gt;&lt;/contact&gt;</v>
      </c>
      <c r="I268" t="str">
        <f t="shared" si="118"/>
        <v>&lt;services /&gt;&lt;setup /&gt;&lt;mod_time&gt;1500000010&lt;/mod_time&gt;&lt;uniqueid&gt;1&lt;/uniqueid&gt;&lt;/contact&gt;</v>
      </c>
      <c r="J268" t="str">
        <f t="shared" si="119"/>
        <v>&lt;services nid="1"&gt;&lt;email id="0" classifier="private"&gt;KittyAndre@Hetnet.nl&lt;/email&gt;&lt;/services&gt;&lt;setup /&gt;&lt;mod_time&gt;1500000010&lt;/mod_time&gt;&lt;uniqueid&gt;1&lt;/uniqueid&gt;&lt;/contact&gt;</v>
      </c>
      <c r="K268" s="5">
        <f t="shared" si="120"/>
        <v>1</v>
      </c>
      <c r="L268" s="5">
        <f t="shared" si="121"/>
        <v>1</v>
      </c>
      <c r="M268" s="5" t="str">
        <f>CONCATENATE(+Contacts!E268)</f>
        <v>+31 182374247</v>
      </c>
      <c r="N268" t="str">
        <f t="shared" si="122"/>
        <v/>
      </c>
      <c r="O268" s="5">
        <f t="shared" si="123"/>
        <v>1</v>
      </c>
      <c r="P268" s="5">
        <f t="shared" si="124"/>
        <v>1</v>
      </c>
      <c r="Q268" s="5" t="str">
        <f>CONCATENATE(+Contacts!G268)</f>
        <v/>
      </c>
      <c r="R268" t="str">
        <f t="shared" si="125"/>
        <v/>
      </c>
      <c r="S268" s="5">
        <f t="shared" si="126"/>
        <v>1</v>
      </c>
      <c r="T268" s="5">
        <f t="shared" si="127"/>
        <v>1</v>
      </c>
      <c r="U268" s="5" t="str">
        <f>CONCATENATE(+Contacts!H268)</f>
        <v/>
      </c>
      <c r="V268" t="str">
        <f t="shared" si="128"/>
        <v/>
      </c>
      <c r="W268" s="5">
        <f t="shared" si="129"/>
        <v>1</v>
      </c>
      <c r="X268" s="5">
        <f t="shared" si="130"/>
        <v>1</v>
      </c>
      <c r="Y268" s="5" t="str">
        <f>CONCATENATE(+Contacts!F268)</f>
        <v/>
      </c>
      <c r="Z268" s="2" t="str">
        <f t="shared" si="131"/>
        <v>KIAN  (Loodgieter)</v>
      </c>
      <c r="AA268" s="2" t="str">
        <f>CONCATENATE(+Contacts!C268)</f>
        <v>KIAN</v>
      </c>
      <c r="AB268" s="2" t="str">
        <f t="shared" si="132"/>
        <v xml:space="preserve"> </v>
      </c>
      <c r="AC268" s="2" t="str">
        <f>CONCATENATE(+Contacts!A268)</f>
        <v/>
      </c>
      <c r="AD268" s="3" t="str">
        <f>CONCATENATE(" ",+Contacts!B268)</f>
        <v xml:space="preserve"> </v>
      </c>
      <c r="AE268" s="2" t="str">
        <f t="shared" si="133"/>
        <v>(</v>
      </c>
      <c r="AF268" s="3" t="str">
        <f>CONCATENATE(+Contacts!D268)</f>
        <v>Loodgieter</v>
      </c>
      <c r="AG268" s="2" t="str">
        <f t="shared" si="134"/>
        <v>)</v>
      </c>
      <c r="AH268" t="str">
        <f>CONCATENATE(+Contacts!I268)</f>
        <v>KittyAndre@Hetnet.nl</v>
      </c>
      <c r="AI268">
        <v>1500000010</v>
      </c>
      <c r="AJ268" s="5">
        <f t="shared" si="135"/>
        <v>1</v>
      </c>
    </row>
    <row r="269" spans="1:36" x14ac:dyDescent="0.35">
      <c r="A269" s="7" t="str">
        <f t="shared" si="110"/>
        <v>&lt;contact&gt;&lt;category&gt;0&lt;/category&gt;&lt;person&gt;&lt;realName&gt;Looije, Ad   &lt;/realName&gt;&lt;/person&gt;</v>
      </c>
      <c r="B269" s="7" t="str">
        <f t="shared" si="111"/>
        <v>&lt;telephony nid="1"&gt;&lt;number id="0" prio="1" type="mobile"&gt;+31 616680736&lt;/number&gt;&lt;/telephony&gt;</v>
      </c>
      <c r="C269" s="7" t="str">
        <f t="shared" si="112"/>
        <v>&lt;services nid="1"&gt;&lt;email id="0" classifier="private"&gt;alooije@Melanchthon.nl&lt;/email&gt;&lt;/services&gt;&lt;setup /&gt;&lt;mod_time&gt;1500000010&lt;/mod_time&gt;&lt;uniqueid&gt;1&lt;/uniqueid&gt;&lt;/contact&gt;</v>
      </c>
      <c r="D269" t="str">
        <f t="shared" si="113"/>
        <v>&lt;contact&gt;&lt;category&gt;0&lt;/category&gt;&lt;person&gt;&lt;realName&gt;Looije, Ad   &lt;/realName&gt;&lt;/person&gt;</v>
      </c>
      <c r="E269" t="str">
        <f t="shared" si="114"/>
        <v>&lt;telephony nid="1"&gt;&lt;number id="0" prio="1" type="mobile"&gt;+31 616680736&lt;/number&gt;&lt;/telephony&gt;</v>
      </c>
      <c r="F269" t="str">
        <f t="shared" si="115"/>
        <v>&lt;telephony nid="1"&gt;</v>
      </c>
      <c r="G269" t="str">
        <f t="shared" si="116"/>
        <v/>
      </c>
      <c r="H269" t="str">
        <f t="shared" si="117"/>
        <v>&lt;services nid="1"&gt;&lt;email id="0" classifier="private"&gt;alooije@Melanchthon.nl&lt;/email&gt;&lt;/services&gt;&lt;setup /&gt;&lt;mod_time&gt;1500000010&lt;/mod_time&gt;&lt;uniqueid&gt;1&lt;/uniqueid&gt;&lt;/contact&gt;</v>
      </c>
      <c r="I269" t="str">
        <f t="shared" si="118"/>
        <v>&lt;services /&gt;&lt;setup /&gt;&lt;mod_time&gt;1500000010&lt;/mod_time&gt;&lt;uniqueid&gt;1&lt;/uniqueid&gt;&lt;/contact&gt;</v>
      </c>
      <c r="J269" t="str">
        <f t="shared" si="119"/>
        <v>&lt;services nid="1"&gt;&lt;email id="0" classifier="private"&gt;alooije@Melanchthon.nl&lt;/email&gt;&lt;/services&gt;&lt;setup /&gt;&lt;mod_time&gt;1500000010&lt;/mod_time&gt;&lt;uniqueid&gt;1&lt;/uniqueid&gt;&lt;/contact&gt;</v>
      </c>
      <c r="K269" s="5">
        <f t="shared" si="120"/>
        <v>0</v>
      </c>
      <c r="L269" s="5">
        <f t="shared" si="121"/>
        <v>0</v>
      </c>
      <c r="M269" s="5" t="str">
        <f>CONCATENATE(+Contacts!E269)</f>
        <v/>
      </c>
      <c r="N269" t="str">
        <f t="shared" si="122"/>
        <v/>
      </c>
      <c r="O269" s="5">
        <f t="shared" si="123"/>
        <v>0</v>
      </c>
      <c r="P269" s="5">
        <f t="shared" si="124"/>
        <v>0</v>
      </c>
      <c r="Q269" s="5" t="str">
        <f>CONCATENATE(+Contacts!G269)</f>
        <v/>
      </c>
      <c r="R269" t="str">
        <f t="shared" si="125"/>
        <v>&lt;number id="0" prio="1" type="mobile"&gt;+31 616680736&lt;/number&gt;</v>
      </c>
      <c r="S269" s="5">
        <f t="shared" si="126"/>
        <v>1</v>
      </c>
      <c r="T269" s="5">
        <f t="shared" si="127"/>
        <v>1</v>
      </c>
      <c r="U269" s="5" t="str">
        <f>CONCATENATE(+Contacts!H269)</f>
        <v>+31 616680736</v>
      </c>
      <c r="V269" t="str">
        <f t="shared" si="128"/>
        <v/>
      </c>
      <c r="W269" s="5">
        <f t="shared" si="129"/>
        <v>1</v>
      </c>
      <c r="X269" s="5">
        <f t="shared" si="130"/>
        <v>1</v>
      </c>
      <c r="Y269" s="5" t="str">
        <f>CONCATENATE(+Contacts!F269)</f>
        <v/>
      </c>
      <c r="Z269" s="2" t="str">
        <f t="shared" si="131"/>
        <v xml:space="preserve">Looije, Ad   </v>
      </c>
      <c r="AA269" s="2" t="str">
        <f>CONCATENATE(+Contacts!C269)</f>
        <v>Looije</v>
      </c>
      <c r="AB269" s="2" t="str">
        <f t="shared" si="132"/>
        <v xml:space="preserve">, </v>
      </c>
      <c r="AC269" s="2" t="str">
        <f>CONCATENATE(+Contacts!A269)</f>
        <v>Ad</v>
      </c>
      <c r="AD269" s="3" t="str">
        <f>CONCATENATE(" ",+Contacts!B269)</f>
        <v xml:space="preserve"> </v>
      </c>
      <c r="AE269" s="2" t="str">
        <f t="shared" si="133"/>
        <v xml:space="preserve"> </v>
      </c>
      <c r="AF269" s="3" t="str">
        <f>CONCATENATE(+Contacts!D269)</f>
        <v/>
      </c>
      <c r="AG269" s="2" t="str">
        <f t="shared" si="134"/>
        <v xml:space="preserve"> </v>
      </c>
      <c r="AH269" t="str">
        <f>CONCATENATE(+Contacts!I269)</f>
        <v>alooije@Melanchthon.nl</v>
      </c>
      <c r="AI269">
        <v>1500000010</v>
      </c>
      <c r="AJ269" s="5">
        <f t="shared" si="135"/>
        <v>1</v>
      </c>
    </row>
    <row r="270" spans="1:36" x14ac:dyDescent="0.35">
      <c r="A270" s="7" t="str">
        <f t="shared" si="110"/>
        <v>&lt;contact&gt;&lt;category&gt;0&lt;/category&gt;&lt;person&gt;&lt;realName&gt;Looijen, Ton &amp;amp; Nel van  &lt;/realName&gt;&lt;/person&gt;</v>
      </c>
      <c r="B270" s="7" t="str">
        <f t="shared" si="111"/>
        <v>&lt;telephony nid="2"&gt;&lt;number id="0" prio="1" type="home"&gt;+31 229245019&lt;/number&gt;&lt;number id="1" prio="0" type="mobile"&gt;+31 6522630894&lt;/number&gt;&lt;/telephony&gt;</v>
      </c>
      <c r="C270" s="7" t="str">
        <f t="shared" si="112"/>
        <v>&lt;services nid="1"&gt;&lt;email id="0" classifier="private"&gt;ton.van.Looijen@gmail.com&lt;/email&gt;&lt;/services&gt;&lt;setup /&gt;&lt;mod_time&gt;1500000010&lt;/mod_time&gt;&lt;uniqueid&gt;1&lt;/uniqueid&gt;&lt;/contact&gt;</v>
      </c>
      <c r="D270" t="str">
        <f t="shared" si="113"/>
        <v>&lt;contact&gt;&lt;category&gt;0&lt;/category&gt;&lt;person&gt;&lt;realName&gt;Looijen, Ton &amp;amp; Nel van  &lt;/realName&gt;&lt;/person&gt;</v>
      </c>
      <c r="E270" t="str">
        <f t="shared" si="114"/>
        <v>&lt;telephony nid="2"&gt;&lt;number id="0" prio="1" type="home"&gt;+31 229245019&lt;/number&gt;&lt;number id="1" prio="0" type="mobile"&gt;+31 6522630894&lt;/number&gt;&lt;/telephony&gt;</v>
      </c>
      <c r="F270" t="str">
        <f t="shared" si="115"/>
        <v>&lt;telephony nid="2"&gt;</v>
      </c>
      <c r="G270" t="str">
        <f t="shared" si="116"/>
        <v/>
      </c>
      <c r="H270" t="str">
        <f t="shared" si="117"/>
        <v>&lt;services nid="1"&gt;&lt;email id="0" classifier="private"&gt;ton.van.Looijen@gmail.com&lt;/email&gt;&lt;/services&gt;&lt;setup /&gt;&lt;mod_time&gt;1500000010&lt;/mod_time&gt;&lt;uniqueid&gt;1&lt;/uniqueid&gt;&lt;/contact&gt;</v>
      </c>
      <c r="I270" t="str">
        <f t="shared" si="118"/>
        <v>&lt;services /&gt;&lt;setup /&gt;&lt;mod_time&gt;1500000010&lt;/mod_time&gt;&lt;uniqueid&gt;1&lt;/uniqueid&gt;&lt;/contact&gt;</v>
      </c>
      <c r="J270" t="str">
        <f t="shared" si="119"/>
        <v>&lt;services nid="1"&gt;&lt;email id="0" classifier="private"&gt;ton.van.Looijen@gmail.com&lt;/email&gt;&lt;/services&gt;&lt;setup /&gt;&lt;mod_time&gt;1500000010&lt;/mod_time&gt;&lt;uniqueid&gt;1&lt;/uniqueid&gt;&lt;/contact&gt;</v>
      </c>
      <c r="K270" s="5">
        <f t="shared" si="120"/>
        <v>0</v>
      </c>
      <c r="L270" s="5">
        <f t="shared" si="121"/>
        <v>0</v>
      </c>
      <c r="M270" s="5" t="str">
        <f>CONCATENATE(+Contacts!E270)</f>
        <v/>
      </c>
      <c r="N270" t="str">
        <f t="shared" si="122"/>
        <v>&lt;number id="0" prio="1" type="home"&gt;+31 229245019&lt;/number&gt;</v>
      </c>
      <c r="O270" s="5">
        <f t="shared" si="123"/>
        <v>1</v>
      </c>
      <c r="P270" s="5">
        <f t="shared" si="124"/>
        <v>1</v>
      </c>
      <c r="Q270" s="5" t="str">
        <f>CONCATENATE(+Contacts!G270)</f>
        <v>+31 229245019</v>
      </c>
      <c r="R270" t="str">
        <f t="shared" si="125"/>
        <v>&lt;number id="1" prio="0" type="mobile"&gt;+31 6522630894&lt;/number&gt;</v>
      </c>
      <c r="S270" s="5">
        <f t="shared" si="126"/>
        <v>2</v>
      </c>
      <c r="T270" s="5">
        <f t="shared" si="127"/>
        <v>0</v>
      </c>
      <c r="U270" s="5" t="str">
        <f>CONCATENATE(+Contacts!H270)</f>
        <v>+31 6522630894</v>
      </c>
      <c r="V270" t="str">
        <f t="shared" si="128"/>
        <v/>
      </c>
      <c r="W270" s="5">
        <f t="shared" si="129"/>
        <v>2</v>
      </c>
      <c r="X270" s="5">
        <f t="shared" si="130"/>
        <v>0</v>
      </c>
      <c r="Y270" s="5" t="str">
        <f>CONCATENATE(+Contacts!F270)</f>
        <v/>
      </c>
      <c r="Z270" s="2" t="str">
        <f t="shared" si="131"/>
        <v xml:space="preserve">Looijen, Ton &amp;amp; Nel van  </v>
      </c>
      <c r="AA270" s="2" t="str">
        <f>CONCATENATE(+Contacts!C270)</f>
        <v>Looijen</v>
      </c>
      <c r="AB270" s="2" t="str">
        <f t="shared" si="132"/>
        <v xml:space="preserve">, </v>
      </c>
      <c r="AC270" s="2" t="str">
        <f>CONCATENATE(+Contacts!A270)</f>
        <v>Ton &amp;amp; Nel</v>
      </c>
      <c r="AD270" s="3" t="str">
        <f>CONCATENATE(" ",+Contacts!B270)</f>
        <v xml:space="preserve"> van</v>
      </c>
      <c r="AE270" s="2" t="str">
        <f t="shared" si="133"/>
        <v xml:space="preserve"> </v>
      </c>
      <c r="AF270" s="3" t="str">
        <f>CONCATENATE(+Contacts!D270)</f>
        <v/>
      </c>
      <c r="AG270" s="2" t="str">
        <f t="shared" si="134"/>
        <v xml:space="preserve"> </v>
      </c>
      <c r="AH270" t="str">
        <f>CONCATENATE(+Contacts!I270)</f>
        <v>ton.van.Looijen@gmail.com</v>
      </c>
      <c r="AI270">
        <v>1500000010</v>
      </c>
      <c r="AJ270" s="5">
        <f t="shared" si="135"/>
        <v>1</v>
      </c>
    </row>
    <row r="271" spans="1:36" x14ac:dyDescent="0.35">
      <c r="A271" s="7" t="str">
        <f t="shared" si="110"/>
        <v>&lt;contact&gt;&lt;category&gt;0&lt;/category&gt;&lt;person&gt;&lt;realName&gt;Looyenstein, Patrick (Elektricien)&lt;/realName&gt;&lt;/person&gt;</v>
      </c>
      <c r="B271" s="7" t="str">
        <f t="shared" si="111"/>
        <v>&lt;telephony nid="1"&gt;&lt;number id="0" prio="1" type="home"&gt;+31 6 54 70 39 44&lt;/number&gt;&lt;/telephony&gt;</v>
      </c>
      <c r="C271" s="7" t="str">
        <f t="shared" si="112"/>
        <v>&lt;services /&gt;&lt;setup /&gt;&lt;mod_time&gt;1500000010&lt;/mod_time&gt;&lt;uniqueid&gt;1&lt;/uniqueid&gt;&lt;/contact&gt;</v>
      </c>
      <c r="D271" t="str">
        <f t="shared" si="113"/>
        <v>&lt;contact&gt;&lt;category&gt;0&lt;/category&gt;&lt;person&gt;&lt;realName&gt;Looyenstein, Patrick (Elektricien)&lt;/realName&gt;&lt;/person&gt;</v>
      </c>
      <c r="E271" t="str">
        <f t="shared" si="114"/>
        <v>&lt;telephony nid="1"&gt;&lt;number id="0" prio="1" type="home"&gt;+31 6 54 70 39 44&lt;/number&gt;&lt;/telephony&gt;</v>
      </c>
      <c r="F271" t="str">
        <f t="shared" si="115"/>
        <v>&lt;telephony nid="1"&gt;</v>
      </c>
      <c r="G271" t="str">
        <f t="shared" si="116"/>
        <v/>
      </c>
      <c r="H271" t="str">
        <f t="shared" si="117"/>
        <v>&lt;services nid="1"&gt;&lt;email id="0" classifier="private"&gt;&lt;/email&gt;&lt;/services&gt;&lt;setup /&gt;&lt;mod_time&gt;1500000010&lt;/mod_time&gt;&lt;uniqueid&gt;1&lt;/uniqueid&gt;&lt;/contact&gt;</v>
      </c>
      <c r="I271" t="str">
        <f t="shared" si="118"/>
        <v>&lt;services /&gt;&lt;setup /&gt;&lt;mod_time&gt;1500000010&lt;/mod_time&gt;&lt;uniqueid&gt;1&lt;/uniqueid&gt;&lt;/contact&gt;</v>
      </c>
      <c r="J271" t="str">
        <f t="shared" si="119"/>
        <v>&lt;services /&gt;&lt;setup /&gt;&lt;mod_time&gt;1500000010&lt;/mod_time&gt;&lt;uniqueid&gt;1&lt;/uniqueid&gt;&lt;/contact&gt;</v>
      </c>
      <c r="K271" s="5">
        <f t="shared" si="120"/>
        <v>0</v>
      </c>
      <c r="L271" s="5">
        <f t="shared" si="121"/>
        <v>0</v>
      </c>
      <c r="M271" s="5" t="str">
        <f>CONCATENATE(+Contacts!E271)</f>
        <v/>
      </c>
      <c r="N271" t="str">
        <f t="shared" si="122"/>
        <v>&lt;number id="0" prio="1" type="home"&gt;+31 6 54 70 39 44&lt;/number&gt;</v>
      </c>
      <c r="O271" s="5">
        <f t="shared" si="123"/>
        <v>1</v>
      </c>
      <c r="P271" s="5">
        <f t="shared" si="124"/>
        <v>1</v>
      </c>
      <c r="Q271" s="5" t="str">
        <f>CONCATENATE(+Contacts!G271)</f>
        <v>+31 6 54 70 39 44</v>
      </c>
      <c r="R271" t="str">
        <f t="shared" si="125"/>
        <v/>
      </c>
      <c r="S271" s="5">
        <f t="shared" si="126"/>
        <v>1</v>
      </c>
      <c r="T271" s="5">
        <f t="shared" si="127"/>
        <v>1</v>
      </c>
      <c r="U271" s="5" t="str">
        <f>CONCATENATE(+Contacts!H271)</f>
        <v/>
      </c>
      <c r="V271" t="str">
        <f t="shared" si="128"/>
        <v/>
      </c>
      <c r="W271" s="5">
        <f t="shared" si="129"/>
        <v>1</v>
      </c>
      <c r="X271" s="5">
        <f t="shared" si="130"/>
        <v>1</v>
      </c>
      <c r="Y271" s="5" t="str">
        <f>CONCATENATE(+Contacts!F271)</f>
        <v/>
      </c>
      <c r="Z271" s="2" t="str">
        <f t="shared" si="131"/>
        <v>Looyenstein, Patrick (Elektricien)</v>
      </c>
      <c r="AA271" s="2" t="str">
        <f>CONCATENATE(+Contacts!C271)</f>
        <v>Looyenstein</v>
      </c>
      <c r="AB271" s="2" t="str">
        <f t="shared" si="132"/>
        <v xml:space="preserve">, </v>
      </c>
      <c r="AC271" s="2" t="str">
        <f>CONCATENATE(+Contacts!A271)</f>
        <v>Patrick</v>
      </c>
      <c r="AD271" s="3" t="str">
        <f>CONCATENATE(" ",+Contacts!B271)</f>
        <v xml:space="preserve"> </v>
      </c>
      <c r="AE271" s="2" t="str">
        <f t="shared" si="133"/>
        <v>(</v>
      </c>
      <c r="AF271" s="3" t="str">
        <f>CONCATENATE(+Contacts!D271)</f>
        <v>Elektricien</v>
      </c>
      <c r="AG271" s="2" t="str">
        <f t="shared" si="134"/>
        <v>)</v>
      </c>
      <c r="AH271" t="str">
        <f>CONCATENATE(+Contacts!I271)</f>
        <v/>
      </c>
      <c r="AI271">
        <v>1500000010</v>
      </c>
      <c r="AJ271" s="5">
        <f t="shared" si="135"/>
        <v>1</v>
      </c>
    </row>
    <row r="272" spans="1:36" x14ac:dyDescent="0.35">
      <c r="A272" s="7" t="str">
        <f t="shared" si="110"/>
        <v>&lt;contact&gt;&lt;category&gt;0&lt;/category&gt;&lt;person&gt;&lt;realName&gt;Lottering, Jan Paul   &lt;/realName&gt;&lt;/person&gt;</v>
      </c>
      <c r="B272" s="7" t="str">
        <f t="shared" si="111"/>
        <v>&lt;telephony nid="1"&gt;&lt;number id="0" prio="1" type="mobile"&gt;+31 611396146&lt;/number&gt;&lt;/telephony&gt;</v>
      </c>
      <c r="C272" s="7" t="str">
        <f t="shared" si="112"/>
        <v>&lt;services nid="1"&gt;&lt;email id="0" classifier="private"&gt;janpaul6@gmail.com&lt;/email&gt;&lt;/services&gt;&lt;setup /&gt;&lt;mod_time&gt;1500000010&lt;/mod_time&gt;&lt;uniqueid&gt;1&lt;/uniqueid&gt;&lt;/contact&gt;</v>
      </c>
      <c r="D272" t="str">
        <f t="shared" si="113"/>
        <v>&lt;contact&gt;&lt;category&gt;0&lt;/category&gt;&lt;person&gt;&lt;realName&gt;Lottering, Jan Paul   &lt;/realName&gt;&lt;/person&gt;</v>
      </c>
      <c r="E272" t="str">
        <f t="shared" si="114"/>
        <v>&lt;telephony nid="1"&gt;&lt;number id="0" prio="1" type="mobile"&gt;+31 611396146&lt;/number&gt;&lt;/telephony&gt;</v>
      </c>
      <c r="F272" t="str">
        <f t="shared" si="115"/>
        <v>&lt;telephony nid="1"&gt;</v>
      </c>
      <c r="G272" t="str">
        <f t="shared" si="116"/>
        <v/>
      </c>
      <c r="H272" t="str">
        <f t="shared" si="117"/>
        <v>&lt;services nid="1"&gt;&lt;email id="0" classifier="private"&gt;janpaul6@gmail.com&lt;/email&gt;&lt;/services&gt;&lt;setup /&gt;&lt;mod_time&gt;1500000010&lt;/mod_time&gt;&lt;uniqueid&gt;1&lt;/uniqueid&gt;&lt;/contact&gt;</v>
      </c>
      <c r="I272" t="str">
        <f t="shared" si="118"/>
        <v>&lt;services /&gt;&lt;setup /&gt;&lt;mod_time&gt;1500000010&lt;/mod_time&gt;&lt;uniqueid&gt;1&lt;/uniqueid&gt;&lt;/contact&gt;</v>
      </c>
      <c r="J272" t="str">
        <f t="shared" si="119"/>
        <v>&lt;services nid="1"&gt;&lt;email id="0" classifier="private"&gt;janpaul6@gmail.com&lt;/email&gt;&lt;/services&gt;&lt;setup /&gt;&lt;mod_time&gt;1500000010&lt;/mod_time&gt;&lt;uniqueid&gt;1&lt;/uniqueid&gt;&lt;/contact&gt;</v>
      </c>
      <c r="K272" s="5">
        <f t="shared" si="120"/>
        <v>0</v>
      </c>
      <c r="L272" s="5">
        <f t="shared" si="121"/>
        <v>0</v>
      </c>
      <c r="M272" s="5" t="str">
        <f>CONCATENATE(+Contacts!E272)</f>
        <v/>
      </c>
      <c r="N272" t="str">
        <f t="shared" si="122"/>
        <v/>
      </c>
      <c r="O272" s="5">
        <f t="shared" si="123"/>
        <v>0</v>
      </c>
      <c r="P272" s="5">
        <f t="shared" si="124"/>
        <v>0</v>
      </c>
      <c r="Q272" s="5" t="str">
        <f>CONCATENATE(+Contacts!G272)</f>
        <v/>
      </c>
      <c r="R272" t="str">
        <f t="shared" si="125"/>
        <v>&lt;number id="0" prio="1" type="mobile"&gt;+31 611396146&lt;/number&gt;</v>
      </c>
      <c r="S272" s="5">
        <f t="shared" si="126"/>
        <v>1</v>
      </c>
      <c r="T272" s="5">
        <f t="shared" si="127"/>
        <v>1</v>
      </c>
      <c r="U272" s="5" t="str">
        <f>CONCATENATE(+Contacts!H272)</f>
        <v>+31 611396146</v>
      </c>
      <c r="V272" t="str">
        <f t="shared" si="128"/>
        <v/>
      </c>
      <c r="W272" s="5">
        <f t="shared" si="129"/>
        <v>1</v>
      </c>
      <c r="X272" s="5">
        <f t="shared" si="130"/>
        <v>1</v>
      </c>
      <c r="Y272" s="5" t="str">
        <f>CONCATENATE(+Contacts!F272)</f>
        <v/>
      </c>
      <c r="Z272" s="2" t="str">
        <f t="shared" si="131"/>
        <v xml:space="preserve">Lottering, Jan Paul   </v>
      </c>
      <c r="AA272" s="2" t="str">
        <f>CONCATENATE(+Contacts!C272)</f>
        <v>Lottering</v>
      </c>
      <c r="AB272" s="2" t="str">
        <f t="shared" si="132"/>
        <v xml:space="preserve">, </v>
      </c>
      <c r="AC272" s="2" t="str">
        <f>CONCATENATE(+Contacts!A272)</f>
        <v>Jan Paul</v>
      </c>
      <c r="AD272" s="3" t="str">
        <f>CONCATENATE(" ",+Contacts!B272)</f>
        <v xml:space="preserve"> </v>
      </c>
      <c r="AE272" s="2" t="str">
        <f t="shared" si="133"/>
        <v xml:space="preserve"> </v>
      </c>
      <c r="AF272" s="3" t="str">
        <f>CONCATENATE(+Contacts!D272)</f>
        <v/>
      </c>
      <c r="AG272" s="2" t="str">
        <f t="shared" si="134"/>
        <v xml:space="preserve"> </v>
      </c>
      <c r="AH272" t="str">
        <f>CONCATENATE(+Contacts!I272)</f>
        <v>janpaul6@gmail.com</v>
      </c>
      <c r="AI272">
        <v>1500000010</v>
      </c>
      <c r="AJ272" s="5">
        <f t="shared" si="135"/>
        <v>1</v>
      </c>
    </row>
    <row r="273" spans="1:36" x14ac:dyDescent="0.35">
      <c r="A273" s="7" t="str">
        <f t="shared" si="110"/>
        <v>&lt;contact&gt;&lt;category&gt;0&lt;/category&gt;&lt;person&gt;&lt;realName&gt;Lozica, Tereza   &lt;/realName&gt;&lt;/person&gt;</v>
      </c>
      <c r="B273" s="7" t="str">
        <f t="shared" si="111"/>
        <v>&lt;telephony nid="1"&gt;&lt;number id="0" prio="1" type="home"&gt;+31 104213305&lt;/number&gt;&lt;/telephony&gt;</v>
      </c>
      <c r="C273" s="7" t="str">
        <f t="shared" si="112"/>
        <v>&lt;services /&gt;&lt;setup /&gt;&lt;mod_time&gt;1500000010&lt;/mod_time&gt;&lt;uniqueid&gt;1&lt;/uniqueid&gt;&lt;/contact&gt;</v>
      </c>
      <c r="D273" t="str">
        <f t="shared" si="113"/>
        <v>&lt;contact&gt;&lt;category&gt;0&lt;/category&gt;&lt;person&gt;&lt;realName&gt;Lozica, Tereza   &lt;/realName&gt;&lt;/person&gt;</v>
      </c>
      <c r="E273" t="str">
        <f t="shared" si="114"/>
        <v>&lt;telephony nid="1"&gt;&lt;number id="0" prio="1" type="home"&gt;+31 104213305&lt;/number&gt;&lt;/telephony&gt;</v>
      </c>
      <c r="F273" t="str">
        <f t="shared" si="115"/>
        <v>&lt;telephony nid="1"&gt;</v>
      </c>
      <c r="G273" t="str">
        <f t="shared" si="116"/>
        <v/>
      </c>
      <c r="H273" t="str">
        <f t="shared" si="117"/>
        <v>&lt;services nid="1"&gt;&lt;email id="0" classifier="private"&gt;&lt;/email&gt;&lt;/services&gt;&lt;setup /&gt;&lt;mod_time&gt;1500000010&lt;/mod_time&gt;&lt;uniqueid&gt;1&lt;/uniqueid&gt;&lt;/contact&gt;</v>
      </c>
      <c r="I273" t="str">
        <f t="shared" si="118"/>
        <v>&lt;services /&gt;&lt;setup /&gt;&lt;mod_time&gt;1500000010&lt;/mod_time&gt;&lt;uniqueid&gt;1&lt;/uniqueid&gt;&lt;/contact&gt;</v>
      </c>
      <c r="J273" t="str">
        <f t="shared" si="119"/>
        <v>&lt;services /&gt;&lt;setup /&gt;&lt;mod_time&gt;1500000010&lt;/mod_time&gt;&lt;uniqueid&gt;1&lt;/uniqueid&gt;&lt;/contact&gt;</v>
      </c>
      <c r="K273" s="5">
        <f t="shared" si="120"/>
        <v>0</v>
      </c>
      <c r="L273" s="5">
        <f t="shared" si="121"/>
        <v>0</v>
      </c>
      <c r="M273" s="5" t="str">
        <f>CONCATENATE(+Contacts!E273)</f>
        <v/>
      </c>
      <c r="N273" t="str">
        <f t="shared" si="122"/>
        <v>&lt;number id="0" prio="1" type="home"&gt;+31 104213305&lt;/number&gt;</v>
      </c>
      <c r="O273" s="5">
        <f t="shared" si="123"/>
        <v>1</v>
      </c>
      <c r="P273" s="5">
        <f t="shared" si="124"/>
        <v>1</v>
      </c>
      <c r="Q273" s="5" t="str">
        <f>CONCATENATE(+Contacts!G273)</f>
        <v>+31 104213305</v>
      </c>
      <c r="R273" t="str">
        <f t="shared" si="125"/>
        <v/>
      </c>
      <c r="S273" s="5">
        <f t="shared" si="126"/>
        <v>1</v>
      </c>
      <c r="T273" s="5">
        <f t="shared" si="127"/>
        <v>1</v>
      </c>
      <c r="U273" s="5" t="str">
        <f>CONCATENATE(+Contacts!H273)</f>
        <v/>
      </c>
      <c r="V273" t="str">
        <f t="shared" si="128"/>
        <v/>
      </c>
      <c r="W273" s="5">
        <f t="shared" si="129"/>
        <v>1</v>
      </c>
      <c r="X273" s="5">
        <f t="shared" si="130"/>
        <v>1</v>
      </c>
      <c r="Y273" s="5" t="str">
        <f>CONCATENATE(+Contacts!F273)</f>
        <v/>
      </c>
      <c r="Z273" s="2" t="str">
        <f t="shared" si="131"/>
        <v xml:space="preserve">Lozica, Tereza   </v>
      </c>
      <c r="AA273" s="2" t="str">
        <f>CONCATENATE(+Contacts!C273)</f>
        <v>Lozica</v>
      </c>
      <c r="AB273" s="2" t="str">
        <f t="shared" si="132"/>
        <v xml:space="preserve">, </v>
      </c>
      <c r="AC273" s="2" t="str">
        <f>CONCATENATE(+Contacts!A273)</f>
        <v>Tereza</v>
      </c>
      <c r="AD273" s="3" t="str">
        <f>CONCATENATE(" ",+Contacts!B273)</f>
        <v xml:space="preserve"> </v>
      </c>
      <c r="AE273" s="2" t="str">
        <f t="shared" si="133"/>
        <v xml:space="preserve"> </v>
      </c>
      <c r="AF273" s="3" t="str">
        <f>CONCATENATE(+Contacts!D273)</f>
        <v/>
      </c>
      <c r="AG273" s="2" t="str">
        <f t="shared" si="134"/>
        <v xml:space="preserve"> </v>
      </c>
      <c r="AH273" t="str">
        <f>CONCATENATE(+Contacts!I273)</f>
        <v/>
      </c>
      <c r="AI273">
        <v>1500000010</v>
      </c>
      <c r="AJ273" s="5">
        <f t="shared" si="135"/>
        <v>1</v>
      </c>
    </row>
    <row r="274" spans="1:36" x14ac:dyDescent="0.35">
      <c r="A274" s="7" t="str">
        <f t="shared" si="110"/>
        <v>&lt;contact&gt;&lt;category&gt;0&lt;/category&gt;&lt;person&gt;&lt;realName&gt;Luitgaarden, Annelies van de  &lt;/realName&gt;&lt;/person&gt;</v>
      </c>
      <c r="B274" s="7" t="str">
        <f t="shared" si="111"/>
        <v>&lt;telephony nid="1"&gt;&lt;number id="0" prio="1" type="home"&gt;+31 644568873&lt;/number&gt;&lt;/telephony&gt;</v>
      </c>
      <c r="C274" s="7" t="str">
        <f t="shared" si="112"/>
        <v>&lt;services /&gt;&lt;setup /&gt;&lt;mod_time&gt;1500000010&lt;/mod_time&gt;&lt;uniqueid&gt;1&lt;/uniqueid&gt;&lt;/contact&gt;</v>
      </c>
      <c r="D274" t="str">
        <f t="shared" si="113"/>
        <v>&lt;contact&gt;&lt;category&gt;0&lt;/category&gt;&lt;person&gt;&lt;realName&gt;Luitgaarden, Annelies van de  &lt;/realName&gt;&lt;/person&gt;</v>
      </c>
      <c r="E274" t="str">
        <f t="shared" si="114"/>
        <v>&lt;telephony nid="1"&gt;&lt;number id="0" prio="1" type="home"&gt;+31 644568873&lt;/number&gt;&lt;/telephony&gt;</v>
      </c>
      <c r="F274" t="str">
        <f t="shared" si="115"/>
        <v>&lt;telephony nid="1"&gt;</v>
      </c>
      <c r="G274" t="str">
        <f t="shared" si="116"/>
        <v/>
      </c>
      <c r="H274" t="str">
        <f t="shared" si="117"/>
        <v>&lt;services nid="1"&gt;&lt;email id="0" classifier="private"&gt;&lt;/email&gt;&lt;/services&gt;&lt;setup /&gt;&lt;mod_time&gt;1500000010&lt;/mod_time&gt;&lt;uniqueid&gt;1&lt;/uniqueid&gt;&lt;/contact&gt;</v>
      </c>
      <c r="I274" t="str">
        <f t="shared" si="118"/>
        <v>&lt;services /&gt;&lt;setup /&gt;&lt;mod_time&gt;1500000010&lt;/mod_time&gt;&lt;uniqueid&gt;1&lt;/uniqueid&gt;&lt;/contact&gt;</v>
      </c>
      <c r="J274" t="str">
        <f t="shared" si="119"/>
        <v>&lt;services /&gt;&lt;setup /&gt;&lt;mod_time&gt;1500000010&lt;/mod_time&gt;&lt;uniqueid&gt;1&lt;/uniqueid&gt;&lt;/contact&gt;</v>
      </c>
      <c r="K274" s="5">
        <f t="shared" si="120"/>
        <v>0</v>
      </c>
      <c r="L274" s="5">
        <f t="shared" si="121"/>
        <v>0</v>
      </c>
      <c r="M274" s="5" t="str">
        <f>CONCATENATE(+Contacts!E274)</f>
        <v/>
      </c>
      <c r="N274" t="str">
        <f t="shared" si="122"/>
        <v>&lt;number id="0" prio="1" type="home"&gt;+31 644568873&lt;/number&gt;</v>
      </c>
      <c r="O274" s="5">
        <f t="shared" si="123"/>
        <v>1</v>
      </c>
      <c r="P274" s="5">
        <f t="shared" si="124"/>
        <v>1</v>
      </c>
      <c r="Q274" s="5" t="str">
        <f>CONCATENATE(+Contacts!G274)</f>
        <v>+31 644568873</v>
      </c>
      <c r="R274" t="str">
        <f t="shared" si="125"/>
        <v/>
      </c>
      <c r="S274" s="5">
        <f t="shared" si="126"/>
        <v>1</v>
      </c>
      <c r="T274" s="5">
        <f t="shared" si="127"/>
        <v>1</v>
      </c>
      <c r="U274" s="5" t="str">
        <f>CONCATENATE(+Contacts!H274)</f>
        <v/>
      </c>
      <c r="V274" t="str">
        <f t="shared" si="128"/>
        <v/>
      </c>
      <c r="W274" s="5">
        <f t="shared" si="129"/>
        <v>1</v>
      </c>
      <c r="X274" s="5">
        <f t="shared" si="130"/>
        <v>1</v>
      </c>
      <c r="Y274" s="5" t="str">
        <f>CONCATENATE(+Contacts!F274)</f>
        <v/>
      </c>
      <c r="Z274" s="2" t="str">
        <f t="shared" si="131"/>
        <v xml:space="preserve">Luitgaarden, Annelies van de  </v>
      </c>
      <c r="AA274" s="2" t="str">
        <f>CONCATENATE(+Contacts!C274)</f>
        <v>Luitgaarden</v>
      </c>
      <c r="AB274" s="2" t="str">
        <f t="shared" si="132"/>
        <v xml:space="preserve">, </v>
      </c>
      <c r="AC274" s="2" t="str">
        <f>CONCATENATE(+Contacts!A274)</f>
        <v>Annelies</v>
      </c>
      <c r="AD274" s="3" t="str">
        <f>CONCATENATE(" ",+Contacts!B274)</f>
        <v xml:space="preserve"> van de</v>
      </c>
      <c r="AE274" s="2" t="str">
        <f t="shared" si="133"/>
        <v xml:space="preserve"> </v>
      </c>
      <c r="AF274" s="3" t="str">
        <f>CONCATENATE(+Contacts!D274)</f>
        <v/>
      </c>
      <c r="AG274" s="2" t="str">
        <f t="shared" si="134"/>
        <v xml:space="preserve"> </v>
      </c>
      <c r="AH274" t="str">
        <f>CONCATENATE(+Contacts!I274)</f>
        <v/>
      </c>
      <c r="AI274">
        <v>1500000010</v>
      </c>
      <c r="AJ274" s="5">
        <f t="shared" si="135"/>
        <v>1</v>
      </c>
    </row>
    <row r="275" spans="1:36" x14ac:dyDescent="0.35">
      <c r="A275" s="7" t="str">
        <f t="shared" si="110"/>
        <v>&lt;contact&gt;&lt;category&gt;0&lt;/category&gt;&lt;person&gt;&lt;realName&gt;Luiting, Ton   &lt;/realName&gt;&lt;/person&gt;</v>
      </c>
      <c r="B275" s="7" t="str">
        <f t="shared" si="111"/>
        <v>&lt;telephony nid="2"&gt;&lt;number id="0" prio="1" type="home"&gt;+31 35 672 37 76&lt;/number&gt;&lt;number id="1" prio="0" type="work"&gt;+31 63 157 25 68&lt;/number&gt;&lt;/telephony&gt;</v>
      </c>
      <c r="C275" s="7" t="str">
        <f t="shared" si="112"/>
        <v>&lt;services nid="1"&gt;&lt;email id="0" classifier="private"&gt;mediapark@kpnmail.nl&lt;/email&gt;&lt;/services&gt;&lt;setup /&gt;&lt;mod_time&gt;1500000010&lt;/mod_time&gt;&lt;uniqueid&gt;1&lt;/uniqueid&gt;&lt;/contact&gt;</v>
      </c>
      <c r="D275" t="str">
        <f t="shared" si="113"/>
        <v>&lt;contact&gt;&lt;category&gt;0&lt;/category&gt;&lt;person&gt;&lt;realName&gt;Luiting, Ton   &lt;/realName&gt;&lt;/person&gt;</v>
      </c>
      <c r="E275" t="str">
        <f t="shared" si="114"/>
        <v>&lt;telephony nid="2"&gt;&lt;number id="0" prio="1" type="home"&gt;+31 35 672 37 76&lt;/number&gt;&lt;number id="1" prio="0" type="work"&gt;+31 63 157 25 68&lt;/number&gt;&lt;/telephony&gt;</v>
      </c>
      <c r="F275" t="str">
        <f t="shared" si="115"/>
        <v>&lt;telephony nid="2"&gt;</v>
      </c>
      <c r="G275" t="str">
        <f t="shared" si="116"/>
        <v/>
      </c>
      <c r="H275" t="str">
        <f t="shared" si="117"/>
        <v>&lt;services nid="1"&gt;&lt;email id="0" classifier="private"&gt;mediapark@kpnmail.nl&lt;/email&gt;&lt;/services&gt;&lt;setup /&gt;&lt;mod_time&gt;1500000010&lt;/mod_time&gt;&lt;uniqueid&gt;1&lt;/uniqueid&gt;&lt;/contact&gt;</v>
      </c>
      <c r="I275" t="str">
        <f t="shared" si="118"/>
        <v>&lt;services /&gt;&lt;setup /&gt;&lt;mod_time&gt;1500000010&lt;/mod_time&gt;&lt;uniqueid&gt;1&lt;/uniqueid&gt;&lt;/contact&gt;</v>
      </c>
      <c r="J275" t="str">
        <f t="shared" si="119"/>
        <v>&lt;services nid="1"&gt;&lt;email id="0" classifier="private"&gt;mediapark@kpnmail.nl&lt;/email&gt;&lt;/services&gt;&lt;setup /&gt;&lt;mod_time&gt;1500000010&lt;/mod_time&gt;&lt;uniqueid&gt;1&lt;/uniqueid&gt;&lt;/contact&gt;</v>
      </c>
      <c r="K275" s="5">
        <f t="shared" si="120"/>
        <v>0</v>
      </c>
      <c r="L275" s="5">
        <f t="shared" si="121"/>
        <v>0</v>
      </c>
      <c r="M275" s="5" t="str">
        <f>CONCATENATE(+Contacts!E275)</f>
        <v/>
      </c>
      <c r="N275" t="str">
        <f t="shared" si="122"/>
        <v>&lt;number id="0" prio="1" type="home"&gt;+31 35 672 37 76&lt;/number&gt;</v>
      </c>
      <c r="O275" s="5">
        <f t="shared" si="123"/>
        <v>1</v>
      </c>
      <c r="P275" s="5">
        <f t="shared" si="124"/>
        <v>1</v>
      </c>
      <c r="Q275" s="5" t="str">
        <f>CONCATENATE(+Contacts!G275)</f>
        <v>+31 35 672 37 76</v>
      </c>
      <c r="R275" t="str">
        <f t="shared" si="125"/>
        <v/>
      </c>
      <c r="S275" s="5">
        <f t="shared" si="126"/>
        <v>1</v>
      </c>
      <c r="T275" s="5">
        <f t="shared" si="127"/>
        <v>1</v>
      </c>
      <c r="U275" s="5" t="str">
        <f>CONCATENATE(+Contacts!H275)</f>
        <v/>
      </c>
      <c r="V275" t="str">
        <f t="shared" si="128"/>
        <v>&lt;number id="1" prio="0" type="work"&gt;+31 63 157 25 68&lt;/number&gt;</v>
      </c>
      <c r="W275" s="5">
        <f t="shared" si="129"/>
        <v>2</v>
      </c>
      <c r="X275" s="5">
        <f t="shared" si="130"/>
        <v>0</v>
      </c>
      <c r="Y275" s="5" t="str">
        <f>CONCATENATE(+Contacts!F275)</f>
        <v>+31 63 157 25 68</v>
      </c>
      <c r="Z275" s="2" t="str">
        <f t="shared" si="131"/>
        <v xml:space="preserve">Luiting, Ton   </v>
      </c>
      <c r="AA275" s="2" t="str">
        <f>CONCATENATE(+Contacts!C275)</f>
        <v>Luiting</v>
      </c>
      <c r="AB275" s="2" t="str">
        <f t="shared" si="132"/>
        <v xml:space="preserve">, </v>
      </c>
      <c r="AC275" s="2" t="str">
        <f>CONCATENATE(+Contacts!A275)</f>
        <v>Ton</v>
      </c>
      <c r="AD275" s="3" t="str">
        <f>CONCATENATE(" ",+Contacts!B275)</f>
        <v xml:space="preserve"> </v>
      </c>
      <c r="AE275" s="2" t="str">
        <f t="shared" si="133"/>
        <v xml:space="preserve"> </v>
      </c>
      <c r="AF275" s="3" t="str">
        <f>CONCATENATE(+Contacts!D275)</f>
        <v/>
      </c>
      <c r="AG275" s="2" t="str">
        <f t="shared" si="134"/>
        <v xml:space="preserve"> </v>
      </c>
      <c r="AH275" t="str">
        <f>CONCATENATE(+Contacts!I275)</f>
        <v>mediapark@kpnmail.nl</v>
      </c>
      <c r="AI275">
        <v>1500000010</v>
      </c>
      <c r="AJ275" s="5">
        <f t="shared" si="135"/>
        <v>1</v>
      </c>
    </row>
    <row r="276" spans="1:36" x14ac:dyDescent="0.35">
      <c r="A276" s="7" t="str">
        <f t="shared" si="110"/>
        <v>&lt;contact&gt;&lt;category&gt;0&lt;/category&gt;&lt;person&gt;&lt;realName&gt;Lybaart, Fred   &lt;/realName&gt;&lt;/person&gt;</v>
      </c>
      <c r="B276" s="7" t="str">
        <f t="shared" si="111"/>
        <v>&lt;telephony nid="1"&gt;&lt;number id="0" prio="1" type="home"&gt;+31 104610116&lt;/number&gt;&lt;/telephony&gt;</v>
      </c>
      <c r="C276" s="7" t="str">
        <f t="shared" si="112"/>
        <v>&lt;services /&gt;&lt;setup /&gt;&lt;mod_time&gt;1500000010&lt;/mod_time&gt;&lt;uniqueid&gt;1&lt;/uniqueid&gt;&lt;/contact&gt;</v>
      </c>
      <c r="D276" t="str">
        <f t="shared" si="113"/>
        <v>&lt;contact&gt;&lt;category&gt;0&lt;/category&gt;&lt;person&gt;&lt;realName&gt;Lybaart, Fred   &lt;/realName&gt;&lt;/person&gt;</v>
      </c>
      <c r="E276" t="str">
        <f t="shared" si="114"/>
        <v>&lt;telephony nid="1"&gt;&lt;number id="0" prio="1" type="home"&gt;+31 104610116&lt;/number&gt;&lt;/telephony&gt;</v>
      </c>
      <c r="F276" t="str">
        <f t="shared" si="115"/>
        <v>&lt;telephony nid="1"&gt;</v>
      </c>
      <c r="G276" t="str">
        <f t="shared" si="116"/>
        <v/>
      </c>
      <c r="H276" t="str">
        <f t="shared" si="117"/>
        <v>&lt;services nid="1"&gt;&lt;email id="0" classifier="private"&gt;&lt;/email&gt;&lt;/services&gt;&lt;setup /&gt;&lt;mod_time&gt;1500000010&lt;/mod_time&gt;&lt;uniqueid&gt;1&lt;/uniqueid&gt;&lt;/contact&gt;</v>
      </c>
      <c r="I276" t="str">
        <f t="shared" si="118"/>
        <v>&lt;services /&gt;&lt;setup /&gt;&lt;mod_time&gt;1500000010&lt;/mod_time&gt;&lt;uniqueid&gt;1&lt;/uniqueid&gt;&lt;/contact&gt;</v>
      </c>
      <c r="J276" t="str">
        <f t="shared" si="119"/>
        <v>&lt;services /&gt;&lt;setup /&gt;&lt;mod_time&gt;1500000010&lt;/mod_time&gt;&lt;uniqueid&gt;1&lt;/uniqueid&gt;&lt;/contact&gt;</v>
      </c>
      <c r="K276" s="5">
        <f t="shared" si="120"/>
        <v>0</v>
      </c>
      <c r="L276" s="5">
        <f t="shared" si="121"/>
        <v>0</v>
      </c>
      <c r="M276" s="5" t="str">
        <f>CONCATENATE(+Contacts!E276)</f>
        <v/>
      </c>
      <c r="N276" t="str">
        <f t="shared" si="122"/>
        <v>&lt;number id="0" prio="1" type="home"&gt;+31 104610116&lt;/number&gt;</v>
      </c>
      <c r="O276" s="5">
        <f t="shared" si="123"/>
        <v>1</v>
      </c>
      <c r="P276" s="5">
        <f t="shared" si="124"/>
        <v>1</v>
      </c>
      <c r="Q276" s="5" t="str">
        <f>CONCATENATE(+Contacts!G276)</f>
        <v>+31 104610116</v>
      </c>
      <c r="R276" t="str">
        <f t="shared" si="125"/>
        <v/>
      </c>
      <c r="S276" s="5">
        <f t="shared" si="126"/>
        <v>1</v>
      </c>
      <c r="T276" s="5">
        <f t="shared" si="127"/>
        <v>1</v>
      </c>
      <c r="U276" s="5" t="str">
        <f>CONCATENATE(+Contacts!H276)</f>
        <v/>
      </c>
      <c r="V276" t="str">
        <f t="shared" si="128"/>
        <v/>
      </c>
      <c r="W276" s="5">
        <f t="shared" si="129"/>
        <v>1</v>
      </c>
      <c r="X276" s="5">
        <f t="shared" si="130"/>
        <v>1</v>
      </c>
      <c r="Y276" s="5" t="str">
        <f>CONCATENATE(+Contacts!F276)</f>
        <v/>
      </c>
      <c r="Z276" s="2" t="str">
        <f t="shared" si="131"/>
        <v xml:space="preserve">Lybaart, Fred   </v>
      </c>
      <c r="AA276" s="2" t="str">
        <f>CONCATENATE(+Contacts!C276)</f>
        <v>Lybaart</v>
      </c>
      <c r="AB276" s="2" t="str">
        <f t="shared" si="132"/>
        <v xml:space="preserve">, </v>
      </c>
      <c r="AC276" s="2" t="str">
        <f>CONCATENATE(+Contacts!A276)</f>
        <v>Fred</v>
      </c>
      <c r="AD276" s="3" t="str">
        <f>CONCATENATE(" ",+Contacts!B276)</f>
        <v xml:space="preserve"> </v>
      </c>
      <c r="AE276" s="2" t="str">
        <f t="shared" si="133"/>
        <v xml:space="preserve"> </v>
      </c>
      <c r="AF276" s="3" t="str">
        <f>CONCATENATE(+Contacts!D276)</f>
        <v/>
      </c>
      <c r="AG276" s="2" t="str">
        <f t="shared" si="134"/>
        <v xml:space="preserve"> </v>
      </c>
      <c r="AH276" t="str">
        <f>CONCATENATE(+Contacts!I276)</f>
        <v/>
      </c>
      <c r="AI276">
        <v>1500000010</v>
      </c>
      <c r="AJ276" s="5">
        <f t="shared" si="135"/>
        <v>1</v>
      </c>
    </row>
    <row r="277" spans="1:36" x14ac:dyDescent="0.35">
      <c r="A277" s="7" t="str">
        <f t="shared" si="110"/>
        <v>&lt;contact&gt;&lt;category&gt;0&lt;/category&gt;&lt;person&gt;&lt;realName&gt;Lybaart, Jochem   &lt;/realName&gt;&lt;/person&gt;</v>
      </c>
      <c r="B277" s="7" t="str">
        <f t="shared" si="111"/>
        <v>&lt;telephony nid="2"&gt;&lt;number id="0" prio="1" type="home"&gt;+31 649 749 741&lt;/number&gt;&lt;number id="1" prio="0" type="mobile"&gt;+31 613965344&lt;/number&gt;&lt;/telephony&gt;</v>
      </c>
      <c r="C277" s="7" t="str">
        <f t="shared" si="112"/>
        <v>&lt;services nid="1"&gt;&lt;email id="0" classifier="private"&gt;jochem.lybaart@gmail.com&lt;/email&gt;&lt;/services&gt;&lt;setup /&gt;&lt;mod_time&gt;1500000010&lt;/mod_time&gt;&lt;uniqueid&gt;1&lt;/uniqueid&gt;&lt;/contact&gt;</v>
      </c>
      <c r="D277" t="str">
        <f t="shared" si="113"/>
        <v>&lt;contact&gt;&lt;category&gt;0&lt;/category&gt;&lt;person&gt;&lt;realName&gt;Lybaart, Jochem   &lt;/realName&gt;&lt;/person&gt;</v>
      </c>
      <c r="E277" t="str">
        <f t="shared" si="114"/>
        <v>&lt;telephony nid="2"&gt;&lt;number id="0" prio="1" type="home"&gt;+31 649 749 741&lt;/number&gt;&lt;number id="1" prio="0" type="mobile"&gt;+31 613965344&lt;/number&gt;&lt;/telephony&gt;</v>
      </c>
      <c r="F277" t="str">
        <f t="shared" si="115"/>
        <v>&lt;telephony nid="2"&gt;</v>
      </c>
      <c r="G277" t="str">
        <f t="shared" si="116"/>
        <v/>
      </c>
      <c r="H277" t="str">
        <f t="shared" si="117"/>
        <v>&lt;services nid="1"&gt;&lt;email id="0" classifier="private"&gt;jochem.lybaart@gmail.com&lt;/email&gt;&lt;/services&gt;&lt;setup /&gt;&lt;mod_time&gt;1500000010&lt;/mod_time&gt;&lt;uniqueid&gt;1&lt;/uniqueid&gt;&lt;/contact&gt;</v>
      </c>
      <c r="I277" t="str">
        <f t="shared" si="118"/>
        <v>&lt;services /&gt;&lt;setup /&gt;&lt;mod_time&gt;1500000010&lt;/mod_time&gt;&lt;uniqueid&gt;1&lt;/uniqueid&gt;&lt;/contact&gt;</v>
      </c>
      <c r="J277" t="str">
        <f t="shared" si="119"/>
        <v>&lt;services nid="1"&gt;&lt;email id="0" classifier="private"&gt;jochem.lybaart@gmail.com&lt;/email&gt;&lt;/services&gt;&lt;setup /&gt;&lt;mod_time&gt;1500000010&lt;/mod_time&gt;&lt;uniqueid&gt;1&lt;/uniqueid&gt;&lt;/contact&gt;</v>
      </c>
      <c r="K277" s="5">
        <f t="shared" si="120"/>
        <v>0</v>
      </c>
      <c r="L277" s="5">
        <f t="shared" si="121"/>
        <v>0</v>
      </c>
      <c r="M277" s="5" t="str">
        <f>CONCATENATE(+Contacts!E277)</f>
        <v/>
      </c>
      <c r="N277" t="str">
        <f t="shared" si="122"/>
        <v>&lt;number id="0" prio="1" type="home"&gt;+31 649 749 741&lt;/number&gt;</v>
      </c>
      <c r="O277" s="5">
        <f t="shared" si="123"/>
        <v>1</v>
      </c>
      <c r="P277" s="5">
        <f t="shared" si="124"/>
        <v>1</v>
      </c>
      <c r="Q277" s="5" t="str">
        <f>CONCATENATE(+Contacts!G277)</f>
        <v>+31 649 749 741</v>
      </c>
      <c r="R277" t="str">
        <f t="shared" si="125"/>
        <v>&lt;number id="1" prio="0" type="mobile"&gt;+31 613965344&lt;/number&gt;</v>
      </c>
      <c r="S277" s="5">
        <f t="shared" si="126"/>
        <v>2</v>
      </c>
      <c r="T277" s="5">
        <f t="shared" si="127"/>
        <v>0</v>
      </c>
      <c r="U277" s="5" t="str">
        <f>CONCATENATE(+Contacts!H277)</f>
        <v>+31 613965344</v>
      </c>
      <c r="V277" t="str">
        <f t="shared" si="128"/>
        <v/>
      </c>
      <c r="W277" s="5">
        <f t="shared" si="129"/>
        <v>2</v>
      </c>
      <c r="X277" s="5">
        <f t="shared" si="130"/>
        <v>0</v>
      </c>
      <c r="Y277" s="5" t="str">
        <f>CONCATENATE(+Contacts!F277)</f>
        <v/>
      </c>
      <c r="Z277" s="2" t="str">
        <f t="shared" si="131"/>
        <v xml:space="preserve">Lybaart, Jochem   </v>
      </c>
      <c r="AA277" s="2" t="str">
        <f>CONCATENATE(+Contacts!C277)</f>
        <v>Lybaart</v>
      </c>
      <c r="AB277" s="2" t="str">
        <f t="shared" si="132"/>
        <v xml:space="preserve">, </v>
      </c>
      <c r="AC277" s="2" t="str">
        <f>CONCATENATE(+Contacts!A277)</f>
        <v>Jochem</v>
      </c>
      <c r="AD277" s="3" t="str">
        <f>CONCATENATE(" ",+Contacts!B277)</f>
        <v xml:space="preserve"> </v>
      </c>
      <c r="AE277" s="2" t="str">
        <f t="shared" si="133"/>
        <v xml:space="preserve"> </v>
      </c>
      <c r="AF277" s="3" t="str">
        <f>CONCATENATE(+Contacts!D277)</f>
        <v/>
      </c>
      <c r="AG277" s="2" t="str">
        <f t="shared" si="134"/>
        <v xml:space="preserve"> </v>
      </c>
      <c r="AH277" t="str">
        <f>CONCATENATE(+Contacts!I277)</f>
        <v>jochem.lybaart@gmail.com</v>
      </c>
      <c r="AI277">
        <v>1500000010</v>
      </c>
      <c r="AJ277" s="5">
        <f t="shared" si="135"/>
        <v>1</v>
      </c>
    </row>
    <row r="278" spans="1:36" x14ac:dyDescent="0.35">
      <c r="A278" s="7" t="str">
        <f t="shared" si="110"/>
        <v>&lt;contact&gt;&lt;category&gt;0&lt;/category&gt;&lt;person&gt;&lt;realName&gt;Lybaart, Tineke   &lt;/realName&gt;&lt;/person&gt;</v>
      </c>
      <c r="B278" s="7" t="str">
        <f t="shared" si="111"/>
        <v>&lt;telephony nid="2"&gt;&lt;number id="0" prio="1" type="home"&gt;+31 104610116&lt;/number&gt;&lt;number id="1" prio="0" type="mobile"&gt;+31 640474294&lt;/number&gt;&lt;/telephony&gt;</v>
      </c>
      <c r="C278" s="7" t="str">
        <f t="shared" si="112"/>
        <v>&lt;services nid="1"&gt;&lt;email id="0" classifier="private"&gt;tinekelybaart@hotmail.com&lt;/email&gt;&lt;/services&gt;&lt;setup /&gt;&lt;mod_time&gt;1500000010&lt;/mod_time&gt;&lt;uniqueid&gt;1&lt;/uniqueid&gt;&lt;/contact&gt;</v>
      </c>
      <c r="D278" t="str">
        <f t="shared" si="113"/>
        <v>&lt;contact&gt;&lt;category&gt;0&lt;/category&gt;&lt;person&gt;&lt;realName&gt;Lybaart, Tineke   &lt;/realName&gt;&lt;/person&gt;</v>
      </c>
      <c r="E278" t="str">
        <f t="shared" si="114"/>
        <v>&lt;telephony nid="2"&gt;&lt;number id="0" prio="1" type="home"&gt;+31 104610116&lt;/number&gt;&lt;number id="1" prio="0" type="mobile"&gt;+31 640474294&lt;/number&gt;&lt;/telephony&gt;</v>
      </c>
      <c r="F278" t="str">
        <f t="shared" si="115"/>
        <v>&lt;telephony nid="2"&gt;</v>
      </c>
      <c r="G278" t="str">
        <f t="shared" si="116"/>
        <v/>
      </c>
      <c r="H278" t="str">
        <f t="shared" si="117"/>
        <v>&lt;services nid="1"&gt;&lt;email id="0" classifier="private"&gt;tinekelybaart@hotmail.com&lt;/email&gt;&lt;/services&gt;&lt;setup /&gt;&lt;mod_time&gt;1500000010&lt;/mod_time&gt;&lt;uniqueid&gt;1&lt;/uniqueid&gt;&lt;/contact&gt;</v>
      </c>
      <c r="I278" t="str">
        <f t="shared" si="118"/>
        <v>&lt;services /&gt;&lt;setup /&gt;&lt;mod_time&gt;1500000010&lt;/mod_time&gt;&lt;uniqueid&gt;1&lt;/uniqueid&gt;&lt;/contact&gt;</v>
      </c>
      <c r="J278" t="str">
        <f t="shared" si="119"/>
        <v>&lt;services nid="1"&gt;&lt;email id="0" classifier="private"&gt;tinekelybaart@hotmail.com&lt;/email&gt;&lt;/services&gt;&lt;setup /&gt;&lt;mod_time&gt;1500000010&lt;/mod_time&gt;&lt;uniqueid&gt;1&lt;/uniqueid&gt;&lt;/contact&gt;</v>
      </c>
      <c r="K278" s="5">
        <f t="shared" si="120"/>
        <v>0</v>
      </c>
      <c r="L278" s="5">
        <f t="shared" si="121"/>
        <v>0</v>
      </c>
      <c r="M278" s="5" t="str">
        <f>CONCATENATE(+Contacts!E278)</f>
        <v/>
      </c>
      <c r="N278" t="str">
        <f t="shared" si="122"/>
        <v>&lt;number id="0" prio="1" type="home"&gt;+31 104610116&lt;/number&gt;</v>
      </c>
      <c r="O278" s="5">
        <f t="shared" si="123"/>
        <v>1</v>
      </c>
      <c r="P278" s="5">
        <f t="shared" si="124"/>
        <v>1</v>
      </c>
      <c r="Q278" s="5" t="str">
        <f>CONCATENATE(+Contacts!G278)</f>
        <v>+31 104610116</v>
      </c>
      <c r="R278" t="str">
        <f t="shared" si="125"/>
        <v>&lt;number id="1" prio="0" type="mobile"&gt;+31 640474294&lt;/number&gt;</v>
      </c>
      <c r="S278" s="5">
        <f t="shared" si="126"/>
        <v>2</v>
      </c>
      <c r="T278" s="5">
        <f t="shared" si="127"/>
        <v>0</v>
      </c>
      <c r="U278" s="5" t="str">
        <f>CONCATENATE(+Contacts!H278)</f>
        <v>+31 640474294</v>
      </c>
      <c r="V278" t="str">
        <f t="shared" si="128"/>
        <v/>
      </c>
      <c r="W278" s="5">
        <f t="shared" si="129"/>
        <v>2</v>
      </c>
      <c r="X278" s="5">
        <f t="shared" si="130"/>
        <v>0</v>
      </c>
      <c r="Y278" s="5" t="str">
        <f>CONCATENATE(+Contacts!F278)</f>
        <v/>
      </c>
      <c r="Z278" s="2" t="str">
        <f t="shared" si="131"/>
        <v xml:space="preserve">Lybaart, Tineke   </v>
      </c>
      <c r="AA278" s="2" t="str">
        <f>CONCATENATE(+Contacts!C278)</f>
        <v>Lybaart</v>
      </c>
      <c r="AB278" s="2" t="str">
        <f t="shared" si="132"/>
        <v xml:space="preserve">, </v>
      </c>
      <c r="AC278" s="2" t="str">
        <f>CONCATENATE(+Contacts!A278)</f>
        <v>Tineke</v>
      </c>
      <c r="AD278" s="3" t="str">
        <f>CONCATENATE(" ",+Contacts!B278)</f>
        <v xml:space="preserve"> </v>
      </c>
      <c r="AE278" s="2" t="str">
        <f t="shared" si="133"/>
        <v xml:space="preserve"> </v>
      </c>
      <c r="AF278" s="3" t="str">
        <f>CONCATENATE(+Contacts!D278)</f>
        <v/>
      </c>
      <c r="AG278" s="2" t="str">
        <f t="shared" si="134"/>
        <v xml:space="preserve"> </v>
      </c>
      <c r="AH278" t="str">
        <f>CONCATENATE(+Contacts!I278)</f>
        <v>tinekelybaart@hotmail.com</v>
      </c>
      <c r="AI278">
        <v>1500000010</v>
      </c>
      <c r="AJ278" s="5">
        <f t="shared" si="135"/>
        <v>1</v>
      </c>
    </row>
    <row r="279" spans="1:36" x14ac:dyDescent="0.35">
      <c r="A279" s="7" t="str">
        <f t="shared" si="110"/>
        <v>&lt;contact&gt;&lt;category&gt;0&lt;/category&gt;&lt;person&gt;&lt;realName&gt;, M&amp;amp;M Aerobic Studio Ommoord   &lt;/realName&gt;&lt;/person&gt;</v>
      </c>
      <c r="B279" s="7" t="str">
        <f t="shared" si="111"/>
        <v>&lt;telephony nid="1"&gt;&lt;number id="0" prio="1" type="mobile"&gt;31651609266&lt;/number&gt;&lt;/telephony&gt;</v>
      </c>
      <c r="C279" s="7" t="str">
        <f t="shared" si="112"/>
        <v>&lt;services /&gt;&lt;setup /&gt;&lt;mod_time&gt;1500000010&lt;/mod_time&gt;&lt;uniqueid&gt;1&lt;/uniqueid&gt;&lt;/contact&gt;</v>
      </c>
      <c r="D279" t="str">
        <f t="shared" si="113"/>
        <v>&lt;contact&gt;&lt;category&gt;0&lt;/category&gt;&lt;person&gt;&lt;realName&gt;, M&amp;amp;M Aerobic Studio Ommoord   &lt;/realName&gt;&lt;/person&gt;</v>
      </c>
      <c r="E279" t="str">
        <f t="shared" si="114"/>
        <v>&lt;telephony nid="1"&gt;&lt;number id="0" prio="1" type="mobile"&gt;31651609266&lt;/number&gt;&lt;/telephony&gt;</v>
      </c>
      <c r="F279" t="str">
        <f t="shared" si="115"/>
        <v>&lt;telephony nid="1"&gt;</v>
      </c>
      <c r="G279" t="str">
        <f t="shared" si="116"/>
        <v/>
      </c>
      <c r="H279" t="str">
        <f t="shared" si="117"/>
        <v>&lt;services nid="1"&gt;&lt;email id="0" classifier="private"&gt;&lt;/email&gt;&lt;/services&gt;&lt;setup /&gt;&lt;mod_time&gt;1500000010&lt;/mod_time&gt;&lt;uniqueid&gt;1&lt;/uniqueid&gt;&lt;/contact&gt;</v>
      </c>
      <c r="I279" t="str">
        <f t="shared" si="118"/>
        <v>&lt;services /&gt;&lt;setup /&gt;&lt;mod_time&gt;1500000010&lt;/mod_time&gt;&lt;uniqueid&gt;1&lt;/uniqueid&gt;&lt;/contact&gt;</v>
      </c>
      <c r="J279" t="str">
        <f t="shared" si="119"/>
        <v>&lt;services /&gt;&lt;setup /&gt;&lt;mod_time&gt;1500000010&lt;/mod_time&gt;&lt;uniqueid&gt;1&lt;/uniqueid&gt;&lt;/contact&gt;</v>
      </c>
      <c r="K279" s="5">
        <f t="shared" si="120"/>
        <v>0</v>
      </c>
      <c r="L279" s="5">
        <f t="shared" si="121"/>
        <v>0</v>
      </c>
      <c r="M279" s="5" t="str">
        <f>CONCATENATE(+Contacts!E279)</f>
        <v/>
      </c>
      <c r="N279" t="str">
        <f t="shared" si="122"/>
        <v/>
      </c>
      <c r="O279" s="5">
        <f t="shared" si="123"/>
        <v>0</v>
      </c>
      <c r="P279" s="5">
        <f t="shared" si="124"/>
        <v>0</v>
      </c>
      <c r="Q279" s="5" t="str">
        <f>CONCATENATE(+Contacts!G279)</f>
        <v/>
      </c>
      <c r="R279" t="str">
        <f t="shared" si="125"/>
        <v>&lt;number id="0" prio="1" type="mobile"&gt;31651609266&lt;/number&gt;</v>
      </c>
      <c r="S279" s="5">
        <f t="shared" si="126"/>
        <v>1</v>
      </c>
      <c r="T279" s="5">
        <f t="shared" si="127"/>
        <v>1</v>
      </c>
      <c r="U279" s="5" t="str">
        <f>CONCATENATE(+Contacts!H279)</f>
        <v>31651609266</v>
      </c>
      <c r="V279" t="str">
        <f t="shared" si="128"/>
        <v/>
      </c>
      <c r="W279" s="5">
        <f t="shared" si="129"/>
        <v>1</v>
      </c>
      <c r="X279" s="5">
        <f t="shared" si="130"/>
        <v>1</v>
      </c>
      <c r="Y279" s="5" t="str">
        <f>CONCATENATE(+Contacts!F279)</f>
        <v/>
      </c>
      <c r="Z279" s="2" t="str">
        <f t="shared" si="131"/>
        <v xml:space="preserve">, M&amp;amp;M Aerobic Studio Ommoord   </v>
      </c>
      <c r="AA279" s="2" t="str">
        <f>CONCATENATE(+Contacts!C279)</f>
        <v/>
      </c>
      <c r="AB279" s="2" t="str">
        <f t="shared" si="132"/>
        <v xml:space="preserve">, </v>
      </c>
      <c r="AC279" s="2" t="str">
        <f>CONCATENATE(+Contacts!A279)</f>
        <v>M&amp;amp;M Aerobic Studio Ommoord</v>
      </c>
      <c r="AD279" s="3" t="str">
        <f>CONCATENATE(" ",+Contacts!B279)</f>
        <v xml:space="preserve"> </v>
      </c>
      <c r="AE279" s="2" t="str">
        <f t="shared" si="133"/>
        <v xml:space="preserve"> </v>
      </c>
      <c r="AF279" s="3" t="str">
        <f>CONCATENATE(+Contacts!D279)</f>
        <v/>
      </c>
      <c r="AG279" s="2" t="str">
        <f t="shared" si="134"/>
        <v xml:space="preserve"> </v>
      </c>
      <c r="AH279" t="str">
        <f>CONCATENATE(+Contacts!I279)</f>
        <v/>
      </c>
      <c r="AI279">
        <v>1500000010</v>
      </c>
      <c r="AJ279" s="5">
        <f t="shared" si="135"/>
        <v>1</v>
      </c>
    </row>
    <row r="280" spans="1:36" x14ac:dyDescent="0.35">
      <c r="A280" s="7" t="str">
        <f t="shared" si="110"/>
        <v/>
      </c>
      <c r="B280" s="7" t="str">
        <f t="shared" si="111"/>
        <v/>
      </c>
      <c r="C280" s="7" t="str">
        <f t="shared" si="112"/>
        <v/>
      </c>
      <c r="D280" t="str">
        <f t="shared" si="113"/>
        <v>&lt;contact&gt;&lt;category&gt;0&lt;/category&gt;&lt;person&gt;&lt;realName&gt;Maaskant, Huig   &lt;/realName&gt;&lt;/person&gt;</v>
      </c>
      <c r="E280" t="str">
        <f t="shared" si="114"/>
        <v>&lt;telephony nid="0"&gt;&lt;/telephony&gt;</v>
      </c>
      <c r="F280" t="str">
        <f t="shared" si="115"/>
        <v>&lt;telephony nid="0"&gt;</v>
      </c>
      <c r="G280" t="str">
        <f t="shared" si="116"/>
        <v/>
      </c>
      <c r="H280" t="str">
        <f t="shared" si="117"/>
        <v>&lt;services nid="1"&gt;&lt;email id="0" classifier="private"&gt;hfmaaskant@caiway.nl&lt;/email&gt;&lt;/services&gt;&lt;setup /&gt;&lt;mod_time&gt;1500000010&lt;/mod_time&gt;&lt;uniqueid&gt;0&lt;/uniqueid&gt;&lt;/contact&gt;</v>
      </c>
      <c r="I280" t="str">
        <f t="shared" si="118"/>
        <v>&lt;services /&gt;&lt;setup /&gt;&lt;mod_time&gt;1500000010&lt;/mod_time&gt;&lt;uniqueid&gt;0&lt;/uniqueid&gt;&lt;/contact&gt;</v>
      </c>
      <c r="J280" t="str">
        <f t="shared" si="119"/>
        <v>&lt;services nid="1"&gt;&lt;email id="0" classifier="private"&gt;hfmaaskant@caiway.nl&lt;/email&gt;&lt;/services&gt;&lt;setup /&gt;&lt;mod_time&gt;1500000010&lt;/mod_time&gt;&lt;uniqueid&gt;0&lt;/uniqueid&gt;&lt;/contact&gt;</v>
      </c>
      <c r="K280" s="5">
        <f t="shared" si="120"/>
        <v>0</v>
      </c>
      <c r="L280" s="5">
        <f t="shared" si="121"/>
        <v>0</v>
      </c>
      <c r="M280" s="5" t="str">
        <f>CONCATENATE(+Contacts!E280)</f>
        <v/>
      </c>
      <c r="N280" t="str">
        <f t="shared" si="122"/>
        <v/>
      </c>
      <c r="O280" s="5">
        <f t="shared" si="123"/>
        <v>0</v>
      </c>
      <c r="P280" s="5">
        <f t="shared" si="124"/>
        <v>0</v>
      </c>
      <c r="Q280" s="5" t="str">
        <f>CONCATENATE(+Contacts!G280)</f>
        <v/>
      </c>
      <c r="R280" t="str">
        <f t="shared" si="125"/>
        <v/>
      </c>
      <c r="S280" s="5">
        <f t="shared" si="126"/>
        <v>0</v>
      </c>
      <c r="T280" s="5">
        <f t="shared" si="127"/>
        <v>0</v>
      </c>
      <c r="U280" s="5" t="str">
        <f>CONCATENATE(+Contacts!H280)</f>
        <v/>
      </c>
      <c r="V280" t="str">
        <f t="shared" si="128"/>
        <v/>
      </c>
      <c r="W280" s="5">
        <f t="shared" si="129"/>
        <v>0</v>
      </c>
      <c r="X280" s="5">
        <f t="shared" si="130"/>
        <v>0</v>
      </c>
      <c r="Y280" s="5" t="str">
        <f>CONCATENATE(+Contacts!F280)</f>
        <v/>
      </c>
      <c r="Z280" s="2" t="str">
        <f t="shared" si="131"/>
        <v xml:space="preserve">Maaskant, Huig   </v>
      </c>
      <c r="AA280" s="2" t="str">
        <f>CONCATENATE(+Contacts!C280)</f>
        <v>Maaskant</v>
      </c>
      <c r="AB280" s="2" t="str">
        <f t="shared" si="132"/>
        <v xml:space="preserve">, </v>
      </c>
      <c r="AC280" s="2" t="str">
        <f>CONCATENATE(+Contacts!A280)</f>
        <v>Huig</v>
      </c>
      <c r="AD280" s="3" t="str">
        <f>CONCATENATE(" ",+Contacts!B280)</f>
        <v xml:space="preserve"> </v>
      </c>
      <c r="AE280" s="2" t="str">
        <f t="shared" si="133"/>
        <v xml:space="preserve"> </v>
      </c>
      <c r="AF280" s="3" t="str">
        <f>CONCATENATE(+Contacts!D280)</f>
        <v/>
      </c>
      <c r="AG280" s="2" t="str">
        <f t="shared" si="134"/>
        <v xml:space="preserve"> </v>
      </c>
      <c r="AH280" t="str">
        <f>CONCATENATE(+Contacts!I280)</f>
        <v>hfmaaskant@caiway.nl</v>
      </c>
      <c r="AI280">
        <v>1500000010</v>
      </c>
      <c r="AJ280" s="5">
        <f t="shared" si="135"/>
        <v>0</v>
      </c>
    </row>
    <row r="281" spans="1:36" x14ac:dyDescent="0.35">
      <c r="A281" s="7" t="str">
        <f t="shared" si="110"/>
        <v/>
      </c>
      <c r="B281" s="7" t="str">
        <f t="shared" si="111"/>
        <v/>
      </c>
      <c r="C281" s="7" t="str">
        <f t="shared" si="112"/>
        <v/>
      </c>
      <c r="D281" t="str">
        <f t="shared" si="113"/>
        <v>&lt;contact&gt;&lt;category&gt;0&lt;/category&gt;&lt;person&gt;&lt;realName&gt;Maneij, Annelies   &lt;/realName&gt;&lt;/person&gt;</v>
      </c>
      <c r="E281" t="str">
        <f t="shared" si="114"/>
        <v>&lt;telephony nid="0"&gt;&lt;/telephony&gt;</v>
      </c>
      <c r="F281" t="str">
        <f t="shared" si="115"/>
        <v>&lt;telephony nid="0"&gt;</v>
      </c>
      <c r="G281" t="str">
        <f t="shared" si="116"/>
        <v/>
      </c>
      <c r="H281" t="str">
        <f t="shared" si="117"/>
        <v>&lt;services nid="1"&gt;&lt;email id="0" classifier="private"&gt;a.maneij@upcmail.nl&lt;/email&gt;&lt;/services&gt;&lt;setup /&gt;&lt;mod_time&gt;1500000010&lt;/mod_time&gt;&lt;uniqueid&gt;0&lt;/uniqueid&gt;&lt;/contact&gt;</v>
      </c>
      <c r="I281" t="str">
        <f t="shared" si="118"/>
        <v>&lt;services /&gt;&lt;setup /&gt;&lt;mod_time&gt;1500000010&lt;/mod_time&gt;&lt;uniqueid&gt;0&lt;/uniqueid&gt;&lt;/contact&gt;</v>
      </c>
      <c r="J281" t="str">
        <f t="shared" si="119"/>
        <v>&lt;services nid="1"&gt;&lt;email id="0" classifier="private"&gt;a.maneij@upcmail.nl&lt;/email&gt;&lt;/services&gt;&lt;setup /&gt;&lt;mod_time&gt;1500000010&lt;/mod_time&gt;&lt;uniqueid&gt;0&lt;/uniqueid&gt;&lt;/contact&gt;</v>
      </c>
      <c r="K281" s="5">
        <f t="shared" si="120"/>
        <v>0</v>
      </c>
      <c r="L281" s="5">
        <f t="shared" si="121"/>
        <v>0</v>
      </c>
      <c r="M281" s="5" t="str">
        <f>CONCATENATE(+Contacts!E281)</f>
        <v/>
      </c>
      <c r="N281" t="str">
        <f t="shared" si="122"/>
        <v/>
      </c>
      <c r="O281" s="5">
        <f t="shared" si="123"/>
        <v>0</v>
      </c>
      <c r="P281" s="5">
        <f t="shared" si="124"/>
        <v>0</v>
      </c>
      <c r="Q281" s="5" t="str">
        <f>CONCATENATE(+Contacts!G281)</f>
        <v/>
      </c>
      <c r="R281" t="str">
        <f t="shared" si="125"/>
        <v/>
      </c>
      <c r="S281" s="5">
        <f t="shared" si="126"/>
        <v>0</v>
      </c>
      <c r="T281" s="5">
        <f t="shared" si="127"/>
        <v>0</v>
      </c>
      <c r="U281" s="5" t="str">
        <f>CONCATENATE(+Contacts!H281)</f>
        <v/>
      </c>
      <c r="V281" t="str">
        <f t="shared" si="128"/>
        <v/>
      </c>
      <c r="W281" s="5">
        <f t="shared" si="129"/>
        <v>0</v>
      </c>
      <c r="X281" s="5">
        <f t="shared" si="130"/>
        <v>0</v>
      </c>
      <c r="Y281" s="5" t="str">
        <f>CONCATENATE(+Contacts!F281)</f>
        <v/>
      </c>
      <c r="Z281" s="2" t="str">
        <f t="shared" si="131"/>
        <v xml:space="preserve">Maneij, Annelies   </v>
      </c>
      <c r="AA281" s="2" t="str">
        <f>CONCATENATE(+Contacts!C281)</f>
        <v>Maneij</v>
      </c>
      <c r="AB281" s="2" t="str">
        <f t="shared" si="132"/>
        <v xml:space="preserve">, </v>
      </c>
      <c r="AC281" s="2" t="str">
        <f>CONCATENATE(+Contacts!A281)</f>
        <v>Annelies</v>
      </c>
      <c r="AD281" s="3" t="str">
        <f>CONCATENATE(" ",+Contacts!B281)</f>
        <v xml:space="preserve"> </v>
      </c>
      <c r="AE281" s="2" t="str">
        <f t="shared" si="133"/>
        <v xml:space="preserve"> </v>
      </c>
      <c r="AF281" s="3" t="str">
        <f>CONCATENATE(+Contacts!D281)</f>
        <v/>
      </c>
      <c r="AG281" s="2" t="str">
        <f t="shared" si="134"/>
        <v xml:space="preserve"> </v>
      </c>
      <c r="AH281" t="str">
        <f>CONCATENATE(+Contacts!I281)</f>
        <v>a.maneij@upcmail.nl</v>
      </c>
      <c r="AI281">
        <v>1500000010</v>
      </c>
      <c r="AJ281" s="5">
        <f t="shared" si="135"/>
        <v>0</v>
      </c>
    </row>
    <row r="282" spans="1:36" x14ac:dyDescent="0.35">
      <c r="A282" s="7" t="str">
        <f t="shared" si="110"/>
        <v>&lt;contact&gt;&lt;category&gt;0&lt;/category&gt;&lt;person&gt;&lt;realName&gt;Mark de Groot, Meneer De Groot (Kapper)&lt;/realName&gt;&lt;/person&gt;</v>
      </c>
      <c r="B282" s="7" t="str">
        <f t="shared" si="111"/>
        <v>&lt;telephony nid="1"&gt;&lt;number id="0" prio="1" type="home"&gt;(010) 236 77 58&lt;/number&gt;&lt;/telephony&gt;</v>
      </c>
      <c r="C282" s="7" t="str">
        <f t="shared" si="112"/>
        <v>&lt;services /&gt;&lt;setup /&gt;&lt;mod_time&gt;1500000010&lt;/mod_time&gt;&lt;uniqueid&gt;1&lt;/uniqueid&gt;&lt;/contact&gt;</v>
      </c>
      <c r="D282" t="str">
        <f t="shared" si="113"/>
        <v>&lt;contact&gt;&lt;category&gt;0&lt;/category&gt;&lt;person&gt;&lt;realName&gt;Mark de Groot, Meneer De Groot (Kapper)&lt;/realName&gt;&lt;/person&gt;</v>
      </c>
      <c r="E282" t="str">
        <f t="shared" si="114"/>
        <v>&lt;telephony nid="1"&gt;&lt;number id="0" prio="1" type="home"&gt;(010) 236 77 58&lt;/number&gt;&lt;/telephony&gt;</v>
      </c>
      <c r="F282" t="str">
        <f t="shared" si="115"/>
        <v>&lt;telephony nid="1"&gt;</v>
      </c>
      <c r="G282" t="str">
        <f t="shared" si="116"/>
        <v/>
      </c>
      <c r="H282" t="str">
        <f t="shared" si="117"/>
        <v>&lt;services nid="1"&gt;&lt;email id="0" classifier="private"&gt;&lt;/email&gt;&lt;/services&gt;&lt;setup /&gt;&lt;mod_time&gt;1500000010&lt;/mod_time&gt;&lt;uniqueid&gt;1&lt;/uniqueid&gt;&lt;/contact&gt;</v>
      </c>
      <c r="I282" t="str">
        <f t="shared" si="118"/>
        <v>&lt;services /&gt;&lt;setup /&gt;&lt;mod_time&gt;1500000010&lt;/mod_time&gt;&lt;uniqueid&gt;1&lt;/uniqueid&gt;&lt;/contact&gt;</v>
      </c>
      <c r="J282" t="str">
        <f t="shared" si="119"/>
        <v>&lt;services /&gt;&lt;setup /&gt;&lt;mod_time&gt;1500000010&lt;/mod_time&gt;&lt;uniqueid&gt;1&lt;/uniqueid&gt;&lt;/contact&gt;</v>
      </c>
      <c r="K282" s="5">
        <f t="shared" si="120"/>
        <v>0</v>
      </c>
      <c r="L282" s="5">
        <f t="shared" si="121"/>
        <v>0</v>
      </c>
      <c r="M282" s="5" t="str">
        <f>CONCATENATE(+Contacts!E282)</f>
        <v/>
      </c>
      <c r="N282" t="str">
        <f t="shared" si="122"/>
        <v>&lt;number id="0" prio="1" type="home"&gt;(010) 236 77 58&lt;/number&gt;</v>
      </c>
      <c r="O282" s="5">
        <f t="shared" si="123"/>
        <v>1</v>
      </c>
      <c r="P282" s="5">
        <f t="shared" si="124"/>
        <v>1</v>
      </c>
      <c r="Q282" s="5" t="str">
        <f>CONCATENATE(+Contacts!G282)</f>
        <v>(010) 236 77 58</v>
      </c>
      <c r="R282" t="str">
        <f t="shared" si="125"/>
        <v/>
      </c>
      <c r="S282" s="5">
        <f t="shared" si="126"/>
        <v>1</v>
      </c>
      <c r="T282" s="5">
        <f t="shared" si="127"/>
        <v>1</v>
      </c>
      <c r="U282" s="5" t="str">
        <f>CONCATENATE(+Contacts!H282)</f>
        <v/>
      </c>
      <c r="V282" t="str">
        <f t="shared" si="128"/>
        <v/>
      </c>
      <c r="W282" s="5">
        <f t="shared" si="129"/>
        <v>1</v>
      </c>
      <c r="X282" s="5">
        <f t="shared" si="130"/>
        <v>1</v>
      </c>
      <c r="Y282" s="5" t="str">
        <f>CONCATENATE(+Contacts!F282)</f>
        <v/>
      </c>
      <c r="Z282" s="2" t="str">
        <f t="shared" si="131"/>
        <v>Mark de Groot, Meneer De Groot (Kapper)</v>
      </c>
      <c r="AA282" s="2" t="str">
        <f>CONCATENATE(+Contacts!C282)</f>
        <v>Mark de Groot</v>
      </c>
      <c r="AB282" s="2" t="str">
        <f t="shared" si="132"/>
        <v xml:space="preserve">, </v>
      </c>
      <c r="AC282" s="2" t="str">
        <f>CONCATENATE(+Contacts!A282)</f>
        <v>Meneer De Groot</v>
      </c>
      <c r="AD282" s="3" t="str">
        <f>CONCATENATE(" ",+Contacts!B282)</f>
        <v xml:space="preserve"> </v>
      </c>
      <c r="AE282" s="2" t="str">
        <f t="shared" si="133"/>
        <v>(</v>
      </c>
      <c r="AF282" s="3" t="str">
        <f>CONCATENATE(+Contacts!D282)</f>
        <v>Kapper</v>
      </c>
      <c r="AG282" s="2" t="str">
        <f t="shared" si="134"/>
        <v>)</v>
      </c>
      <c r="AH282" t="str">
        <f>CONCATENATE(+Contacts!I282)</f>
        <v/>
      </c>
      <c r="AI282">
        <v>1500000010</v>
      </c>
      <c r="AJ282" s="5">
        <f t="shared" si="135"/>
        <v>1</v>
      </c>
    </row>
    <row r="283" spans="1:36" x14ac:dyDescent="0.35">
      <c r="A283" s="7" t="str">
        <f t="shared" si="110"/>
        <v>&lt;contact&gt;&lt;category&gt;0&lt;/category&gt;&lt;person&gt;&lt;realName&gt;Markovic, Alex   &lt;/realName&gt;&lt;/person&gt;</v>
      </c>
      <c r="B283" s="7" t="str">
        <f t="shared" si="111"/>
        <v>&lt;telephony nid="1"&gt;&lt;number id="0" prio="1" type="home"&gt;+31 6 42 97 82 32&lt;/number&gt;&lt;/telephony&gt;</v>
      </c>
      <c r="C283" s="7" t="str">
        <f t="shared" si="112"/>
        <v>&lt;services nid="1"&gt;&lt;email id="0" classifier="private"&gt;markovic_alex@hotmail.com&lt;/email&gt;&lt;/services&gt;&lt;setup /&gt;&lt;mod_time&gt;1500000010&lt;/mod_time&gt;&lt;uniqueid&gt;1&lt;/uniqueid&gt;&lt;/contact&gt;</v>
      </c>
      <c r="D283" t="str">
        <f t="shared" si="113"/>
        <v>&lt;contact&gt;&lt;category&gt;0&lt;/category&gt;&lt;person&gt;&lt;realName&gt;Markovic, Alex   &lt;/realName&gt;&lt;/person&gt;</v>
      </c>
      <c r="E283" t="str">
        <f t="shared" si="114"/>
        <v>&lt;telephony nid="1"&gt;&lt;number id="0" prio="1" type="home"&gt;+31 6 42 97 82 32&lt;/number&gt;&lt;/telephony&gt;</v>
      </c>
      <c r="F283" t="str">
        <f t="shared" si="115"/>
        <v>&lt;telephony nid="1"&gt;</v>
      </c>
      <c r="G283" t="str">
        <f t="shared" si="116"/>
        <v/>
      </c>
      <c r="H283" t="str">
        <f t="shared" si="117"/>
        <v>&lt;services nid="1"&gt;&lt;email id="0" classifier="private"&gt;markovic_alex@hotmail.com&lt;/email&gt;&lt;/services&gt;&lt;setup /&gt;&lt;mod_time&gt;1500000010&lt;/mod_time&gt;&lt;uniqueid&gt;1&lt;/uniqueid&gt;&lt;/contact&gt;</v>
      </c>
      <c r="I283" t="str">
        <f t="shared" si="118"/>
        <v>&lt;services /&gt;&lt;setup /&gt;&lt;mod_time&gt;1500000010&lt;/mod_time&gt;&lt;uniqueid&gt;1&lt;/uniqueid&gt;&lt;/contact&gt;</v>
      </c>
      <c r="J283" t="str">
        <f t="shared" si="119"/>
        <v>&lt;services nid="1"&gt;&lt;email id="0" classifier="private"&gt;markovic_alex@hotmail.com&lt;/email&gt;&lt;/services&gt;&lt;setup /&gt;&lt;mod_time&gt;1500000010&lt;/mod_time&gt;&lt;uniqueid&gt;1&lt;/uniqueid&gt;&lt;/contact&gt;</v>
      </c>
      <c r="K283" s="5">
        <f t="shared" si="120"/>
        <v>0</v>
      </c>
      <c r="L283" s="5">
        <f t="shared" si="121"/>
        <v>0</v>
      </c>
      <c r="M283" s="5" t="str">
        <f>CONCATENATE(+Contacts!E283)</f>
        <v/>
      </c>
      <c r="N283" t="str">
        <f t="shared" si="122"/>
        <v>&lt;number id="0" prio="1" type="home"&gt;+31 6 42 97 82 32&lt;/number&gt;</v>
      </c>
      <c r="O283" s="5">
        <f t="shared" si="123"/>
        <v>1</v>
      </c>
      <c r="P283" s="5">
        <f t="shared" si="124"/>
        <v>1</v>
      </c>
      <c r="Q283" s="5" t="str">
        <f>CONCATENATE(+Contacts!G283)</f>
        <v>+31 6 42 97 82 32</v>
      </c>
      <c r="R283" t="str">
        <f t="shared" si="125"/>
        <v/>
      </c>
      <c r="S283" s="5">
        <f t="shared" si="126"/>
        <v>1</v>
      </c>
      <c r="T283" s="5">
        <f t="shared" si="127"/>
        <v>1</v>
      </c>
      <c r="U283" s="5" t="str">
        <f>CONCATENATE(+Contacts!H283)</f>
        <v/>
      </c>
      <c r="V283" t="str">
        <f t="shared" si="128"/>
        <v/>
      </c>
      <c r="W283" s="5">
        <f t="shared" si="129"/>
        <v>1</v>
      </c>
      <c r="X283" s="5">
        <f t="shared" si="130"/>
        <v>1</v>
      </c>
      <c r="Y283" s="5" t="str">
        <f>CONCATENATE(+Contacts!F283)</f>
        <v/>
      </c>
      <c r="Z283" s="2" t="str">
        <f t="shared" si="131"/>
        <v xml:space="preserve">Markovic, Alex   </v>
      </c>
      <c r="AA283" s="2" t="str">
        <f>CONCATENATE(+Contacts!C283)</f>
        <v>Markovic</v>
      </c>
      <c r="AB283" s="2" t="str">
        <f t="shared" si="132"/>
        <v xml:space="preserve">, </v>
      </c>
      <c r="AC283" s="2" t="str">
        <f>CONCATENATE(+Contacts!A283)</f>
        <v>Alex</v>
      </c>
      <c r="AD283" s="3" t="str">
        <f>CONCATENATE(" ",+Contacts!B283)</f>
        <v xml:space="preserve"> </v>
      </c>
      <c r="AE283" s="2" t="str">
        <f t="shared" si="133"/>
        <v xml:space="preserve"> </v>
      </c>
      <c r="AF283" s="3" t="str">
        <f>CONCATENATE(+Contacts!D283)</f>
        <v/>
      </c>
      <c r="AG283" s="2" t="str">
        <f t="shared" si="134"/>
        <v xml:space="preserve"> </v>
      </c>
      <c r="AH283" t="str">
        <f>CONCATENATE(+Contacts!I283)</f>
        <v>markovic_alex@hotmail.com</v>
      </c>
      <c r="AI283">
        <v>1500000010</v>
      </c>
      <c r="AJ283" s="5">
        <f t="shared" si="135"/>
        <v>1</v>
      </c>
    </row>
    <row r="284" spans="1:36" x14ac:dyDescent="0.35">
      <c r="A284" s="7" t="str">
        <f t="shared" si="110"/>
        <v>&lt;contact&gt;&lt;category&gt;0&lt;/category&gt;&lt;person&gt;&lt;realName&gt;Marsala  (Pizzeria)&lt;/realName&gt;&lt;/person&gt;</v>
      </c>
      <c r="B284" s="7" t="str">
        <f t="shared" si="111"/>
        <v>&lt;telephony nid="1"&gt;&lt;number id="0" prio="1" type="work"&gt;+31 104224451&lt;/number&gt;&lt;/telephony&gt;</v>
      </c>
      <c r="C284" s="7" t="str">
        <f t="shared" si="112"/>
        <v>&lt;services /&gt;&lt;setup /&gt;&lt;mod_time&gt;1500000010&lt;/mod_time&gt;&lt;uniqueid&gt;1&lt;/uniqueid&gt;&lt;/contact&gt;</v>
      </c>
      <c r="D284" t="str">
        <f t="shared" si="113"/>
        <v>&lt;contact&gt;&lt;category&gt;0&lt;/category&gt;&lt;person&gt;&lt;realName&gt;Marsala  (Pizzeria)&lt;/realName&gt;&lt;/person&gt;</v>
      </c>
      <c r="E284" t="str">
        <f t="shared" si="114"/>
        <v>&lt;telephony nid="1"&gt;&lt;number id="0" prio="1" type="work"&gt;+31 104224451&lt;/number&gt;&lt;/telephony&gt;</v>
      </c>
      <c r="F284" t="str">
        <f t="shared" si="115"/>
        <v>&lt;telephony nid="1"&gt;</v>
      </c>
      <c r="G284" t="str">
        <f t="shared" si="116"/>
        <v>&lt;number id="0" prio="1" type="work"&gt;+31 104224451&lt;/number&gt;</v>
      </c>
      <c r="H284" t="str">
        <f t="shared" si="117"/>
        <v>&lt;services nid="1"&gt;&lt;email id="0" classifier="private"&gt;&lt;/email&gt;&lt;/services&gt;&lt;setup /&gt;&lt;mod_time&gt;1500000010&lt;/mod_time&gt;&lt;uniqueid&gt;1&lt;/uniqueid&gt;&lt;/contact&gt;</v>
      </c>
      <c r="I284" t="str">
        <f t="shared" si="118"/>
        <v>&lt;services /&gt;&lt;setup /&gt;&lt;mod_time&gt;1500000010&lt;/mod_time&gt;&lt;uniqueid&gt;1&lt;/uniqueid&gt;&lt;/contact&gt;</v>
      </c>
      <c r="J284" t="str">
        <f t="shared" si="119"/>
        <v>&lt;services /&gt;&lt;setup /&gt;&lt;mod_time&gt;1500000010&lt;/mod_time&gt;&lt;uniqueid&gt;1&lt;/uniqueid&gt;&lt;/contact&gt;</v>
      </c>
      <c r="K284" s="5">
        <f t="shared" si="120"/>
        <v>1</v>
      </c>
      <c r="L284" s="5">
        <f t="shared" si="121"/>
        <v>1</v>
      </c>
      <c r="M284" s="5" t="str">
        <f>CONCATENATE(+Contacts!E284)</f>
        <v>+31 104224451</v>
      </c>
      <c r="N284" t="str">
        <f t="shared" si="122"/>
        <v/>
      </c>
      <c r="O284" s="5">
        <f t="shared" si="123"/>
        <v>1</v>
      </c>
      <c r="P284" s="5">
        <f t="shared" si="124"/>
        <v>1</v>
      </c>
      <c r="Q284" s="5" t="str">
        <f>CONCATENATE(+Contacts!G284)</f>
        <v/>
      </c>
      <c r="R284" t="str">
        <f t="shared" si="125"/>
        <v/>
      </c>
      <c r="S284" s="5">
        <f t="shared" si="126"/>
        <v>1</v>
      </c>
      <c r="T284" s="5">
        <f t="shared" si="127"/>
        <v>1</v>
      </c>
      <c r="U284" s="5" t="str">
        <f>CONCATENATE(+Contacts!H284)</f>
        <v/>
      </c>
      <c r="V284" t="str">
        <f t="shared" si="128"/>
        <v/>
      </c>
      <c r="W284" s="5">
        <f t="shared" si="129"/>
        <v>1</v>
      </c>
      <c r="X284" s="5">
        <f t="shared" si="130"/>
        <v>1</v>
      </c>
      <c r="Y284" s="5" t="str">
        <f>CONCATENATE(+Contacts!F284)</f>
        <v/>
      </c>
      <c r="Z284" s="2" t="str">
        <f t="shared" si="131"/>
        <v>Marsala  (Pizzeria)</v>
      </c>
      <c r="AA284" s="2" t="str">
        <f>CONCATENATE(+Contacts!C284)</f>
        <v>Marsala</v>
      </c>
      <c r="AB284" s="2" t="str">
        <f t="shared" si="132"/>
        <v xml:space="preserve"> </v>
      </c>
      <c r="AC284" s="2" t="str">
        <f>CONCATENATE(+Contacts!A284)</f>
        <v/>
      </c>
      <c r="AD284" s="3" t="str">
        <f>CONCATENATE(" ",+Contacts!B284)</f>
        <v xml:space="preserve"> </v>
      </c>
      <c r="AE284" s="2" t="str">
        <f t="shared" si="133"/>
        <v>(</v>
      </c>
      <c r="AF284" s="3" t="str">
        <f>CONCATENATE(+Contacts!D284)</f>
        <v>Pizzeria</v>
      </c>
      <c r="AG284" s="2" t="str">
        <f t="shared" si="134"/>
        <v>)</v>
      </c>
      <c r="AH284" t="str">
        <f>CONCATENATE(+Contacts!I284)</f>
        <v/>
      </c>
      <c r="AI284">
        <v>1500000010</v>
      </c>
      <c r="AJ284" s="5">
        <f t="shared" si="135"/>
        <v>1</v>
      </c>
    </row>
    <row r="285" spans="1:36" x14ac:dyDescent="0.35">
      <c r="A285" s="7" t="str">
        <f t="shared" si="110"/>
        <v>&lt;contact&gt;&lt;category&gt;0&lt;/category&gt;&lt;person&gt;&lt;realName&gt;Masson, Chantal   &lt;/realName&gt;&lt;/person&gt;</v>
      </c>
      <c r="B285" s="7" t="str">
        <f t="shared" si="111"/>
        <v>&lt;telephony nid="3"&gt;&lt;number id="0" prio="1" type="home"&gt;+33 140359211&lt;/number&gt;&lt;number id="1" prio="0" type="mobile"&gt;+33 607520671&lt;/number&gt;&lt;number id="2" prio="0" type="work"&gt;+33 175509211&lt;/number&gt;&lt;/telephony&gt;</v>
      </c>
      <c r="C285" s="7" t="str">
        <f t="shared" si="112"/>
        <v>&lt;services nid="1"&gt;&lt;email id="0" classifier="private"&gt;chantalmasson@noos.fr&lt;/email&gt;&lt;/services&gt;&lt;setup /&gt;&lt;mod_time&gt;1500000010&lt;/mod_time&gt;&lt;uniqueid&gt;1&lt;/uniqueid&gt;&lt;/contact&gt;</v>
      </c>
      <c r="D285" t="str">
        <f t="shared" si="113"/>
        <v>&lt;contact&gt;&lt;category&gt;0&lt;/category&gt;&lt;person&gt;&lt;realName&gt;Masson, Chantal   &lt;/realName&gt;&lt;/person&gt;</v>
      </c>
      <c r="E285" t="str">
        <f t="shared" si="114"/>
        <v>&lt;telephony nid="3"&gt;&lt;number id="0" prio="1" type="home"&gt;+33 140359211&lt;/number&gt;&lt;number id="1" prio="0" type="mobile"&gt;+33 607520671&lt;/number&gt;&lt;number id="2" prio="0" type="work"&gt;+33 175509211&lt;/number&gt;&lt;/telephony&gt;</v>
      </c>
      <c r="F285" t="str">
        <f t="shared" si="115"/>
        <v>&lt;telephony nid="3"&gt;</v>
      </c>
      <c r="G285" t="str">
        <f t="shared" si="116"/>
        <v/>
      </c>
      <c r="H285" t="str">
        <f t="shared" si="117"/>
        <v>&lt;services nid="1"&gt;&lt;email id="0" classifier="private"&gt;chantalmasson@noos.fr&lt;/email&gt;&lt;/services&gt;&lt;setup /&gt;&lt;mod_time&gt;1500000010&lt;/mod_time&gt;&lt;uniqueid&gt;1&lt;/uniqueid&gt;&lt;/contact&gt;</v>
      </c>
      <c r="I285" t="str">
        <f t="shared" si="118"/>
        <v>&lt;services /&gt;&lt;setup /&gt;&lt;mod_time&gt;1500000010&lt;/mod_time&gt;&lt;uniqueid&gt;1&lt;/uniqueid&gt;&lt;/contact&gt;</v>
      </c>
      <c r="J285" t="str">
        <f t="shared" si="119"/>
        <v>&lt;services nid="1"&gt;&lt;email id="0" classifier="private"&gt;chantalmasson@noos.fr&lt;/email&gt;&lt;/services&gt;&lt;setup /&gt;&lt;mod_time&gt;1500000010&lt;/mod_time&gt;&lt;uniqueid&gt;1&lt;/uniqueid&gt;&lt;/contact&gt;</v>
      </c>
      <c r="K285" s="5">
        <f t="shared" si="120"/>
        <v>0</v>
      </c>
      <c r="L285" s="5">
        <f t="shared" si="121"/>
        <v>0</v>
      </c>
      <c r="M285" s="5" t="str">
        <f>CONCATENATE(+Contacts!E285)</f>
        <v/>
      </c>
      <c r="N285" t="str">
        <f t="shared" si="122"/>
        <v>&lt;number id="0" prio="1" type="home"&gt;+33 140359211&lt;/number&gt;</v>
      </c>
      <c r="O285" s="5">
        <f t="shared" si="123"/>
        <v>1</v>
      </c>
      <c r="P285" s="5">
        <f t="shared" si="124"/>
        <v>1</v>
      </c>
      <c r="Q285" s="5" t="str">
        <f>CONCATENATE(+Contacts!G285)</f>
        <v>+33 140359211</v>
      </c>
      <c r="R285" t="str">
        <f t="shared" si="125"/>
        <v>&lt;number id="1" prio="0" type="mobile"&gt;+33 607520671&lt;/number&gt;</v>
      </c>
      <c r="S285" s="5">
        <f t="shared" si="126"/>
        <v>2</v>
      </c>
      <c r="T285" s="5">
        <f t="shared" si="127"/>
        <v>0</v>
      </c>
      <c r="U285" s="5" t="str">
        <f>CONCATENATE(+Contacts!H285)</f>
        <v>+33 607520671</v>
      </c>
      <c r="V285" t="str">
        <f t="shared" si="128"/>
        <v>&lt;number id="2" prio="0" type="work"&gt;+33 175509211&lt;/number&gt;</v>
      </c>
      <c r="W285" s="5">
        <f t="shared" si="129"/>
        <v>3</v>
      </c>
      <c r="X285" s="5">
        <f t="shared" si="130"/>
        <v>0</v>
      </c>
      <c r="Y285" s="5" t="str">
        <f>CONCATENATE(+Contacts!F285)</f>
        <v>+33 175509211</v>
      </c>
      <c r="Z285" s="2" t="str">
        <f t="shared" si="131"/>
        <v xml:space="preserve">Masson, Chantal   </v>
      </c>
      <c r="AA285" s="2" t="str">
        <f>CONCATENATE(+Contacts!C285)</f>
        <v>Masson</v>
      </c>
      <c r="AB285" s="2" t="str">
        <f t="shared" si="132"/>
        <v xml:space="preserve">, </v>
      </c>
      <c r="AC285" s="2" t="str">
        <f>CONCATENATE(+Contacts!A285)</f>
        <v>Chantal</v>
      </c>
      <c r="AD285" s="3" t="str">
        <f>CONCATENATE(" ",+Contacts!B285)</f>
        <v xml:space="preserve"> </v>
      </c>
      <c r="AE285" s="2" t="str">
        <f t="shared" si="133"/>
        <v xml:space="preserve"> </v>
      </c>
      <c r="AF285" s="3" t="str">
        <f>CONCATENATE(+Contacts!D285)</f>
        <v/>
      </c>
      <c r="AG285" s="2" t="str">
        <f t="shared" si="134"/>
        <v xml:space="preserve"> </v>
      </c>
      <c r="AH285" t="str">
        <f>CONCATENATE(+Contacts!I285)</f>
        <v>chantalmasson@noos.fr</v>
      </c>
      <c r="AI285">
        <v>1500000010</v>
      </c>
      <c r="AJ285" s="5">
        <f t="shared" si="135"/>
        <v>1</v>
      </c>
    </row>
    <row r="286" spans="1:36" x14ac:dyDescent="0.35">
      <c r="A286" s="7" t="str">
        <f t="shared" si="110"/>
        <v>&lt;contact&gt;&lt;category&gt;0&lt;/category&gt;&lt;person&gt;&lt;realName&gt;Masson, Jean Yves   &lt;/realName&gt;&lt;/person&gt;</v>
      </c>
      <c r="B286" s="7" t="str">
        <f t="shared" si="111"/>
        <v>&lt;telephony nid="1"&gt;&lt;number id="0" prio="1" type="mobile"&gt;+33 6 45 47 94 27&lt;/number&gt;&lt;/telephony&gt;</v>
      </c>
      <c r="C286" s="7" t="str">
        <f t="shared" si="112"/>
        <v>&lt;services /&gt;&lt;setup /&gt;&lt;mod_time&gt;1500000010&lt;/mod_time&gt;&lt;uniqueid&gt;1&lt;/uniqueid&gt;&lt;/contact&gt;</v>
      </c>
      <c r="D286" t="str">
        <f t="shared" si="113"/>
        <v>&lt;contact&gt;&lt;category&gt;0&lt;/category&gt;&lt;person&gt;&lt;realName&gt;Masson, Jean Yves   &lt;/realName&gt;&lt;/person&gt;</v>
      </c>
      <c r="E286" t="str">
        <f t="shared" si="114"/>
        <v>&lt;telephony nid="1"&gt;&lt;number id="0" prio="1" type="mobile"&gt;+33 6 45 47 94 27&lt;/number&gt;&lt;/telephony&gt;</v>
      </c>
      <c r="F286" t="str">
        <f t="shared" si="115"/>
        <v>&lt;telephony nid="1"&gt;</v>
      </c>
      <c r="G286" t="str">
        <f t="shared" si="116"/>
        <v/>
      </c>
      <c r="H286" t="str">
        <f t="shared" si="117"/>
        <v>&lt;services nid="1"&gt;&lt;email id="0" classifier="private"&gt;&lt;/email&gt;&lt;/services&gt;&lt;setup /&gt;&lt;mod_time&gt;1500000010&lt;/mod_time&gt;&lt;uniqueid&gt;1&lt;/uniqueid&gt;&lt;/contact&gt;</v>
      </c>
      <c r="I286" t="str">
        <f t="shared" si="118"/>
        <v>&lt;services /&gt;&lt;setup /&gt;&lt;mod_time&gt;1500000010&lt;/mod_time&gt;&lt;uniqueid&gt;1&lt;/uniqueid&gt;&lt;/contact&gt;</v>
      </c>
      <c r="J286" t="str">
        <f t="shared" si="119"/>
        <v>&lt;services /&gt;&lt;setup /&gt;&lt;mod_time&gt;1500000010&lt;/mod_time&gt;&lt;uniqueid&gt;1&lt;/uniqueid&gt;&lt;/contact&gt;</v>
      </c>
      <c r="K286" s="5">
        <f t="shared" si="120"/>
        <v>0</v>
      </c>
      <c r="L286" s="5">
        <f t="shared" si="121"/>
        <v>0</v>
      </c>
      <c r="M286" s="5" t="str">
        <f>CONCATENATE(+Contacts!E286)</f>
        <v/>
      </c>
      <c r="N286" t="str">
        <f t="shared" si="122"/>
        <v/>
      </c>
      <c r="O286" s="5">
        <f t="shared" si="123"/>
        <v>0</v>
      </c>
      <c r="P286" s="5">
        <f t="shared" si="124"/>
        <v>0</v>
      </c>
      <c r="Q286" s="5" t="str">
        <f>CONCATENATE(+Contacts!G286)</f>
        <v/>
      </c>
      <c r="R286" t="str">
        <f t="shared" si="125"/>
        <v>&lt;number id="0" prio="1" type="mobile"&gt;+33 6 45 47 94 27&lt;/number&gt;</v>
      </c>
      <c r="S286" s="5">
        <f t="shared" si="126"/>
        <v>1</v>
      </c>
      <c r="T286" s="5">
        <f t="shared" si="127"/>
        <v>1</v>
      </c>
      <c r="U286" s="5" t="str">
        <f>CONCATENATE(+Contacts!H286)</f>
        <v>+33 6 45 47 94 27</v>
      </c>
      <c r="V286" t="str">
        <f t="shared" si="128"/>
        <v/>
      </c>
      <c r="W286" s="5">
        <f t="shared" si="129"/>
        <v>1</v>
      </c>
      <c r="X286" s="5">
        <f t="shared" si="130"/>
        <v>1</v>
      </c>
      <c r="Y286" s="5" t="str">
        <f>CONCATENATE(+Contacts!F286)</f>
        <v/>
      </c>
      <c r="Z286" s="2" t="str">
        <f t="shared" si="131"/>
        <v xml:space="preserve">Masson, Jean Yves   </v>
      </c>
      <c r="AA286" s="2" t="str">
        <f>CONCATENATE(+Contacts!C286)</f>
        <v>Masson</v>
      </c>
      <c r="AB286" s="2" t="str">
        <f t="shared" si="132"/>
        <v xml:space="preserve">, </v>
      </c>
      <c r="AC286" s="2" t="str">
        <f>CONCATENATE(+Contacts!A286)</f>
        <v>Jean Yves</v>
      </c>
      <c r="AD286" s="3" t="str">
        <f>CONCATENATE(" ",+Contacts!B286)</f>
        <v xml:space="preserve"> </v>
      </c>
      <c r="AE286" s="2" t="str">
        <f t="shared" si="133"/>
        <v xml:space="preserve"> </v>
      </c>
      <c r="AF286" s="3" t="str">
        <f>CONCATENATE(+Contacts!D286)</f>
        <v/>
      </c>
      <c r="AG286" s="2" t="str">
        <f t="shared" si="134"/>
        <v xml:space="preserve"> </v>
      </c>
      <c r="AH286" t="str">
        <f>CONCATENATE(+Contacts!I286)</f>
        <v/>
      </c>
      <c r="AI286">
        <v>1500000010</v>
      </c>
      <c r="AJ286" s="5">
        <f t="shared" si="135"/>
        <v>1</v>
      </c>
    </row>
    <row r="287" spans="1:36" x14ac:dyDescent="0.35">
      <c r="A287" s="7" t="str">
        <f t="shared" si="110"/>
        <v>&lt;contact&gt;&lt;category&gt;0&lt;/category&gt;&lt;person&gt;&lt;realName&gt;Masson, Lou   &lt;/realName&gt;&lt;/person&gt;</v>
      </c>
      <c r="B287" s="7" t="str">
        <f t="shared" si="111"/>
        <v>&lt;telephony nid="1"&gt;&lt;number id="0" prio="1" type="home"&gt;00 33 6 84 42 14 03&lt;/number&gt;&lt;/telephony&gt;</v>
      </c>
      <c r="C287" s="7" t="str">
        <f t="shared" si="112"/>
        <v>&lt;services /&gt;&lt;setup /&gt;&lt;mod_time&gt;1500000010&lt;/mod_time&gt;&lt;uniqueid&gt;1&lt;/uniqueid&gt;&lt;/contact&gt;</v>
      </c>
      <c r="D287" t="str">
        <f t="shared" si="113"/>
        <v>&lt;contact&gt;&lt;category&gt;0&lt;/category&gt;&lt;person&gt;&lt;realName&gt;Masson, Lou   &lt;/realName&gt;&lt;/person&gt;</v>
      </c>
      <c r="E287" t="str">
        <f t="shared" si="114"/>
        <v>&lt;telephony nid="1"&gt;&lt;number id="0" prio="1" type="home"&gt;00 33 6 84 42 14 03&lt;/number&gt;&lt;/telephony&gt;</v>
      </c>
      <c r="F287" t="str">
        <f t="shared" si="115"/>
        <v>&lt;telephony nid="1"&gt;</v>
      </c>
      <c r="G287" t="str">
        <f t="shared" si="116"/>
        <v/>
      </c>
      <c r="H287" t="str">
        <f t="shared" si="117"/>
        <v>&lt;services nid="1"&gt;&lt;email id="0" classifier="private"&gt;&lt;/email&gt;&lt;/services&gt;&lt;setup /&gt;&lt;mod_time&gt;1500000010&lt;/mod_time&gt;&lt;uniqueid&gt;1&lt;/uniqueid&gt;&lt;/contact&gt;</v>
      </c>
      <c r="I287" t="str">
        <f t="shared" si="118"/>
        <v>&lt;services /&gt;&lt;setup /&gt;&lt;mod_time&gt;1500000010&lt;/mod_time&gt;&lt;uniqueid&gt;1&lt;/uniqueid&gt;&lt;/contact&gt;</v>
      </c>
      <c r="J287" t="str">
        <f t="shared" si="119"/>
        <v>&lt;services /&gt;&lt;setup /&gt;&lt;mod_time&gt;1500000010&lt;/mod_time&gt;&lt;uniqueid&gt;1&lt;/uniqueid&gt;&lt;/contact&gt;</v>
      </c>
      <c r="K287" s="5">
        <f t="shared" si="120"/>
        <v>0</v>
      </c>
      <c r="L287" s="5">
        <f t="shared" si="121"/>
        <v>0</v>
      </c>
      <c r="M287" s="5" t="str">
        <f>CONCATENATE(+Contacts!E287)</f>
        <v/>
      </c>
      <c r="N287" t="str">
        <f t="shared" si="122"/>
        <v>&lt;number id="0" prio="1" type="home"&gt;00 33 6 84 42 14 03&lt;/number&gt;</v>
      </c>
      <c r="O287" s="5">
        <f t="shared" si="123"/>
        <v>1</v>
      </c>
      <c r="P287" s="5">
        <f t="shared" si="124"/>
        <v>1</v>
      </c>
      <c r="Q287" s="5" t="str">
        <f>CONCATENATE(+Contacts!G287)</f>
        <v>00 33 6 84 42 14 03</v>
      </c>
      <c r="R287" t="str">
        <f t="shared" si="125"/>
        <v/>
      </c>
      <c r="S287" s="5">
        <f t="shared" si="126"/>
        <v>1</v>
      </c>
      <c r="T287" s="5">
        <f t="shared" si="127"/>
        <v>1</v>
      </c>
      <c r="U287" s="5" t="str">
        <f>CONCATENATE(+Contacts!H287)</f>
        <v/>
      </c>
      <c r="V287" t="str">
        <f t="shared" si="128"/>
        <v/>
      </c>
      <c r="W287" s="5">
        <f t="shared" si="129"/>
        <v>1</v>
      </c>
      <c r="X287" s="5">
        <f t="shared" si="130"/>
        <v>1</v>
      </c>
      <c r="Y287" s="5" t="str">
        <f>CONCATENATE(+Contacts!F287)</f>
        <v/>
      </c>
      <c r="Z287" s="2" t="str">
        <f t="shared" si="131"/>
        <v xml:space="preserve">Masson, Lou   </v>
      </c>
      <c r="AA287" s="2" t="str">
        <f>CONCATENATE(+Contacts!C287)</f>
        <v>Masson</v>
      </c>
      <c r="AB287" s="2" t="str">
        <f t="shared" si="132"/>
        <v xml:space="preserve">, </v>
      </c>
      <c r="AC287" s="2" t="str">
        <f>CONCATENATE(+Contacts!A287)</f>
        <v>Lou</v>
      </c>
      <c r="AD287" s="3" t="str">
        <f>CONCATENATE(" ",+Contacts!B287)</f>
        <v xml:space="preserve"> </v>
      </c>
      <c r="AE287" s="2" t="str">
        <f t="shared" si="133"/>
        <v xml:space="preserve"> </v>
      </c>
      <c r="AF287" s="3" t="str">
        <f>CONCATENATE(+Contacts!D287)</f>
        <v/>
      </c>
      <c r="AG287" s="2" t="str">
        <f t="shared" si="134"/>
        <v xml:space="preserve"> </v>
      </c>
      <c r="AH287" t="str">
        <f>CONCATENATE(+Contacts!I287)</f>
        <v/>
      </c>
      <c r="AI287">
        <v>1500000010</v>
      </c>
      <c r="AJ287" s="5">
        <f t="shared" si="135"/>
        <v>1</v>
      </c>
    </row>
    <row r="288" spans="1:36" x14ac:dyDescent="0.35">
      <c r="A288" s="7" t="str">
        <f t="shared" si="110"/>
        <v>&lt;contact&gt;&lt;category&gt;0&lt;/category&gt;&lt;person&gt;&lt;realName&gt;Meijer, Jolanda   &lt;/realName&gt;&lt;/person&gt;</v>
      </c>
      <c r="B288" s="7" t="str">
        <f t="shared" si="111"/>
        <v>&lt;telephony nid="1"&gt;&lt;number id="0" prio="1" type="home"&gt;(06) 17 53 28 07&lt;/number&gt;&lt;/telephony&gt;</v>
      </c>
      <c r="C288" s="7" t="str">
        <f t="shared" si="112"/>
        <v>&lt;services nid="1"&gt;&lt;email id="0" classifier="private"&gt;jooltjemeijer@hotmail.nl&lt;/email&gt;&lt;/services&gt;&lt;setup /&gt;&lt;mod_time&gt;1500000010&lt;/mod_time&gt;&lt;uniqueid&gt;1&lt;/uniqueid&gt;&lt;/contact&gt;</v>
      </c>
      <c r="D288" t="str">
        <f t="shared" si="113"/>
        <v>&lt;contact&gt;&lt;category&gt;0&lt;/category&gt;&lt;person&gt;&lt;realName&gt;Meijer, Jolanda   &lt;/realName&gt;&lt;/person&gt;</v>
      </c>
      <c r="E288" t="str">
        <f t="shared" si="114"/>
        <v>&lt;telephony nid="1"&gt;&lt;number id="0" prio="1" type="home"&gt;(06) 17 53 28 07&lt;/number&gt;&lt;/telephony&gt;</v>
      </c>
      <c r="F288" t="str">
        <f t="shared" si="115"/>
        <v>&lt;telephony nid="1"&gt;</v>
      </c>
      <c r="G288" t="str">
        <f t="shared" si="116"/>
        <v/>
      </c>
      <c r="H288" t="str">
        <f t="shared" si="117"/>
        <v>&lt;services nid="1"&gt;&lt;email id="0" classifier="private"&gt;jooltjemeijer@hotmail.nl&lt;/email&gt;&lt;/services&gt;&lt;setup /&gt;&lt;mod_time&gt;1500000010&lt;/mod_time&gt;&lt;uniqueid&gt;1&lt;/uniqueid&gt;&lt;/contact&gt;</v>
      </c>
      <c r="I288" t="str">
        <f t="shared" si="118"/>
        <v>&lt;services /&gt;&lt;setup /&gt;&lt;mod_time&gt;1500000010&lt;/mod_time&gt;&lt;uniqueid&gt;1&lt;/uniqueid&gt;&lt;/contact&gt;</v>
      </c>
      <c r="J288" t="str">
        <f t="shared" si="119"/>
        <v>&lt;services nid="1"&gt;&lt;email id="0" classifier="private"&gt;jooltjemeijer@hotmail.nl&lt;/email&gt;&lt;/services&gt;&lt;setup /&gt;&lt;mod_time&gt;1500000010&lt;/mod_time&gt;&lt;uniqueid&gt;1&lt;/uniqueid&gt;&lt;/contact&gt;</v>
      </c>
      <c r="K288" s="5">
        <f t="shared" si="120"/>
        <v>0</v>
      </c>
      <c r="L288" s="5">
        <f t="shared" si="121"/>
        <v>0</v>
      </c>
      <c r="M288" s="5" t="str">
        <f>CONCATENATE(+Contacts!E288)</f>
        <v/>
      </c>
      <c r="N288" t="str">
        <f t="shared" si="122"/>
        <v>&lt;number id="0" prio="1" type="home"&gt;(06) 17 53 28 07&lt;/number&gt;</v>
      </c>
      <c r="O288" s="5">
        <f t="shared" si="123"/>
        <v>1</v>
      </c>
      <c r="P288" s="5">
        <f t="shared" si="124"/>
        <v>1</v>
      </c>
      <c r="Q288" s="5" t="str">
        <f>CONCATENATE(+Contacts!G288)</f>
        <v>(06) 17 53 28 07</v>
      </c>
      <c r="R288" t="str">
        <f t="shared" si="125"/>
        <v/>
      </c>
      <c r="S288" s="5">
        <f t="shared" si="126"/>
        <v>1</v>
      </c>
      <c r="T288" s="5">
        <f t="shared" si="127"/>
        <v>1</v>
      </c>
      <c r="U288" s="5" t="str">
        <f>CONCATENATE(+Contacts!H288)</f>
        <v/>
      </c>
      <c r="V288" t="str">
        <f t="shared" si="128"/>
        <v/>
      </c>
      <c r="W288" s="5">
        <f t="shared" si="129"/>
        <v>1</v>
      </c>
      <c r="X288" s="5">
        <f t="shared" si="130"/>
        <v>1</v>
      </c>
      <c r="Y288" s="5" t="str">
        <f>CONCATENATE(+Contacts!F288)</f>
        <v/>
      </c>
      <c r="Z288" s="2" t="str">
        <f t="shared" si="131"/>
        <v xml:space="preserve">Meijer, Jolanda   </v>
      </c>
      <c r="AA288" s="2" t="str">
        <f>CONCATENATE(+Contacts!C288)</f>
        <v>Meijer</v>
      </c>
      <c r="AB288" s="2" t="str">
        <f t="shared" si="132"/>
        <v xml:space="preserve">, </v>
      </c>
      <c r="AC288" s="2" t="str">
        <f>CONCATENATE(+Contacts!A288)</f>
        <v>Jolanda</v>
      </c>
      <c r="AD288" s="3" t="str">
        <f>CONCATENATE(" ",+Contacts!B288)</f>
        <v xml:space="preserve"> </v>
      </c>
      <c r="AE288" s="2" t="str">
        <f t="shared" si="133"/>
        <v xml:space="preserve"> </v>
      </c>
      <c r="AF288" s="3" t="str">
        <f>CONCATENATE(+Contacts!D288)</f>
        <v/>
      </c>
      <c r="AG288" s="2" t="str">
        <f t="shared" si="134"/>
        <v xml:space="preserve"> </v>
      </c>
      <c r="AH288" t="str">
        <f>CONCATENATE(+Contacts!I288)</f>
        <v>jooltjemeijer@hotmail.nl</v>
      </c>
      <c r="AI288">
        <v>1500000010</v>
      </c>
      <c r="AJ288" s="5">
        <f t="shared" si="135"/>
        <v>1</v>
      </c>
    </row>
    <row r="289" spans="1:36" x14ac:dyDescent="0.35">
      <c r="A289" s="7" t="str">
        <f t="shared" si="110"/>
        <v>&lt;contact&gt;&lt;category&gt;0&lt;/category&gt;&lt;person&gt;&lt;realName&gt;Melanchthon  (School)&lt;/realName&gt;&lt;/person&gt;</v>
      </c>
      <c r="B289" s="7" t="str">
        <f t="shared" si="111"/>
        <v>&lt;telephony nid="1"&gt;&lt;number id="0" prio="1" type="work"&gt;+31 102854141&lt;/number&gt;&lt;/telephony&gt;</v>
      </c>
      <c r="C289" s="7" t="str">
        <f t="shared" si="112"/>
        <v>&lt;services /&gt;&lt;setup /&gt;&lt;mod_time&gt;1500000010&lt;/mod_time&gt;&lt;uniqueid&gt;1&lt;/uniqueid&gt;&lt;/contact&gt;</v>
      </c>
      <c r="D289" t="str">
        <f t="shared" si="113"/>
        <v>&lt;contact&gt;&lt;category&gt;0&lt;/category&gt;&lt;person&gt;&lt;realName&gt;Melanchthon  (School)&lt;/realName&gt;&lt;/person&gt;</v>
      </c>
      <c r="E289" t="str">
        <f t="shared" si="114"/>
        <v>&lt;telephony nid="1"&gt;&lt;number id="0" prio="1" type="work"&gt;+31 102854141&lt;/number&gt;&lt;/telephony&gt;</v>
      </c>
      <c r="F289" t="str">
        <f t="shared" si="115"/>
        <v>&lt;telephony nid="1"&gt;</v>
      </c>
      <c r="G289" t="str">
        <f t="shared" si="116"/>
        <v>&lt;number id="0" prio="1" type="work"&gt;+31 102854141&lt;/number&gt;</v>
      </c>
      <c r="H289" t="str">
        <f t="shared" si="117"/>
        <v>&lt;services nid="1"&gt;&lt;email id="0" classifier="private"&gt;&lt;/email&gt;&lt;/services&gt;&lt;setup /&gt;&lt;mod_time&gt;1500000010&lt;/mod_time&gt;&lt;uniqueid&gt;1&lt;/uniqueid&gt;&lt;/contact&gt;</v>
      </c>
      <c r="I289" t="str">
        <f t="shared" si="118"/>
        <v>&lt;services /&gt;&lt;setup /&gt;&lt;mod_time&gt;1500000010&lt;/mod_time&gt;&lt;uniqueid&gt;1&lt;/uniqueid&gt;&lt;/contact&gt;</v>
      </c>
      <c r="J289" t="str">
        <f t="shared" si="119"/>
        <v>&lt;services /&gt;&lt;setup /&gt;&lt;mod_time&gt;1500000010&lt;/mod_time&gt;&lt;uniqueid&gt;1&lt;/uniqueid&gt;&lt;/contact&gt;</v>
      </c>
      <c r="K289" s="5">
        <f t="shared" si="120"/>
        <v>1</v>
      </c>
      <c r="L289" s="5">
        <f t="shared" si="121"/>
        <v>1</v>
      </c>
      <c r="M289" s="5" t="str">
        <f>CONCATENATE(+Contacts!E289)</f>
        <v>+31 102854141</v>
      </c>
      <c r="N289" t="str">
        <f t="shared" si="122"/>
        <v/>
      </c>
      <c r="O289" s="5">
        <f t="shared" si="123"/>
        <v>1</v>
      </c>
      <c r="P289" s="5">
        <f t="shared" si="124"/>
        <v>1</v>
      </c>
      <c r="Q289" s="5" t="str">
        <f>CONCATENATE(+Contacts!G289)</f>
        <v/>
      </c>
      <c r="R289" t="str">
        <f t="shared" si="125"/>
        <v/>
      </c>
      <c r="S289" s="5">
        <f t="shared" si="126"/>
        <v>1</v>
      </c>
      <c r="T289" s="5">
        <f t="shared" si="127"/>
        <v>1</v>
      </c>
      <c r="U289" s="5" t="str">
        <f>CONCATENATE(+Contacts!H289)</f>
        <v/>
      </c>
      <c r="V289" t="str">
        <f t="shared" si="128"/>
        <v/>
      </c>
      <c r="W289" s="5">
        <f t="shared" si="129"/>
        <v>1</v>
      </c>
      <c r="X289" s="5">
        <f t="shared" si="130"/>
        <v>1</v>
      </c>
      <c r="Y289" s="5" t="str">
        <f>CONCATENATE(+Contacts!F289)</f>
        <v/>
      </c>
      <c r="Z289" s="2" t="str">
        <f t="shared" si="131"/>
        <v>Melanchthon  (School)</v>
      </c>
      <c r="AA289" s="2" t="str">
        <f>CONCATENATE(+Contacts!C289)</f>
        <v>Melanchthon</v>
      </c>
      <c r="AB289" s="2" t="str">
        <f t="shared" si="132"/>
        <v xml:space="preserve"> </v>
      </c>
      <c r="AC289" s="2" t="str">
        <f>CONCATENATE(+Contacts!A289)</f>
        <v/>
      </c>
      <c r="AD289" s="3" t="str">
        <f>CONCATENATE(" ",+Contacts!B289)</f>
        <v xml:space="preserve"> </v>
      </c>
      <c r="AE289" s="2" t="str">
        <f t="shared" si="133"/>
        <v>(</v>
      </c>
      <c r="AF289" s="3" t="str">
        <f>CONCATENATE(+Contacts!D289)</f>
        <v>School</v>
      </c>
      <c r="AG289" s="2" t="str">
        <f t="shared" si="134"/>
        <v>)</v>
      </c>
      <c r="AH289" t="str">
        <f>CONCATENATE(+Contacts!I289)</f>
        <v/>
      </c>
      <c r="AI289">
        <v>1500000010</v>
      </c>
      <c r="AJ289" s="5">
        <f t="shared" si="135"/>
        <v>1</v>
      </c>
    </row>
    <row r="290" spans="1:36" x14ac:dyDescent="0.35">
      <c r="A290" s="7" t="str">
        <f t="shared" si="110"/>
        <v>&lt;contact&gt;&lt;category&gt;0&lt;/category&gt;&lt;person&gt;&lt;realName&gt;Menke-Pluijmers, Marian   &lt;/realName&gt;&lt;/person&gt;</v>
      </c>
      <c r="B290" s="7" t="str">
        <f t="shared" si="111"/>
        <v>&lt;telephony nid="1"&gt;&lt;number id="0" prio="1" type="mobile"&gt;+31 614 225266&lt;/number&gt;&lt;/telephony&gt;</v>
      </c>
      <c r="C290" s="7" t="str">
        <f t="shared" si="112"/>
        <v>&lt;services nid="1"&gt;&lt;email id="0" classifier="private"&gt;mbe.menke@asz.nl&lt;/email&gt;&lt;/services&gt;&lt;setup /&gt;&lt;mod_time&gt;1500000010&lt;/mod_time&gt;&lt;uniqueid&gt;1&lt;/uniqueid&gt;&lt;/contact&gt;</v>
      </c>
      <c r="D290" t="str">
        <f t="shared" si="113"/>
        <v>&lt;contact&gt;&lt;category&gt;0&lt;/category&gt;&lt;person&gt;&lt;realName&gt;Menke-Pluijmers, Marian   &lt;/realName&gt;&lt;/person&gt;</v>
      </c>
      <c r="E290" t="str">
        <f t="shared" si="114"/>
        <v>&lt;telephony nid="1"&gt;&lt;number id="0" prio="1" type="mobile"&gt;+31 614 225266&lt;/number&gt;&lt;/telephony&gt;</v>
      </c>
      <c r="F290" t="str">
        <f t="shared" si="115"/>
        <v>&lt;telephony nid="1"&gt;</v>
      </c>
      <c r="G290" t="str">
        <f t="shared" si="116"/>
        <v/>
      </c>
      <c r="H290" t="str">
        <f t="shared" si="117"/>
        <v>&lt;services nid="1"&gt;&lt;email id="0" classifier="private"&gt;mbe.menke@asz.nl&lt;/email&gt;&lt;/services&gt;&lt;setup /&gt;&lt;mod_time&gt;1500000010&lt;/mod_time&gt;&lt;uniqueid&gt;1&lt;/uniqueid&gt;&lt;/contact&gt;</v>
      </c>
      <c r="I290" t="str">
        <f t="shared" si="118"/>
        <v>&lt;services /&gt;&lt;setup /&gt;&lt;mod_time&gt;1500000010&lt;/mod_time&gt;&lt;uniqueid&gt;1&lt;/uniqueid&gt;&lt;/contact&gt;</v>
      </c>
      <c r="J290" t="str">
        <f t="shared" si="119"/>
        <v>&lt;services nid="1"&gt;&lt;email id="0" classifier="private"&gt;mbe.menke@asz.nl&lt;/email&gt;&lt;/services&gt;&lt;setup /&gt;&lt;mod_time&gt;1500000010&lt;/mod_time&gt;&lt;uniqueid&gt;1&lt;/uniqueid&gt;&lt;/contact&gt;</v>
      </c>
      <c r="K290" s="5">
        <f t="shared" si="120"/>
        <v>0</v>
      </c>
      <c r="L290" s="5">
        <f t="shared" si="121"/>
        <v>0</v>
      </c>
      <c r="M290" s="5" t="str">
        <f>CONCATENATE(+Contacts!E290)</f>
        <v/>
      </c>
      <c r="N290" t="str">
        <f t="shared" si="122"/>
        <v/>
      </c>
      <c r="O290" s="5">
        <f t="shared" si="123"/>
        <v>0</v>
      </c>
      <c r="P290" s="5">
        <f t="shared" si="124"/>
        <v>0</v>
      </c>
      <c r="Q290" s="5" t="str">
        <f>CONCATENATE(+Contacts!G290)</f>
        <v/>
      </c>
      <c r="R290" t="str">
        <f t="shared" si="125"/>
        <v>&lt;number id="0" prio="1" type="mobile"&gt;+31 614 225266&lt;/number&gt;</v>
      </c>
      <c r="S290" s="5">
        <f t="shared" si="126"/>
        <v>1</v>
      </c>
      <c r="T290" s="5">
        <f t="shared" si="127"/>
        <v>1</v>
      </c>
      <c r="U290" s="5" t="str">
        <f>CONCATENATE(+Contacts!H290)</f>
        <v>+31 614 225266</v>
      </c>
      <c r="V290" t="str">
        <f t="shared" si="128"/>
        <v/>
      </c>
      <c r="W290" s="5">
        <f t="shared" si="129"/>
        <v>1</v>
      </c>
      <c r="X290" s="5">
        <f t="shared" si="130"/>
        <v>1</v>
      </c>
      <c r="Y290" s="5" t="str">
        <f>CONCATENATE(+Contacts!F290)</f>
        <v/>
      </c>
      <c r="Z290" s="2" t="str">
        <f t="shared" si="131"/>
        <v xml:space="preserve">Menke-Pluijmers, Marian   </v>
      </c>
      <c r="AA290" s="2" t="str">
        <f>CONCATENATE(+Contacts!C290)</f>
        <v>Menke-Pluijmers</v>
      </c>
      <c r="AB290" s="2" t="str">
        <f t="shared" si="132"/>
        <v xml:space="preserve">, </v>
      </c>
      <c r="AC290" s="2" t="str">
        <f>CONCATENATE(+Contacts!A290)</f>
        <v>Marian</v>
      </c>
      <c r="AD290" s="3" t="str">
        <f>CONCATENATE(" ",+Contacts!B290)</f>
        <v xml:space="preserve"> </v>
      </c>
      <c r="AE290" s="2" t="str">
        <f t="shared" si="133"/>
        <v xml:space="preserve"> </v>
      </c>
      <c r="AF290" s="3" t="str">
        <f>CONCATENATE(+Contacts!D290)</f>
        <v/>
      </c>
      <c r="AG290" s="2" t="str">
        <f t="shared" si="134"/>
        <v xml:space="preserve"> </v>
      </c>
      <c r="AH290" t="str">
        <f>CONCATENATE(+Contacts!I290)</f>
        <v>mbe.menke@asz.nl</v>
      </c>
      <c r="AI290">
        <v>1500000010</v>
      </c>
      <c r="AJ290" s="5">
        <f t="shared" si="135"/>
        <v>1</v>
      </c>
    </row>
    <row r="291" spans="1:36" x14ac:dyDescent="0.35">
      <c r="A291" s="7" t="str">
        <f t="shared" si="110"/>
        <v>&lt;contact&gt;&lt;category&gt;0&lt;/category&gt;&lt;person&gt;&lt;realName&gt;Merbis, Marjan (M&amp;amp;M Dansstudio)&lt;/realName&gt;&lt;/person&gt;</v>
      </c>
      <c r="B291" s="7" t="str">
        <f t="shared" si="111"/>
        <v>&lt;telephony nid="1"&gt;&lt;number id="0" prio="1" type="mobile"&gt;+31 6 51 60 92 66&lt;/number&gt;&lt;/telephony&gt;</v>
      </c>
      <c r="C291" s="7" t="str">
        <f t="shared" si="112"/>
        <v>&lt;services /&gt;&lt;setup /&gt;&lt;mod_time&gt;1500000010&lt;/mod_time&gt;&lt;uniqueid&gt;1&lt;/uniqueid&gt;&lt;/contact&gt;</v>
      </c>
      <c r="D291" t="str">
        <f t="shared" si="113"/>
        <v>&lt;contact&gt;&lt;category&gt;0&lt;/category&gt;&lt;person&gt;&lt;realName&gt;Merbis, Marjan (M&amp;amp;M Dansstudio)&lt;/realName&gt;&lt;/person&gt;</v>
      </c>
      <c r="E291" t="str">
        <f t="shared" si="114"/>
        <v>&lt;telephony nid="1"&gt;&lt;number id="0" prio="1" type="mobile"&gt;+31 6 51 60 92 66&lt;/number&gt;&lt;/telephony&gt;</v>
      </c>
      <c r="F291" t="str">
        <f t="shared" si="115"/>
        <v>&lt;telephony nid="1"&gt;</v>
      </c>
      <c r="G291" t="str">
        <f t="shared" si="116"/>
        <v/>
      </c>
      <c r="H291" t="str">
        <f t="shared" si="117"/>
        <v>&lt;services nid="1"&gt;&lt;email id="0" classifier="private"&gt;&lt;/email&gt;&lt;/services&gt;&lt;setup /&gt;&lt;mod_time&gt;1500000010&lt;/mod_time&gt;&lt;uniqueid&gt;1&lt;/uniqueid&gt;&lt;/contact&gt;</v>
      </c>
      <c r="I291" t="str">
        <f t="shared" si="118"/>
        <v>&lt;services /&gt;&lt;setup /&gt;&lt;mod_time&gt;1500000010&lt;/mod_time&gt;&lt;uniqueid&gt;1&lt;/uniqueid&gt;&lt;/contact&gt;</v>
      </c>
      <c r="J291" t="str">
        <f t="shared" si="119"/>
        <v>&lt;services /&gt;&lt;setup /&gt;&lt;mod_time&gt;1500000010&lt;/mod_time&gt;&lt;uniqueid&gt;1&lt;/uniqueid&gt;&lt;/contact&gt;</v>
      </c>
      <c r="K291" s="5">
        <f t="shared" si="120"/>
        <v>0</v>
      </c>
      <c r="L291" s="5">
        <f t="shared" si="121"/>
        <v>0</v>
      </c>
      <c r="M291" s="5" t="str">
        <f>CONCATENATE(+Contacts!E291)</f>
        <v/>
      </c>
      <c r="N291" t="str">
        <f t="shared" si="122"/>
        <v/>
      </c>
      <c r="O291" s="5">
        <f t="shared" si="123"/>
        <v>0</v>
      </c>
      <c r="P291" s="5">
        <f t="shared" si="124"/>
        <v>0</v>
      </c>
      <c r="Q291" s="5" t="str">
        <f>CONCATENATE(+Contacts!G291)</f>
        <v/>
      </c>
      <c r="R291" t="str">
        <f t="shared" si="125"/>
        <v>&lt;number id="0" prio="1" type="mobile"&gt;+31 6 51 60 92 66&lt;/number&gt;</v>
      </c>
      <c r="S291" s="5">
        <f t="shared" si="126"/>
        <v>1</v>
      </c>
      <c r="T291" s="5">
        <f t="shared" si="127"/>
        <v>1</v>
      </c>
      <c r="U291" s="5" t="str">
        <f>CONCATENATE(+Contacts!H291)</f>
        <v>+31 6 51 60 92 66</v>
      </c>
      <c r="V291" t="str">
        <f t="shared" si="128"/>
        <v/>
      </c>
      <c r="W291" s="5">
        <f t="shared" si="129"/>
        <v>1</v>
      </c>
      <c r="X291" s="5">
        <f t="shared" si="130"/>
        <v>1</v>
      </c>
      <c r="Y291" s="5" t="str">
        <f>CONCATENATE(+Contacts!F291)</f>
        <v/>
      </c>
      <c r="Z291" s="2" t="str">
        <f t="shared" si="131"/>
        <v>Merbis, Marjan (M&amp;amp;M Dansstudio)</v>
      </c>
      <c r="AA291" s="2" t="str">
        <f>CONCATENATE(+Contacts!C291)</f>
        <v>Merbis</v>
      </c>
      <c r="AB291" s="2" t="str">
        <f t="shared" si="132"/>
        <v xml:space="preserve">, </v>
      </c>
      <c r="AC291" s="2" t="str">
        <f>CONCATENATE(+Contacts!A291)</f>
        <v>Marjan</v>
      </c>
      <c r="AD291" s="3" t="str">
        <f>CONCATENATE(" ",+Contacts!B291)</f>
        <v xml:space="preserve"> </v>
      </c>
      <c r="AE291" s="2" t="str">
        <f t="shared" si="133"/>
        <v>(</v>
      </c>
      <c r="AF291" s="3" t="str">
        <f>CONCATENATE(+Contacts!D291)</f>
        <v>M&amp;amp;M Dansstudio</v>
      </c>
      <c r="AG291" s="2" t="str">
        <f t="shared" si="134"/>
        <v>)</v>
      </c>
      <c r="AH291" t="str">
        <f>CONCATENATE(+Contacts!I291)</f>
        <v/>
      </c>
      <c r="AI291">
        <v>1500000010</v>
      </c>
      <c r="AJ291" s="5">
        <f t="shared" si="135"/>
        <v>1</v>
      </c>
    </row>
    <row r="292" spans="1:36" x14ac:dyDescent="0.35">
      <c r="A292" s="7" t="str">
        <f t="shared" si="110"/>
        <v>&lt;contact&gt;&lt;category&gt;0&lt;/category&gt;&lt;person&gt;&lt;realName&gt;, Mes Amis (Restaurant)&lt;/realName&gt;&lt;/person&gt;</v>
      </c>
      <c r="B292" s="7" t="str">
        <f t="shared" si="111"/>
        <v>&lt;telephony nid="1"&gt;&lt;number id="0" prio="1" type="work"&gt;+31 43 325 7866&lt;/number&gt;&lt;/telephony&gt;</v>
      </c>
      <c r="C292" s="7" t="str">
        <f t="shared" si="112"/>
        <v>&lt;services /&gt;&lt;setup /&gt;&lt;mod_time&gt;1500000010&lt;/mod_time&gt;&lt;uniqueid&gt;1&lt;/uniqueid&gt;&lt;/contact&gt;</v>
      </c>
      <c r="D292" t="str">
        <f t="shared" si="113"/>
        <v>&lt;contact&gt;&lt;category&gt;0&lt;/category&gt;&lt;person&gt;&lt;realName&gt;, Mes Amis (Restaurant)&lt;/realName&gt;&lt;/person&gt;</v>
      </c>
      <c r="E292" t="str">
        <f t="shared" si="114"/>
        <v>&lt;telephony nid="1"&gt;&lt;number id="0" prio="1" type="work"&gt;+31 43 325 7866&lt;/number&gt;&lt;/telephony&gt;</v>
      </c>
      <c r="F292" t="str">
        <f t="shared" si="115"/>
        <v>&lt;telephony nid="1"&gt;</v>
      </c>
      <c r="G292" t="str">
        <f t="shared" si="116"/>
        <v>&lt;number id="0" prio="1" type="work"&gt;+31 43 325 7866&lt;/number&gt;</v>
      </c>
      <c r="H292" t="str">
        <f t="shared" si="117"/>
        <v>&lt;services nid="1"&gt;&lt;email id="0" classifier="private"&gt;&lt;/email&gt;&lt;/services&gt;&lt;setup /&gt;&lt;mod_time&gt;1500000010&lt;/mod_time&gt;&lt;uniqueid&gt;1&lt;/uniqueid&gt;&lt;/contact&gt;</v>
      </c>
      <c r="I292" t="str">
        <f t="shared" si="118"/>
        <v>&lt;services /&gt;&lt;setup /&gt;&lt;mod_time&gt;1500000010&lt;/mod_time&gt;&lt;uniqueid&gt;1&lt;/uniqueid&gt;&lt;/contact&gt;</v>
      </c>
      <c r="J292" t="str">
        <f t="shared" si="119"/>
        <v>&lt;services /&gt;&lt;setup /&gt;&lt;mod_time&gt;1500000010&lt;/mod_time&gt;&lt;uniqueid&gt;1&lt;/uniqueid&gt;&lt;/contact&gt;</v>
      </c>
      <c r="K292" s="5">
        <f t="shared" si="120"/>
        <v>1</v>
      </c>
      <c r="L292" s="5">
        <f t="shared" si="121"/>
        <v>1</v>
      </c>
      <c r="M292" s="5" t="str">
        <f>CONCATENATE(+Contacts!E292)</f>
        <v>+31 43 325 7866</v>
      </c>
      <c r="N292" t="str">
        <f t="shared" si="122"/>
        <v/>
      </c>
      <c r="O292" s="5">
        <f t="shared" si="123"/>
        <v>1</v>
      </c>
      <c r="P292" s="5">
        <f t="shared" si="124"/>
        <v>1</v>
      </c>
      <c r="Q292" s="5" t="str">
        <f>CONCATENATE(+Contacts!G292)</f>
        <v/>
      </c>
      <c r="R292" t="str">
        <f t="shared" si="125"/>
        <v/>
      </c>
      <c r="S292" s="5">
        <f t="shared" si="126"/>
        <v>1</v>
      </c>
      <c r="T292" s="5">
        <f t="shared" si="127"/>
        <v>1</v>
      </c>
      <c r="U292" s="5" t="str">
        <f>CONCATENATE(+Contacts!H292)</f>
        <v/>
      </c>
      <c r="V292" t="str">
        <f t="shared" si="128"/>
        <v/>
      </c>
      <c r="W292" s="5">
        <f t="shared" si="129"/>
        <v>1</v>
      </c>
      <c r="X292" s="5">
        <f t="shared" si="130"/>
        <v>1</v>
      </c>
      <c r="Y292" s="5" t="str">
        <f>CONCATENATE(+Contacts!F292)</f>
        <v/>
      </c>
      <c r="Z292" s="2" t="str">
        <f t="shared" si="131"/>
        <v>, Mes Amis (Restaurant)</v>
      </c>
      <c r="AA292" s="2" t="str">
        <f>CONCATENATE(+Contacts!C292)</f>
        <v/>
      </c>
      <c r="AB292" s="2" t="str">
        <f t="shared" si="132"/>
        <v xml:space="preserve">, </v>
      </c>
      <c r="AC292" s="2" t="str">
        <f>CONCATENATE(+Contacts!A292)</f>
        <v>Mes Amis</v>
      </c>
      <c r="AD292" s="3" t="str">
        <f>CONCATENATE(" ",+Contacts!B292)</f>
        <v xml:space="preserve"> </v>
      </c>
      <c r="AE292" s="2" t="str">
        <f t="shared" si="133"/>
        <v>(</v>
      </c>
      <c r="AF292" s="3" t="str">
        <f>CONCATENATE(+Contacts!D292)</f>
        <v>Restaurant</v>
      </c>
      <c r="AG292" s="2" t="str">
        <f t="shared" si="134"/>
        <v>)</v>
      </c>
      <c r="AH292" t="str">
        <f>CONCATENATE(+Contacts!I292)</f>
        <v/>
      </c>
      <c r="AI292">
        <v>1500000010</v>
      </c>
      <c r="AJ292" s="5">
        <f t="shared" si="135"/>
        <v>1</v>
      </c>
    </row>
    <row r="293" spans="1:36" x14ac:dyDescent="0.35">
      <c r="A293" s="7" t="str">
        <f t="shared" si="110"/>
        <v>&lt;contact&gt;&lt;category&gt;0&lt;/category&gt;&lt;person&gt;&lt;realName&gt;Mevr. Konijnenberg, Notaris   &lt;/realName&gt;&lt;/person&gt;</v>
      </c>
      <c r="B293" s="7" t="str">
        <f t="shared" si="111"/>
        <v>&lt;telephony nid="1"&gt;&lt;number id="0" prio="1" type="home"&gt;(010) 476 88 33&lt;/number&gt;&lt;/telephony&gt;</v>
      </c>
      <c r="C293" s="7" t="str">
        <f t="shared" si="112"/>
        <v>&lt;services /&gt;&lt;setup /&gt;&lt;mod_time&gt;1500000010&lt;/mod_time&gt;&lt;uniqueid&gt;1&lt;/uniqueid&gt;&lt;/contact&gt;</v>
      </c>
      <c r="D293" t="str">
        <f t="shared" si="113"/>
        <v>&lt;contact&gt;&lt;category&gt;0&lt;/category&gt;&lt;person&gt;&lt;realName&gt;Mevr. Konijnenberg, Notaris   &lt;/realName&gt;&lt;/person&gt;</v>
      </c>
      <c r="E293" t="str">
        <f t="shared" si="114"/>
        <v>&lt;telephony nid="1"&gt;&lt;number id="0" prio="1" type="home"&gt;(010) 476 88 33&lt;/number&gt;&lt;/telephony&gt;</v>
      </c>
      <c r="F293" t="str">
        <f t="shared" si="115"/>
        <v>&lt;telephony nid="1"&gt;</v>
      </c>
      <c r="G293" t="str">
        <f t="shared" si="116"/>
        <v/>
      </c>
      <c r="H293" t="str">
        <f t="shared" si="117"/>
        <v>&lt;services nid="1"&gt;&lt;email id="0" classifier="private"&gt;&lt;/email&gt;&lt;/services&gt;&lt;setup /&gt;&lt;mod_time&gt;1500000010&lt;/mod_time&gt;&lt;uniqueid&gt;1&lt;/uniqueid&gt;&lt;/contact&gt;</v>
      </c>
      <c r="I293" t="str">
        <f t="shared" si="118"/>
        <v>&lt;services /&gt;&lt;setup /&gt;&lt;mod_time&gt;1500000010&lt;/mod_time&gt;&lt;uniqueid&gt;1&lt;/uniqueid&gt;&lt;/contact&gt;</v>
      </c>
      <c r="J293" t="str">
        <f t="shared" si="119"/>
        <v>&lt;services /&gt;&lt;setup /&gt;&lt;mod_time&gt;1500000010&lt;/mod_time&gt;&lt;uniqueid&gt;1&lt;/uniqueid&gt;&lt;/contact&gt;</v>
      </c>
      <c r="K293" s="5">
        <f t="shared" si="120"/>
        <v>0</v>
      </c>
      <c r="L293" s="5">
        <f t="shared" si="121"/>
        <v>0</v>
      </c>
      <c r="M293" s="5" t="str">
        <f>CONCATENATE(+Contacts!E293)</f>
        <v/>
      </c>
      <c r="N293" t="str">
        <f t="shared" si="122"/>
        <v>&lt;number id="0" prio="1" type="home"&gt;(010) 476 88 33&lt;/number&gt;</v>
      </c>
      <c r="O293" s="5">
        <f t="shared" si="123"/>
        <v>1</v>
      </c>
      <c r="P293" s="5">
        <f t="shared" si="124"/>
        <v>1</v>
      </c>
      <c r="Q293" s="5" t="str">
        <f>CONCATENATE(+Contacts!G293)</f>
        <v>(010) 476 88 33</v>
      </c>
      <c r="R293" t="str">
        <f t="shared" si="125"/>
        <v/>
      </c>
      <c r="S293" s="5">
        <f t="shared" si="126"/>
        <v>1</v>
      </c>
      <c r="T293" s="5">
        <f t="shared" si="127"/>
        <v>1</v>
      </c>
      <c r="U293" s="5" t="str">
        <f>CONCATENATE(+Contacts!H293)</f>
        <v/>
      </c>
      <c r="V293" t="str">
        <f t="shared" si="128"/>
        <v/>
      </c>
      <c r="W293" s="5">
        <f t="shared" si="129"/>
        <v>1</v>
      </c>
      <c r="X293" s="5">
        <f t="shared" si="130"/>
        <v>1</v>
      </c>
      <c r="Y293" s="5" t="str">
        <f>CONCATENATE(+Contacts!F293)</f>
        <v/>
      </c>
      <c r="Z293" s="2" t="str">
        <f t="shared" si="131"/>
        <v xml:space="preserve">Mevr. Konijnenberg, Notaris   </v>
      </c>
      <c r="AA293" s="2" t="str">
        <f>CONCATENATE(+Contacts!C293)</f>
        <v>Mevr. Konijnenberg</v>
      </c>
      <c r="AB293" s="2" t="str">
        <f t="shared" si="132"/>
        <v xml:space="preserve">, </v>
      </c>
      <c r="AC293" s="2" t="str">
        <f>CONCATENATE(+Contacts!A293)</f>
        <v>Notaris</v>
      </c>
      <c r="AD293" s="3" t="str">
        <f>CONCATENATE(" ",+Contacts!B293)</f>
        <v xml:space="preserve"> </v>
      </c>
      <c r="AE293" s="2" t="str">
        <f t="shared" si="133"/>
        <v xml:space="preserve"> </v>
      </c>
      <c r="AF293" s="3" t="str">
        <f>CONCATENATE(+Contacts!D293)</f>
        <v/>
      </c>
      <c r="AG293" s="2" t="str">
        <f t="shared" si="134"/>
        <v xml:space="preserve"> </v>
      </c>
      <c r="AH293" t="str">
        <f>CONCATENATE(+Contacts!I293)</f>
        <v/>
      </c>
      <c r="AI293">
        <v>1500000010</v>
      </c>
      <c r="AJ293" s="5">
        <f t="shared" si="135"/>
        <v>1</v>
      </c>
    </row>
    <row r="294" spans="1:36" x14ac:dyDescent="0.35">
      <c r="A294" s="7" t="str">
        <f t="shared" si="110"/>
        <v>&lt;contact&gt;&lt;category&gt;0&lt;/category&gt;&lt;person&gt;&lt;realName&gt;Mevrouw Meijer  (Restaurant)&lt;/realName&gt;&lt;/person&gt;</v>
      </c>
      <c r="B294" s="7" t="str">
        <f t="shared" si="111"/>
        <v>&lt;telephony nid="1"&gt;&lt;number id="0" prio="1" type="work"&gt;+31 104663367&lt;/number&gt;&lt;/telephony&gt;</v>
      </c>
      <c r="C294" s="7" t="str">
        <f t="shared" si="112"/>
        <v>&lt;services /&gt;&lt;setup /&gt;&lt;mod_time&gt;1500000010&lt;/mod_time&gt;&lt;uniqueid&gt;1&lt;/uniqueid&gt;&lt;/contact&gt;</v>
      </c>
      <c r="D294" t="str">
        <f t="shared" si="113"/>
        <v>&lt;contact&gt;&lt;category&gt;0&lt;/category&gt;&lt;person&gt;&lt;realName&gt;Mevrouw Meijer  (Restaurant)&lt;/realName&gt;&lt;/person&gt;</v>
      </c>
      <c r="E294" t="str">
        <f t="shared" si="114"/>
        <v>&lt;telephony nid="1"&gt;&lt;number id="0" prio="1" type="work"&gt;+31 104663367&lt;/number&gt;&lt;/telephony&gt;</v>
      </c>
      <c r="F294" t="str">
        <f t="shared" si="115"/>
        <v>&lt;telephony nid="1"&gt;</v>
      </c>
      <c r="G294" t="str">
        <f t="shared" si="116"/>
        <v>&lt;number id="0" prio="1" type="work"&gt;+31 104663367&lt;/number&gt;</v>
      </c>
      <c r="H294" t="str">
        <f t="shared" si="117"/>
        <v>&lt;services nid="1"&gt;&lt;email id="0" classifier="private"&gt;&lt;/email&gt;&lt;/services&gt;&lt;setup /&gt;&lt;mod_time&gt;1500000010&lt;/mod_time&gt;&lt;uniqueid&gt;1&lt;/uniqueid&gt;&lt;/contact&gt;</v>
      </c>
      <c r="I294" t="str">
        <f t="shared" si="118"/>
        <v>&lt;services /&gt;&lt;setup /&gt;&lt;mod_time&gt;1500000010&lt;/mod_time&gt;&lt;uniqueid&gt;1&lt;/uniqueid&gt;&lt;/contact&gt;</v>
      </c>
      <c r="J294" t="str">
        <f t="shared" si="119"/>
        <v>&lt;services /&gt;&lt;setup /&gt;&lt;mod_time&gt;1500000010&lt;/mod_time&gt;&lt;uniqueid&gt;1&lt;/uniqueid&gt;&lt;/contact&gt;</v>
      </c>
      <c r="K294" s="5">
        <f t="shared" si="120"/>
        <v>1</v>
      </c>
      <c r="L294" s="5">
        <f t="shared" si="121"/>
        <v>1</v>
      </c>
      <c r="M294" s="5" t="str">
        <f>CONCATENATE(+Contacts!E294)</f>
        <v>+31 104663367</v>
      </c>
      <c r="N294" t="str">
        <f t="shared" si="122"/>
        <v/>
      </c>
      <c r="O294" s="5">
        <f t="shared" si="123"/>
        <v>1</v>
      </c>
      <c r="P294" s="5">
        <f t="shared" si="124"/>
        <v>1</v>
      </c>
      <c r="Q294" s="5" t="str">
        <f>CONCATENATE(+Contacts!G294)</f>
        <v/>
      </c>
      <c r="R294" t="str">
        <f t="shared" si="125"/>
        <v/>
      </c>
      <c r="S294" s="5">
        <f t="shared" si="126"/>
        <v>1</v>
      </c>
      <c r="T294" s="5">
        <f t="shared" si="127"/>
        <v>1</v>
      </c>
      <c r="U294" s="5" t="str">
        <f>CONCATENATE(+Contacts!H294)</f>
        <v/>
      </c>
      <c r="V294" t="str">
        <f t="shared" si="128"/>
        <v/>
      </c>
      <c r="W294" s="5">
        <f t="shared" si="129"/>
        <v>1</v>
      </c>
      <c r="X294" s="5">
        <f t="shared" si="130"/>
        <v>1</v>
      </c>
      <c r="Y294" s="5" t="str">
        <f>CONCATENATE(+Contacts!F294)</f>
        <v/>
      </c>
      <c r="Z294" s="2" t="str">
        <f t="shared" si="131"/>
        <v>Mevrouw Meijer  (Restaurant)</v>
      </c>
      <c r="AA294" s="2" t="str">
        <f>CONCATENATE(+Contacts!C294)</f>
        <v>Mevrouw Meijer</v>
      </c>
      <c r="AB294" s="2" t="str">
        <f t="shared" si="132"/>
        <v xml:space="preserve"> </v>
      </c>
      <c r="AC294" s="2" t="str">
        <f>CONCATENATE(+Contacts!A294)</f>
        <v/>
      </c>
      <c r="AD294" s="3" t="str">
        <f>CONCATENATE(" ",+Contacts!B294)</f>
        <v xml:space="preserve"> </v>
      </c>
      <c r="AE294" s="2" t="str">
        <f t="shared" si="133"/>
        <v>(</v>
      </c>
      <c r="AF294" s="3" t="str">
        <f>CONCATENATE(+Contacts!D294)</f>
        <v>Restaurant</v>
      </c>
      <c r="AG294" s="2" t="str">
        <f t="shared" si="134"/>
        <v>)</v>
      </c>
      <c r="AH294" t="str">
        <f>CONCATENATE(+Contacts!I294)</f>
        <v/>
      </c>
      <c r="AI294">
        <v>1500000010</v>
      </c>
      <c r="AJ294" s="5">
        <f t="shared" si="135"/>
        <v>1</v>
      </c>
    </row>
    <row r="295" spans="1:36" x14ac:dyDescent="0.35">
      <c r="A295" s="7" t="str">
        <f t="shared" si="110"/>
        <v>&lt;contact&gt;&lt;category&gt;0&lt;/category&gt;&lt;person&gt;&lt;realName&gt;Middelkoop, Karla   &lt;/realName&gt;&lt;/person&gt;</v>
      </c>
      <c r="B295" s="7" t="str">
        <f t="shared" si="111"/>
        <v>&lt;telephony nid="2"&gt;&lt;number id="0" prio="1" type="home"&gt;(010) 451 97 45&lt;/number&gt;&lt;number id="1" prio="0" type="work"&gt;(06) 15 26 13 90&lt;/number&gt;&lt;/telephony&gt;</v>
      </c>
      <c r="C295" s="7" t="str">
        <f t="shared" si="112"/>
        <v>&lt;services nid="1"&gt;&lt;email id="0" classifier="private"&gt;midkar@outlook.com&lt;/email&gt;&lt;/services&gt;&lt;setup /&gt;&lt;mod_time&gt;1500000010&lt;/mod_time&gt;&lt;uniqueid&gt;1&lt;/uniqueid&gt;&lt;/contact&gt;</v>
      </c>
      <c r="D295" t="str">
        <f t="shared" si="113"/>
        <v>&lt;contact&gt;&lt;category&gt;0&lt;/category&gt;&lt;person&gt;&lt;realName&gt;Middelkoop, Karla   &lt;/realName&gt;&lt;/person&gt;</v>
      </c>
      <c r="E295" t="str">
        <f t="shared" si="114"/>
        <v>&lt;telephony nid="2"&gt;&lt;number id="0" prio="1" type="home"&gt;(010) 451 97 45&lt;/number&gt;&lt;number id="1" prio="0" type="work"&gt;(06) 15 26 13 90&lt;/number&gt;&lt;/telephony&gt;</v>
      </c>
      <c r="F295" t="str">
        <f t="shared" si="115"/>
        <v>&lt;telephony nid="2"&gt;</v>
      </c>
      <c r="G295" t="str">
        <f t="shared" si="116"/>
        <v/>
      </c>
      <c r="H295" t="str">
        <f t="shared" si="117"/>
        <v>&lt;services nid="1"&gt;&lt;email id="0" classifier="private"&gt;midkar@outlook.com&lt;/email&gt;&lt;/services&gt;&lt;setup /&gt;&lt;mod_time&gt;1500000010&lt;/mod_time&gt;&lt;uniqueid&gt;1&lt;/uniqueid&gt;&lt;/contact&gt;</v>
      </c>
      <c r="I295" t="str">
        <f t="shared" si="118"/>
        <v>&lt;services /&gt;&lt;setup /&gt;&lt;mod_time&gt;1500000010&lt;/mod_time&gt;&lt;uniqueid&gt;1&lt;/uniqueid&gt;&lt;/contact&gt;</v>
      </c>
      <c r="J295" t="str">
        <f t="shared" si="119"/>
        <v>&lt;services nid="1"&gt;&lt;email id="0" classifier="private"&gt;midkar@outlook.com&lt;/email&gt;&lt;/services&gt;&lt;setup /&gt;&lt;mod_time&gt;1500000010&lt;/mod_time&gt;&lt;uniqueid&gt;1&lt;/uniqueid&gt;&lt;/contact&gt;</v>
      </c>
      <c r="K295" s="5">
        <f t="shared" si="120"/>
        <v>0</v>
      </c>
      <c r="L295" s="5">
        <f t="shared" si="121"/>
        <v>0</v>
      </c>
      <c r="M295" s="5" t="str">
        <f>CONCATENATE(+Contacts!E295)</f>
        <v/>
      </c>
      <c r="N295" t="str">
        <f t="shared" si="122"/>
        <v>&lt;number id="0" prio="1" type="home"&gt;(010) 451 97 45&lt;/number&gt;</v>
      </c>
      <c r="O295" s="5">
        <f t="shared" si="123"/>
        <v>1</v>
      </c>
      <c r="P295" s="5">
        <f t="shared" si="124"/>
        <v>1</v>
      </c>
      <c r="Q295" s="5" t="str">
        <f>CONCATENATE(+Contacts!G295)</f>
        <v>(010) 451 97 45</v>
      </c>
      <c r="R295" t="str">
        <f t="shared" si="125"/>
        <v/>
      </c>
      <c r="S295" s="5">
        <f t="shared" si="126"/>
        <v>1</v>
      </c>
      <c r="T295" s="5">
        <f t="shared" si="127"/>
        <v>1</v>
      </c>
      <c r="U295" s="5" t="str">
        <f>CONCATENATE(+Contacts!H295)</f>
        <v/>
      </c>
      <c r="V295" t="str">
        <f t="shared" si="128"/>
        <v>&lt;number id="1" prio="0" type="work"&gt;(06) 15 26 13 90&lt;/number&gt;</v>
      </c>
      <c r="W295" s="5">
        <f t="shared" si="129"/>
        <v>2</v>
      </c>
      <c r="X295" s="5">
        <f t="shared" si="130"/>
        <v>0</v>
      </c>
      <c r="Y295" s="5" t="str">
        <f>CONCATENATE(+Contacts!F295)</f>
        <v>(06) 15 26 13 90</v>
      </c>
      <c r="Z295" s="2" t="str">
        <f t="shared" si="131"/>
        <v xml:space="preserve">Middelkoop, Karla   </v>
      </c>
      <c r="AA295" s="2" t="str">
        <f>CONCATENATE(+Contacts!C295)</f>
        <v>Middelkoop</v>
      </c>
      <c r="AB295" s="2" t="str">
        <f t="shared" si="132"/>
        <v xml:space="preserve">, </v>
      </c>
      <c r="AC295" s="2" t="str">
        <f>CONCATENATE(+Contacts!A295)</f>
        <v>Karla</v>
      </c>
      <c r="AD295" s="3" t="str">
        <f>CONCATENATE(" ",+Contacts!B295)</f>
        <v xml:space="preserve"> </v>
      </c>
      <c r="AE295" s="2" t="str">
        <f t="shared" si="133"/>
        <v xml:space="preserve"> </v>
      </c>
      <c r="AF295" s="3" t="str">
        <f>CONCATENATE(+Contacts!D295)</f>
        <v/>
      </c>
      <c r="AG295" s="2" t="str">
        <f t="shared" si="134"/>
        <v xml:space="preserve"> </v>
      </c>
      <c r="AH295" t="str">
        <f>CONCATENATE(+Contacts!I295)</f>
        <v>midkar@outlook.com</v>
      </c>
      <c r="AI295">
        <v>1500000010</v>
      </c>
      <c r="AJ295" s="5">
        <f t="shared" si="135"/>
        <v>1</v>
      </c>
    </row>
    <row r="296" spans="1:36" x14ac:dyDescent="0.35">
      <c r="A296" s="7" t="str">
        <f t="shared" si="110"/>
        <v>&lt;contact&gt;&lt;category&gt;0&lt;/category&gt;&lt;person&gt;&lt;realName&gt;Minnee, Dirk   &lt;/realName&gt;&lt;/person&gt;</v>
      </c>
      <c r="B296" s="7" t="str">
        <f t="shared" si="111"/>
        <v>&lt;telephony nid="2"&gt;&lt;number id="0" prio="1" type="mobile"&gt;+31 621993583&lt;/number&gt;&lt;number id="1" prio="0" type="work"&gt;+31 683648462&lt;/number&gt;&lt;/telephony&gt;</v>
      </c>
      <c r="C296" s="7" t="str">
        <f t="shared" si="112"/>
        <v>&lt;services /&gt;&lt;setup /&gt;&lt;mod_time&gt;1500000010&lt;/mod_time&gt;&lt;uniqueid&gt;1&lt;/uniqueid&gt;&lt;/contact&gt;</v>
      </c>
      <c r="D296" t="str">
        <f t="shared" si="113"/>
        <v>&lt;contact&gt;&lt;category&gt;0&lt;/category&gt;&lt;person&gt;&lt;realName&gt;Minnee, Dirk   &lt;/realName&gt;&lt;/person&gt;</v>
      </c>
      <c r="E296" t="str">
        <f t="shared" si="114"/>
        <v>&lt;telephony nid="2"&gt;&lt;number id="0" prio="1" type="mobile"&gt;+31 621993583&lt;/number&gt;&lt;number id="1" prio="0" type="work"&gt;+31 683648462&lt;/number&gt;&lt;/telephony&gt;</v>
      </c>
      <c r="F296" t="str">
        <f t="shared" si="115"/>
        <v>&lt;telephony nid="2"&gt;</v>
      </c>
      <c r="G296" t="str">
        <f t="shared" si="116"/>
        <v/>
      </c>
      <c r="H296" t="str">
        <f t="shared" si="117"/>
        <v>&lt;services nid="1"&gt;&lt;email id="0" classifier="private"&gt;&lt;/email&gt;&lt;/services&gt;&lt;setup /&gt;&lt;mod_time&gt;1500000010&lt;/mod_time&gt;&lt;uniqueid&gt;1&lt;/uniqueid&gt;&lt;/contact&gt;</v>
      </c>
      <c r="I296" t="str">
        <f t="shared" si="118"/>
        <v>&lt;services /&gt;&lt;setup /&gt;&lt;mod_time&gt;1500000010&lt;/mod_time&gt;&lt;uniqueid&gt;1&lt;/uniqueid&gt;&lt;/contact&gt;</v>
      </c>
      <c r="J296" t="str">
        <f t="shared" si="119"/>
        <v>&lt;services /&gt;&lt;setup /&gt;&lt;mod_time&gt;1500000010&lt;/mod_time&gt;&lt;uniqueid&gt;1&lt;/uniqueid&gt;&lt;/contact&gt;</v>
      </c>
      <c r="K296" s="5">
        <f t="shared" si="120"/>
        <v>0</v>
      </c>
      <c r="L296" s="5">
        <f t="shared" si="121"/>
        <v>0</v>
      </c>
      <c r="M296" s="5" t="str">
        <f>CONCATENATE(+Contacts!E296)</f>
        <v/>
      </c>
      <c r="N296" t="str">
        <f t="shared" si="122"/>
        <v/>
      </c>
      <c r="O296" s="5">
        <f t="shared" si="123"/>
        <v>0</v>
      </c>
      <c r="P296" s="5">
        <f t="shared" si="124"/>
        <v>0</v>
      </c>
      <c r="Q296" s="5" t="str">
        <f>CONCATENATE(+Contacts!G296)</f>
        <v/>
      </c>
      <c r="R296" t="str">
        <f t="shared" si="125"/>
        <v>&lt;number id="0" prio="1" type="mobile"&gt;+31 621993583&lt;/number&gt;</v>
      </c>
      <c r="S296" s="5">
        <f t="shared" si="126"/>
        <v>1</v>
      </c>
      <c r="T296" s="5">
        <f t="shared" si="127"/>
        <v>1</v>
      </c>
      <c r="U296" s="5" t="str">
        <f>CONCATENATE(+Contacts!H296)</f>
        <v>+31 621993583</v>
      </c>
      <c r="V296" t="str">
        <f t="shared" si="128"/>
        <v>&lt;number id="1" prio="0" type="work"&gt;+31 683648462&lt;/number&gt;</v>
      </c>
      <c r="W296" s="5">
        <f t="shared" si="129"/>
        <v>2</v>
      </c>
      <c r="X296" s="5">
        <f t="shared" si="130"/>
        <v>0</v>
      </c>
      <c r="Y296" s="5" t="str">
        <f>CONCATENATE(+Contacts!F296)</f>
        <v>+31 683648462</v>
      </c>
      <c r="Z296" s="2" t="str">
        <f t="shared" si="131"/>
        <v xml:space="preserve">Minnee, Dirk   </v>
      </c>
      <c r="AA296" s="2" t="str">
        <f>CONCATENATE(+Contacts!C296)</f>
        <v>Minnee</v>
      </c>
      <c r="AB296" s="2" t="str">
        <f t="shared" si="132"/>
        <v xml:space="preserve">, </v>
      </c>
      <c r="AC296" s="2" t="str">
        <f>CONCATENATE(+Contacts!A296)</f>
        <v>Dirk</v>
      </c>
      <c r="AD296" s="3" t="str">
        <f>CONCATENATE(" ",+Contacts!B296)</f>
        <v xml:space="preserve"> </v>
      </c>
      <c r="AE296" s="2" t="str">
        <f t="shared" si="133"/>
        <v xml:space="preserve"> </v>
      </c>
      <c r="AF296" s="3" t="str">
        <f>CONCATENATE(+Contacts!D296)</f>
        <v/>
      </c>
      <c r="AG296" s="2" t="str">
        <f t="shared" si="134"/>
        <v xml:space="preserve"> </v>
      </c>
      <c r="AH296" t="str">
        <f>CONCATENATE(+Contacts!I296)</f>
        <v/>
      </c>
      <c r="AI296">
        <v>1500000010</v>
      </c>
      <c r="AJ296" s="5">
        <f t="shared" si="135"/>
        <v>1</v>
      </c>
    </row>
    <row r="297" spans="1:36" x14ac:dyDescent="0.35">
      <c r="A297" s="7" t="str">
        <f t="shared" si="110"/>
        <v>&lt;contact&gt;&lt;category&gt;0&lt;/category&gt;&lt;person&gt;&lt;realName&gt;Misdaad Anoniem  (Hulpdiensten)&lt;/realName&gt;&lt;/person&gt;</v>
      </c>
      <c r="B297" s="7" t="str">
        <f t="shared" si="111"/>
        <v>&lt;telephony nid="1"&gt;&lt;number id="0" prio="1" type="work"&gt;0800 7000&lt;/number&gt;&lt;/telephony&gt;</v>
      </c>
      <c r="C297" s="7" t="str">
        <f t="shared" si="112"/>
        <v>&lt;services /&gt;&lt;setup /&gt;&lt;mod_time&gt;1500000010&lt;/mod_time&gt;&lt;uniqueid&gt;1&lt;/uniqueid&gt;&lt;/contact&gt;</v>
      </c>
      <c r="D297" t="str">
        <f t="shared" si="113"/>
        <v>&lt;contact&gt;&lt;category&gt;0&lt;/category&gt;&lt;person&gt;&lt;realName&gt;Misdaad Anoniem  (Hulpdiensten)&lt;/realName&gt;&lt;/person&gt;</v>
      </c>
      <c r="E297" t="str">
        <f t="shared" si="114"/>
        <v>&lt;telephony nid="1"&gt;&lt;number id="0" prio="1" type="work"&gt;0800 7000&lt;/number&gt;&lt;/telephony&gt;</v>
      </c>
      <c r="F297" t="str">
        <f t="shared" si="115"/>
        <v>&lt;telephony nid="1"&gt;</v>
      </c>
      <c r="G297" t="str">
        <f t="shared" si="116"/>
        <v>&lt;number id="0" prio="1" type="work"&gt;0800 7000&lt;/number&gt;</v>
      </c>
      <c r="H297" t="str">
        <f t="shared" si="117"/>
        <v>&lt;services nid="1"&gt;&lt;email id="0" classifier="private"&gt;&lt;/email&gt;&lt;/services&gt;&lt;setup /&gt;&lt;mod_time&gt;1500000010&lt;/mod_time&gt;&lt;uniqueid&gt;1&lt;/uniqueid&gt;&lt;/contact&gt;</v>
      </c>
      <c r="I297" t="str">
        <f t="shared" si="118"/>
        <v>&lt;services /&gt;&lt;setup /&gt;&lt;mod_time&gt;1500000010&lt;/mod_time&gt;&lt;uniqueid&gt;1&lt;/uniqueid&gt;&lt;/contact&gt;</v>
      </c>
      <c r="J297" t="str">
        <f t="shared" si="119"/>
        <v>&lt;services /&gt;&lt;setup /&gt;&lt;mod_time&gt;1500000010&lt;/mod_time&gt;&lt;uniqueid&gt;1&lt;/uniqueid&gt;&lt;/contact&gt;</v>
      </c>
      <c r="K297" s="5">
        <f t="shared" si="120"/>
        <v>1</v>
      </c>
      <c r="L297" s="5">
        <f t="shared" si="121"/>
        <v>1</v>
      </c>
      <c r="M297" s="5" t="str">
        <f>CONCATENATE(+Contacts!E297)</f>
        <v>0800 7000</v>
      </c>
      <c r="N297" t="str">
        <f t="shared" si="122"/>
        <v/>
      </c>
      <c r="O297" s="5">
        <f t="shared" si="123"/>
        <v>1</v>
      </c>
      <c r="P297" s="5">
        <f t="shared" si="124"/>
        <v>1</v>
      </c>
      <c r="Q297" s="5" t="str">
        <f>CONCATENATE(+Contacts!G297)</f>
        <v/>
      </c>
      <c r="R297" t="str">
        <f t="shared" si="125"/>
        <v/>
      </c>
      <c r="S297" s="5">
        <f t="shared" si="126"/>
        <v>1</v>
      </c>
      <c r="T297" s="5">
        <f t="shared" si="127"/>
        <v>1</v>
      </c>
      <c r="U297" s="5" t="str">
        <f>CONCATENATE(+Contacts!H297)</f>
        <v/>
      </c>
      <c r="V297" t="str">
        <f t="shared" si="128"/>
        <v/>
      </c>
      <c r="W297" s="5">
        <f t="shared" si="129"/>
        <v>1</v>
      </c>
      <c r="X297" s="5">
        <f t="shared" si="130"/>
        <v>1</v>
      </c>
      <c r="Y297" s="5" t="str">
        <f>CONCATENATE(+Contacts!F297)</f>
        <v/>
      </c>
      <c r="Z297" s="2" t="str">
        <f t="shared" si="131"/>
        <v>Misdaad Anoniem  (Hulpdiensten)</v>
      </c>
      <c r="AA297" s="2" t="str">
        <f>CONCATENATE(+Contacts!C297)</f>
        <v>Misdaad Anoniem</v>
      </c>
      <c r="AB297" s="2" t="str">
        <f t="shared" si="132"/>
        <v xml:space="preserve"> </v>
      </c>
      <c r="AC297" s="2" t="str">
        <f>CONCATENATE(+Contacts!A297)</f>
        <v/>
      </c>
      <c r="AD297" s="3" t="str">
        <f>CONCATENATE(" ",+Contacts!B297)</f>
        <v xml:space="preserve"> </v>
      </c>
      <c r="AE297" s="2" t="str">
        <f t="shared" si="133"/>
        <v>(</v>
      </c>
      <c r="AF297" s="3" t="str">
        <f>CONCATENATE(+Contacts!D297)</f>
        <v>Hulpdiensten</v>
      </c>
      <c r="AG297" s="2" t="str">
        <f t="shared" si="134"/>
        <v>)</v>
      </c>
      <c r="AH297" t="str">
        <f>CONCATENATE(+Contacts!I297)</f>
        <v/>
      </c>
      <c r="AI297">
        <v>1500000010</v>
      </c>
      <c r="AJ297" s="5">
        <f t="shared" si="135"/>
        <v>1</v>
      </c>
    </row>
    <row r="298" spans="1:36" x14ac:dyDescent="0.35">
      <c r="A298" s="7" t="str">
        <f t="shared" si="110"/>
        <v>&lt;contact&gt;&lt;category&gt;0&lt;/category&gt;&lt;person&gt;&lt;realName&gt;Mölling, Anke   &lt;/realName&gt;&lt;/person&gt;</v>
      </c>
      <c r="B298" s="7" t="str">
        <f t="shared" si="111"/>
        <v>&lt;telephony nid="1"&gt;&lt;number id="0" prio="1" type="mobile"&gt;+31 610808135&lt;/number&gt;&lt;/telephony&gt;</v>
      </c>
      <c r="C298" s="7" t="str">
        <f t="shared" si="112"/>
        <v>&lt;services nid="1"&gt;&lt;email id="0" classifier="private"&gt;a.molling@gmail.com&lt;/email&gt;&lt;/services&gt;&lt;setup /&gt;&lt;mod_time&gt;1500000010&lt;/mod_time&gt;&lt;uniqueid&gt;1&lt;/uniqueid&gt;&lt;/contact&gt;</v>
      </c>
      <c r="D298" t="str">
        <f t="shared" si="113"/>
        <v>&lt;contact&gt;&lt;category&gt;0&lt;/category&gt;&lt;person&gt;&lt;realName&gt;Mölling, Anke   &lt;/realName&gt;&lt;/person&gt;</v>
      </c>
      <c r="E298" t="str">
        <f t="shared" si="114"/>
        <v>&lt;telephony nid="1"&gt;&lt;number id="0" prio="1" type="mobile"&gt;+31 610808135&lt;/number&gt;&lt;/telephony&gt;</v>
      </c>
      <c r="F298" t="str">
        <f t="shared" si="115"/>
        <v>&lt;telephony nid="1"&gt;</v>
      </c>
      <c r="G298" t="str">
        <f t="shared" si="116"/>
        <v/>
      </c>
      <c r="H298" t="str">
        <f t="shared" si="117"/>
        <v>&lt;services nid="1"&gt;&lt;email id="0" classifier="private"&gt;a.molling@gmail.com&lt;/email&gt;&lt;/services&gt;&lt;setup /&gt;&lt;mod_time&gt;1500000010&lt;/mod_time&gt;&lt;uniqueid&gt;1&lt;/uniqueid&gt;&lt;/contact&gt;</v>
      </c>
      <c r="I298" t="str">
        <f t="shared" si="118"/>
        <v>&lt;services /&gt;&lt;setup /&gt;&lt;mod_time&gt;1500000010&lt;/mod_time&gt;&lt;uniqueid&gt;1&lt;/uniqueid&gt;&lt;/contact&gt;</v>
      </c>
      <c r="J298" t="str">
        <f t="shared" si="119"/>
        <v>&lt;services nid="1"&gt;&lt;email id="0" classifier="private"&gt;a.molling@gmail.com&lt;/email&gt;&lt;/services&gt;&lt;setup /&gt;&lt;mod_time&gt;1500000010&lt;/mod_time&gt;&lt;uniqueid&gt;1&lt;/uniqueid&gt;&lt;/contact&gt;</v>
      </c>
      <c r="K298" s="5">
        <f t="shared" si="120"/>
        <v>0</v>
      </c>
      <c r="L298" s="5">
        <f t="shared" si="121"/>
        <v>0</v>
      </c>
      <c r="M298" s="5" t="str">
        <f>CONCATENATE(+Contacts!E298)</f>
        <v/>
      </c>
      <c r="N298" t="str">
        <f t="shared" si="122"/>
        <v/>
      </c>
      <c r="O298" s="5">
        <f t="shared" si="123"/>
        <v>0</v>
      </c>
      <c r="P298" s="5">
        <f t="shared" si="124"/>
        <v>0</v>
      </c>
      <c r="Q298" s="5" t="str">
        <f>CONCATENATE(+Contacts!G298)</f>
        <v/>
      </c>
      <c r="R298" t="str">
        <f t="shared" si="125"/>
        <v>&lt;number id="0" prio="1" type="mobile"&gt;+31 610808135&lt;/number&gt;</v>
      </c>
      <c r="S298" s="5">
        <f t="shared" si="126"/>
        <v>1</v>
      </c>
      <c r="T298" s="5">
        <f t="shared" si="127"/>
        <v>1</v>
      </c>
      <c r="U298" s="5" t="str">
        <f>CONCATENATE(+Contacts!H298)</f>
        <v>+31 610808135</v>
      </c>
      <c r="V298" t="str">
        <f t="shared" si="128"/>
        <v/>
      </c>
      <c r="W298" s="5">
        <f t="shared" si="129"/>
        <v>1</v>
      </c>
      <c r="X298" s="5">
        <f t="shared" si="130"/>
        <v>1</v>
      </c>
      <c r="Y298" s="5" t="str">
        <f>CONCATENATE(+Contacts!F298)</f>
        <v/>
      </c>
      <c r="Z298" s="2" t="str">
        <f t="shared" si="131"/>
        <v xml:space="preserve">Mölling, Anke   </v>
      </c>
      <c r="AA298" s="2" t="str">
        <f>CONCATENATE(+Contacts!C298)</f>
        <v>Mölling</v>
      </c>
      <c r="AB298" s="2" t="str">
        <f t="shared" si="132"/>
        <v xml:space="preserve">, </v>
      </c>
      <c r="AC298" s="2" t="str">
        <f>CONCATENATE(+Contacts!A298)</f>
        <v>Anke</v>
      </c>
      <c r="AD298" s="3" t="str">
        <f>CONCATENATE(" ",+Contacts!B298)</f>
        <v xml:space="preserve"> </v>
      </c>
      <c r="AE298" s="2" t="str">
        <f t="shared" si="133"/>
        <v xml:space="preserve"> </v>
      </c>
      <c r="AF298" s="3" t="str">
        <f>CONCATENATE(+Contacts!D298)</f>
        <v/>
      </c>
      <c r="AG298" s="2" t="str">
        <f t="shared" si="134"/>
        <v xml:space="preserve"> </v>
      </c>
      <c r="AH298" t="str">
        <f>CONCATENATE(+Contacts!I298)</f>
        <v>a.molling@gmail.com</v>
      </c>
      <c r="AI298">
        <v>1500000010</v>
      </c>
      <c r="AJ298" s="5">
        <f t="shared" si="135"/>
        <v>1</v>
      </c>
    </row>
    <row r="299" spans="1:36" x14ac:dyDescent="0.35">
      <c r="A299" s="7" t="str">
        <f t="shared" si="110"/>
        <v>&lt;contact&gt;&lt;category&gt;0&lt;/category&gt;&lt;person&gt;&lt;realName&gt;Mölling, Erik   &lt;/realName&gt;&lt;/person&gt;</v>
      </c>
      <c r="B299" s="7" t="str">
        <f t="shared" si="111"/>
        <v>&lt;telephony nid="3"&gt;&lt;number id="0" prio="1" type="home"&gt;31357440204&lt;/number&gt;&lt;number id="1" prio="0" type="mobile"&gt;31641636215&lt;/number&gt;&lt;number id="2" prio="0" type="work"&gt;31622924367&lt;/number&gt;&lt;/telephony&gt;</v>
      </c>
      <c r="C299" s="7" t="str">
        <f t="shared" si="112"/>
        <v>&lt;services nid="1"&gt;&lt;email id="0" classifier="private"&gt;erik.molling@outlook.com&lt;/email&gt;&lt;/services&gt;&lt;setup /&gt;&lt;mod_time&gt;1500000010&lt;/mod_time&gt;&lt;uniqueid&gt;1&lt;/uniqueid&gt;&lt;/contact&gt;</v>
      </c>
      <c r="D299" t="str">
        <f t="shared" si="113"/>
        <v>&lt;contact&gt;&lt;category&gt;0&lt;/category&gt;&lt;person&gt;&lt;realName&gt;Mölling, Erik   &lt;/realName&gt;&lt;/person&gt;</v>
      </c>
      <c r="E299" t="str">
        <f t="shared" si="114"/>
        <v>&lt;telephony nid="3"&gt;&lt;number id="0" prio="1" type="home"&gt;31357440204&lt;/number&gt;&lt;number id="1" prio="0" type="mobile"&gt;31641636215&lt;/number&gt;&lt;number id="2" prio="0" type="work"&gt;31622924367&lt;/number&gt;&lt;/telephony&gt;</v>
      </c>
      <c r="F299" t="str">
        <f t="shared" si="115"/>
        <v>&lt;telephony nid="3"&gt;</v>
      </c>
      <c r="G299" t="str">
        <f t="shared" si="116"/>
        <v/>
      </c>
      <c r="H299" t="str">
        <f t="shared" si="117"/>
        <v>&lt;services nid="1"&gt;&lt;email id="0" classifier="private"&gt;erik.molling@outlook.com&lt;/email&gt;&lt;/services&gt;&lt;setup /&gt;&lt;mod_time&gt;1500000010&lt;/mod_time&gt;&lt;uniqueid&gt;1&lt;/uniqueid&gt;&lt;/contact&gt;</v>
      </c>
      <c r="I299" t="str">
        <f t="shared" si="118"/>
        <v>&lt;services /&gt;&lt;setup /&gt;&lt;mod_time&gt;1500000010&lt;/mod_time&gt;&lt;uniqueid&gt;1&lt;/uniqueid&gt;&lt;/contact&gt;</v>
      </c>
      <c r="J299" t="str">
        <f t="shared" si="119"/>
        <v>&lt;services nid="1"&gt;&lt;email id="0" classifier="private"&gt;erik.molling@outlook.com&lt;/email&gt;&lt;/services&gt;&lt;setup /&gt;&lt;mod_time&gt;1500000010&lt;/mod_time&gt;&lt;uniqueid&gt;1&lt;/uniqueid&gt;&lt;/contact&gt;</v>
      </c>
      <c r="K299" s="5">
        <f t="shared" si="120"/>
        <v>0</v>
      </c>
      <c r="L299" s="5">
        <f t="shared" si="121"/>
        <v>0</v>
      </c>
      <c r="M299" s="5" t="str">
        <f>CONCATENATE(+Contacts!E299)</f>
        <v/>
      </c>
      <c r="N299" t="str">
        <f t="shared" si="122"/>
        <v>&lt;number id="0" prio="1" type="home"&gt;31357440204&lt;/number&gt;</v>
      </c>
      <c r="O299" s="5">
        <f t="shared" si="123"/>
        <v>1</v>
      </c>
      <c r="P299" s="5">
        <f t="shared" si="124"/>
        <v>1</v>
      </c>
      <c r="Q299" s="5" t="str">
        <f>CONCATENATE(+Contacts!G299)</f>
        <v>31357440204</v>
      </c>
      <c r="R299" t="str">
        <f t="shared" si="125"/>
        <v>&lt;number id="1" prio="0" type="mobile"&gt;31641636215&lt;/number&gt;</v>
      </c>
      <c r="S299" s="5">
        <f t="shared" si="126"/>
        <v>2</v>
      </c>
      <c r="T299" s="5">
        <f t="shared" si="127"/>
        <v>0</v>
      </c>
      <c r="U299" s="5" t="str">
        <f>CONCATENATE(+Contacts!H299)</f>
        <v>31641636215</v>
      </c>
      <c r="V299" t="str">
        <f t="shared" si="128"/>
        <v>&lt;number id="2" prio="0" type="work"&gt;31622924367&lt;/number&gt;</v>
      </c>
      <c r="W299" s="5">
        <f t="shared" si="129"/>
        <v>3</v>
      </c>
      <c r="X299" s="5">
        <f t="shared" si="130"/>
        <v>0</v>
      </c>
      <c r="Y299" s="5" t="str">
        <f>CONCATENATE(+Contacts!F299)</f>
        <v>31622924367</v>
      </c>
      <c r="Z299" s="2" t="str">
        <f t="shared" si="131"/>
        <v xml:space="preserve">Mölling, Erik   </v>
      </c>
      <c r="AA299" s="2" t="str">
        <f>CONCATENATE(+Contacts!C299)</f>
        <v>Mölling</v>
      </c>
      <c r="AB299" s="2" t="str">
        <f t="shared" si="132"/>
        <v xml:space="preserve">, </v>
      </c>
      <c r="AC299" s="2" t="str">
        <f>CONCATENATE(+Contacts!A299)</f>
        <v>Erik</v>
      </c>
      <c r="AD299" s="3" t="str">
        <f>CONCATENATE(" ",+Contacts!B299)</f>
        <v xml:space="preserve"> </v>
      </c>
      <c r="AE299" s="2" t="str">
        <f t="shared" si="133"/>
        <v xml:space="preserve"> </v>
      </c>
      <c r="AF299" s="3" t="str">
        <f>CONCATENATE(+Contacts!D299)</f>
        <v/>
      </c>
      <c r="AG299" s="2" t="str">
        <f t="shared" si="134"/>
        <v xml:space="preserve"> </v>
      </c>
      <c r="AH299" t="str">
        <f>CONCATENATE(+Contacts!I299)</f>
        <v>erik.molling@outlook.com</v>
      </c>
      <c r="AI299">
        <v>1500000010</v>
      </c>
      <c r="AJ299" s="5">
        <f t="shared" si="135"/>
        <v>1</v>
      </c>
    </row>
    <row r="300" spans="1:36" x14ac:dyDescent="0.35">
      <c r="A300" s="7" t="str">
        <f t="shared" si="110"/>
        <v>&lt;contact&gt;&lt;category&gt;0&lt;/category&gt;&lt;person&gt;&lt;realName&gt;Mook (dhr)  (Antiek ‘t Erf ( Opgeheven) )&lt;/realName&gt;&lt;/person&gt;</v>
      </c>
      <c r="B300" s="7" t="str">
        <f t="shared" si="111"/>
        <v>&lt;telephony nid="1"&gt;&lt;number id="0" prio="1" type="mobile"&gt;(010) 467 27 00&lt;/number&gt;&lt;/telephony&gt;</v>
      </c>
      <c r="C300" s="7" t="str">
        <f t="shared" si="112"/>
        <v>&lt;services nid="1"&gt;&lt;email id="0" classifier="private"&gt;a.mook@zonnet.nl&lt;/email&gt;&lt;/services&gt;&lt;setup /&gt;&lt;mod_time&gt;1500000010&lt;/mod_time&gt;&lt;uniqueid&gt;1&lt;/uniqueid&gt;&lt;/contact&gt;</v>
      </c>
      <c r="D300" t="str">
        <f t="shared" si="113"/>
        <v>&lt;contact&gt;&lt;category&gt;0&lt;/category&gt;&lt;person&gt;&lt;realName&gt;Mook (dhr)  (Antiek ‘t Erf ( Opgeheven) )&lt;/realName&gt;&lt;/person&gt;</v>
      </c>
      <c r="E300" t="str">
        <f t="shared" si="114"/>
        <v>&lt;telephony nid="1"&gt;&lt;number id="0" prio="1" type="mobile"&gt;(010) 467 27 00&lt;/number&gt;&lt;/telephony&gt;</v>
      </c>
      <c r="F300" t="str">
        <f t="shared" si="115"/>
        <v>&lt;telephony nid="1"&gt;</v>
      </c>
      <c r="G300" t="str">
        <f t="shared" si="116"/>
        <v/>
      </c>
      <c r="H300" t="str">
        <f t="shared" si="117"/>
        <v>&lt;services nid="1"&gt;&lt;email id="0" classifier="private"&gt;a.mook@zonnet.nl&lt;/email&gt;&lt;/services&gt;&lt;setup /&gt;&lt;mod_time&gt;1500000010&lt;/mod_time&gt;&lt;uniqueid&gt;1&lt;/uniqueid&gt;&lt;/contact&gt;</v>
      </c>
      <c r="I300" t="str">
        <f t="shared" si="118"/>
        <v>&lt;services /&gt;&lt;setup /&gt;&lt;mod_time&gt;1500000010&lt;/mod_time&gt;&lt;uniqueid&gt;1&lt;/uniqueid&gt;&lt;/contact&gt;</v>
      </c>
      <c r="J300" t="str">
        <f t="shared" si="119"/>
        <v>&lt;services nid="1"&gt;&lt;email id="0" classifier="private"&gt;a.mook@zonnet.nl&lt;/email&gt;&lt;/services&gt;&lt;setup /&gt;&lt;mod_time&gt;1500000010&lt;/mod_time&gt;&lt;uniqueid&gt;1&lt;/uniqueid&gt;&lt;/contact&gt;</v>
      </c>
      <c r="K300" s="5">
        <f t="shared" si="120"/>
        <v>0</v>
      </c>
      <c r="L300" s="5">
        <f t="shared" si="121"/>
        <v>0</v>
      </c>
      <c r="M300" s="5" t="str">
        <f>CONCATENATE(+Contacts!E300)</f>
        <v/>
      </c>
      <c r="N300" t="str">
        <f t="shared" si="122"/>
        <v/>
      </c>
      <c r="O300" s="5">
        <f t="shared" si="123"/>
        <v>0</v>
      </c>
      <c r="P300" s="5">
        <f t="shared" si="124"/>
        <v>0</v>
      </c>
      <c r="Q300" s="5" t="str">
        <f>CONCATENATE(+Contacts!G300)</f>
        <v/>
      </c>
      <c r="R300" t="str">
        <f t="shared" si="125"/>
        <v>&lt;number id="0" prio="1" type="mobile"&gt;(010) 467 27 00&lt;/number&gt;</v>
      </c>
      <c r="S300" s="5">
        <f t="shared" si="126"/>
        <v>1</v>
      </c>
      <c r="T300" s="5">
        <f t="shared" si="127"/>
        <v>1</v>
      </c>
      <c r="U300" s="5" t="str">
        <f>CONCATENATE(+Contacts!H300)</f>
        <v>(010) 467 27 00</v>
      </c>
      <c r="V300" t="str">
        <f t="shared" si="128"/>
        <v/>
      </c>
      <c r="W300" s="5">
        <f t="shared" si="129"/>
        <v>1</v>
      </c>
      <c r="X300" s="5">
        <f t="shared" si="130"/>
        <v>1</v>
      </c>
      <c r="Y300" s="5" t="str">
        <f>CONCATENATE(+Contacts!F300)</f>
        <v/>
      </c>
      <c r="Z300" s="2" t="str">
        <f t="shared" si="131"/>
        <v>Mook (dhr)  (Antiek ‘t Erf ( Opgeheven) )</v>
      </c>
      <c r="AA300" s="2" t="str">
        <f>CONCATENATE(+Contacts!C300)</f>
        <v>Mook (dhr)</v>
      </c>
      <c r="AB300" s="2" t="str">
        <f t="shared" si="132"/>
        <v xml:space="preserve"> </v>
      </c>
      <c r="AC300" s="2" t="str">
        <f>CONCATENATE(+Contacts!A300)</f>
        <v/>
      </c>
      <c r="AD300" s="3" t="str">
        <f>CONCATENATE(" ",+Contacts!B300)</f>
        <v xml:space="preserve"> </v>
      </c>
      <c r="AE300" s="2" t="str">
        <f t="shared" si="133"/>
        <v>(</v>
      </c>
      <c r="AF300" s="3" t="str">
        <f>CONCATENATE(+Contacts!D300)</f>
        <v xml:space="preserve">Antiek ‘t Erf ( Opgeheven) </v>
      </c>
      <c r="AG300" s="2" t="str">
        <f t="shared" si="134"/>
        <v>)</v>
      </c>
      <c r="AH300" t="str">
        <f>CONCATENATE(+Contacts!I300)</f>
        <v>a.mook@zonnet.nl</v>
      </c>
      <c r="AI300">
        <v>1500000010</v>
      </c>
      <c r="AJ300" s="5">
        <f t="shared" si="135"/>
        <v>1</v>
      </c>
    </row>
    <row r="301" spans="1:36" x14ac:dyDescent="0.35">
      <c r="A301" s="7" t="str">
        <f t="shared" si="110"/>
        <v>&lt;contact&gt;&lt;category&gt;0&lt;/category&gt;&lt;person&gt;&lt;realName&gt;Moses, Simone   &lt;/realName&gt;&lt;/person&gt;</v>
      </c>
      <c r="B301" s="7" t="str">
        <f t="shared" si="111"/>
        <v>&lt;telephony nid="1"&gt;&lt;number id="0" prio="1" type="home"&gt;+31 735215033&lt;/number&gt;&lt;/telephony&gt;</v>
      </c>
      <c r="C301" s="7" t="str">
        <f t="shared" si="112"/>
        <v>&lt;services /&gt;&lt;setup /&gt;&lt;mod_time&gt;1500000010&lt;/mod_time&gt;&lt;uniqueid&gt;1&lt;/uniqueid&gt;&lt;/contact&gt;</v>
      </c>
      <c r="D301" t="str">
        <f t="shared" si="113"/>
        <v>&lt;contact&gt;&lt;category&gt;0&lt;/category&gt;&lt;person&gt;&lt;realName&gt;Moses, Simone   &lt;/realName&gt;&lt;/person&gt;</v>
      </c>
      <c r="E301" t="str">
        <f t="shared" si="114"/>
        <v>&lt;telephony nid="1"&gt;&lt;number id="0" prio="1" type="home"&gt;+31 735215033&lt;/number&gt;&lt;/telephony&gt;</v>
      </c>
      <c r="F301" t="str">
        <f t="shared" si="115"/>
        <v>&lt;telephony nid="1"&gt;</v>
      </c>
      <c r="G301" t="str">
        <f t="shared" si="116"/>
        <v/>
      </c>
      <c r="H301" t="str">
        <f t="shared" si="117"/>
        <v>&lt;services nid="1"&gt;&lt;email id="0" classifier="private"&gt;&lt;/email&gt;&lt;/services&gt;&lt;setup /&gt;&lt;mod_time&gt;1500000010&lt;/mod_time&gt;&lt;uniqueid&gt;1&lt;/uniqueid&gt;&lt;/contact&gt;</v>
      </c>
      <c r="I301" t="str">
        <f t="shared" si="118"/>
        <v>&lt;services /&gt;&lt;setup /&gt;&lt;mod_time&gt;1500000010&lt;/mod_time&gt;&lt;uniqueid&gt;1&lt;/uniqueid&gt;&lt;/contact&gt;</v>
      </c>
      <c r="J301" t="str">
        <f t="shared" si="119"/>
        <v>&lt;services /&gt;&lt;setup /&gt;&lt;mod_time&gt;1500000010&lt;/mod_time&gt;&lt;uniqueid&gt;1&lt;/uniqueid&gt;&lt;/contact&gt;</v>
      </c>
      <c r="K301" s="5">
        <f t="shared" si="120"/>
        <v>0</v>
      </c>
      <c r="L301" s="5">
        <f t="shared" si="121"/>
        <v>0</v>
      </c>
      <c r="M301" s="5" t="str">
        <f>CONCATENATE(+Contacts!E301)</f>
        <v/>
      </c>
      <c r="N301" t="str">
        <f t="shared" si="122"/>
        <v>&lt;number id="0" prio="1" type="home"&gt;+31 735215033&lt;/number&gt;</v>
      </c>
      <c r="O301" s="5">
        <f t="shared" si="123"/>
        <v>1</v>
      </c>
      <c r="P301" s="5">
        <f t="shared" si="124"/>
        <v>1</v>
      </c>
      <c r="Q301" s="5" t="str">
        <f>CONCATENATE(+Contacts!G301)</f>
        <v>+31 735215033</v>
      </c>
      <c r="R301" t="str">
        <f t="shared" si="125"/>
        <v/>
      </c>
      <c r="S301" s="5">
        <f t="shared" si="126"/>
        <v>1</v>
      </c>
      <c r="T301" s="5">
        <f t="shared" si="127"/>
        <v>1</v>
      </c>
      <c r="U301" s="5" t="str">
        <f>CONCATENATE(+Contacts!H301)</f>
        <v/>
      </c>
      <c r="V301" t="str">
        <f t="shared" si="128"/>
        <v/>
      </c>
      <c r="W301" s="5">
        <f t="shared" si="129"/>
        <v>1</v>
      </c>
      <c r="X301" s="5">
        <f t="shared" si="130"/>
        <v>1</v>
      </c>
      <c r="Y301" s="5" t="str">
        <f>CONCATENATE(+Contacts!F301)</f>
        <v/>
      </c>
      <c r="Z301" s="2" t="str">
        <f t="shared" si="131"/>
        <v xml:space="preserve">Moses, Simone   </v>
      </c>
      <c r="AA301" s="2" t="str">
        <f>CONCATENATE(+Contacts!C301)</f>
        <v>Moses</v>
      </c>
      <c r="AB301" s="2" t="str">
        <f t="shared" si="132"/>
        <v xml:space="preserve">, </v>
      </c>
      <c r="AC301" s="2" t="str">
        <f>CONCATENATE(+Contacts!A301)</f>
        <v>Simone</v>
      </c>
      <c r="AD301" s="3" t="str">
        <f>CONCATENATE(" ",+Contacts!B301)</f>
        <v xml:space="preserve"> </v>
      </c>
      <c r="AE301" s="2" t="str">
        <f t="shared" si="133"/>
        <v xml:space="preserve"> </v>
      </c>
      <c r="AF301" s="3" t="str">
        <f>CONCATENATE(+Contacts!D301)</f>
        <v/>
      </c>
      <c r="AG301" s="2" t="str">
        <f t="shared" si="134"/>
        <v xml:space="preserve"> </v>
      </c>
      <c r="AH301" t="str">
        <f>CONCATENATE(+Contacts!I301)</f>
        <v/>
      </c>
      <c r="AI301">
        <v>1500000010</v>
      </c>
      <c r="AJ301" s="5">
        <f t="shared" si="135"/>
        <v>1</v>
      </c>
    </row>
    <row r="302" spans="1:36" x14ac:dyDescent="0.35">
      <c r="A302" s="7" t="str">
        <f t="shared" si="110"/>
        <v>&lt;contact&gt;&lt;category&gt;0&lt;/category&gt;&lt;person&gt;&lt;realName&gt;Mostert, Sjaak   &lt;/realName&gt;&lt;/person&gt;</v>
      </c>
      <c r="B302" s="7" t="str">
        <f t="shared" si="111"/>
        <v>&lt;telephony nid="2"&gt;&lt;number id="0" prio="1" type="home"&gt;31105118390&lt;/number&gt;&lt;number id="1" prio="0" type="work"&gt;31625413849&lt;/number&gt;&lt;/telephony&gt;</v>
      </c>
      <c r="C302" s="7" t="str">
        <f t="shared" si="112"/>
        <v>&lt;services nid="1"&gt;&lt;email id="0" classifier="private"&gt;jfh.mostert@gmail.com&lt;/email&gt;&lt;/services&gt;&lt;setup /&gt;&lt;mod_time&gt;1500000010&lt;/mod_time&gt;&lt;uniqueid&gt;1&lt;/uniqueid&gt;&lt;/contact&gt;</v>
      </c>
      <c r="D302" t="str">
        <f t="shared" si="113"/>
        <v>&lt;contact&gt;&lt;category&gt;0&lt;/category&gt;&lt;person&gt;&lt;realName&gt;Mostert, Sjaak   &lt;/realName&gt;&lt;/person&gt;</v>
      </c>
      <c r="E302" t="str">
        <f t="shared" si="114"/>
        <v>&lt;telephony nid="2"&gt;&lt;number id="0" prio="1" type="home"&gt;31105118390&lt;/number&gt;&lt;number id="1" prio="0" type="work"&gt;31625413849&lt;/number&gt;&lt;/telephony&gt;</v>
      </c>
      <c r="F302" t="str">
        <f t="shared" si="115"/>
        <v>&lt;telephony nid="2"&gt;</v>
      </c>
      <c r="G302" t="str">
        <f t="shared" si="116"/>
        <v/>
      </c>
      <c r="H302" t="str">
        <f t="shared" si="117"/>
        <v>&lt;services nid="1"&gt;&lt;email id="0" classifier="private"&gt;jfh.mostert@gmail.com&lt;/email&gt;&lt;/services&gt;&lt;setup /&gt;&lt;mod_time&gt;1500000010&lt;/mod_time&gt;&lt;uniqueid&gt;1&lt;/uniqueid&gt;&lt;/contact&gt;</v>
      </c>
      <c r="I302" t="str">
        <f t="shared" si="118"/>
        <v>&lt;services /&gt;&lt;setup /&gt;&lt;mod_time&gt;1500000010&lt;/mod_time&gt;&lt;uniqueid&gt;1&lt;/uniqueid&gt;&lt;/contact&gt;</v>
      </c>
      <c r="J302" t="str">
        <f t="shared" si="119"/>
        <v>&lt;services nid="1"&gt;&lt;email id="0" classifier="private"&gt;jfh.mostert@gmail.com&lt;/email&gt;&lt;/services&gt;&lt;setup /&gt;&lt;mod_time&gt;1500000010&lt;/mod_time&gt;&lt;uniqueid&gt;1&lt;/uniqueid&gt;&lt;/contact&gt;</v>
      </c>
      <c r="K302" s="5">
        <f t="shared" si="120"/>
        <v>0</v>
      </c>
      <c r="L302" s="5">
        <f t="shared" si="121"/>
        <v>0</v>
      </c>
      <c r="M302" s="5" t="str">
        <f>CONCATENATE(+Contacts!E302)</f>
        <v/>
      </c>
      <c r="N302" t="str">
        <f t="shared" si="122"/>
        <v>&lt;number id="0" prio="1" type="home"&gt;31105118390&lt;/number&gt;</v>
      </c>
      <c r="O302" s="5">
        <f t="shared" si="123"/>
        <v>1</v>
      </c>
      <c r="P302" s="5">
        <f t="shared" si="124"/>
        <v>1</v>
      </c>
      <c r="Q302" s="5" t="str">
        <f>CONCATENATE(+Contacts!G302)</f>
        <v>31105118390</v>
      </c>
      <c r="R302" t="str">
        <f t="shared" si="125"/>
        <v/>
      </c>
      <c r="S302" s="5">
        <f t="shared" si="126"/>
        <v>1</v>
      </c>
      <c r="T302" s="5">
        <f t="shared" si="127"/>
        <v>1</v>
      </c>
      <c r="U302" s="5" t="str">
        <f>CONCATENATE(+Contacts!H302)</f>
        <v/>
      </c>
      <c r="V302" t="str">
        <f t="shared" si="128"/>
        <v>&lt;number id="1" prio="0" type="work"&gt;31625413849&lt;/number&gt;</v>
      </c>
      <c r="W302" s="5">
        <f t="shared" si="129"/>
        <v>2</v>
      </c>
      <c r="X302" s="5">
        <f t="shared" si="130"/>
        <v>0</v>
      </c>
      <c r="Y302" s="5" t="str">
        <f>CONCATENATE(+Contacts!F302)</f>
        <v>31625413849</v>
      </c>
      <c r="Z302" s="2" t="str">
        <f t="shared" si="131"/>
        <v xml:space="preserve">Mostert, Sjaak   </v>
      </c>
      <c r="AA302" s="2" t="str">
        <f>CONCATENATE(+Contacts!C302)</f>
        <v>Mostert</v>
      </c>
      <c r="AB302" s="2" t="str">
        <f t="shared" si="132"/>
        <v xml:space="preserve">, </v>
      </c>
      <c r="AC302" s="2" t="str">
        <f>CONCATENATE(+Contacts!A302)</f>
        <v>Sjaak</v>
      </c>
      <c r="AD302" s="3" t="str">
        <f>CONCATENATE(" ",+Contacts!B302)</f>
        <v xml:space="preserve"> </v>
      </c>
      <c r="AE302" s="2" t="str">
        <f t="shared" si="133"/>
        <v xml:space="preserve"> </v>
      </c>
      <c r="AF302" s="3" t="str">
        <f>CONCATENATE(+Contacts!D302)</f>
        <v/>
      </c>
      <c r="AG302" s="2" t="str">
        <f t="shared" si="134"/>
        <v xml:space="preserve"> </v>
      </c>
      <c r="AH302" t="str">
        <f>CONCATENATE(+Contacts!I302)</f>
        <v>jfh.mostert@gmail.com</v>
      </c>
      <c r="AI302">
        <v>1500000010</v>
      </c>
      <c r="AJ302" s="5">
        <f t="shared" si="135"/>
        <v>1</v>
      </c>
    </row>
    <row r="303" spans="1:36" x14ac:dyDescent="0.35">
      <c r="A303" s="7" t="str">
        <f t="shared" si="110"/>
        <v>&lt;contact&gt;&lt;category&gt;0&lt;/category&gt;&lt;person&gt;&lt;realName&gt;Mostert, Sjaak &amp;amp; Sonja   &lt;/realName&gt;&lt;/person&gt;</v>
      </c>
      <c r="B303" s="7" t="str">
        <f t="shared" si="111"/>
        <v>&lt;telephony nid="1"&gt;&lt;number id="0" prio="1" type="home"&gt;+31 105118390&lt;/number&gt;&lt;/telephony&gt;</v>
      </c>
      <c r="C303" s="7" t="str">
        <f t="shared" si="112"/>
        <v>&lt;services nid="1"&gt;&lt;email id="0" classifier="private"&gt;mostertvliet@hetnet.nl&lt;/email&gt;&lt;/services&gt;&lt;setup /&gt;&lt;mod_time&gt;1500000010&lt;/mod_time&gt;&lt;uniqueid&gt;1&lt;/uniqueid&gt;&lt;/contact&gt;</v>
      </c>
      <c r="D303" t="str">
        <f t="shared" si="113"/>
        <v>&lt;contact&gt;&lt;category&gt;0&lt;/category&gt;&lt;person&gt;&lt;realName&gt;Mostert, Sjaak &amp;amp; Sonja   &lt;/realName&gt;&lt;/person&gt;</v>
      </c>
      <c r="E303" t="str">
        <f t="shared" si="114"/>
        <v>&lt;telephony nid="1"&gt;&lt;number id="0" prio="1" type="home"&gt;+31 105118390&lt;/number&gt;&lt;/telephony&gt;</v>
      </c>
      <c r="F303" t="str">
        <f t="shared" si="115"/>
        <v>&lt;telephony nid="1"&gt;</v>
      </c>
      <c r="G303" t="str">
        <f t="shared" si="116"/>
        <v/>
      </c>
      <c r="H303" t="str">
        <f t="shared" si="117"/>
        <v>&lt;services nid="1"&gt;&lt;email id="0" classifier="private"&gt;mostertvliet@hetnet.nl&lt;/email&gt;&lt;/services&gt;&lt;setup /&gt;&lt;mod_time&gt;1500000010&lt;/mod_time&gt;&lt;uniqueid&gt;1&lt;/uniqueid&gt;&lt;/contact&gt;</v>
      </c>
      <c r="I303" t="str">
        <f t="shared" si="118"/>
        <v>&lt;services /&gt;&lt;setup /&gt;&lt;mod_time&gt;1500000010&lt;/mod_time&gt;&lt;uniqueid&gt;1&lt;/uniqueid&gt;&lt;/contact&gt;</v>
      </c>
      <c r="J303" t="str">
        <f t="shared" si="119"/>
        <v>&lt;services nid="1"&gt;&lt;email id="0" classifier="private"&gt;mostertvliet@hetnet.nl&lt;/email&gt;&lt;/services&gt;&lt;setup /&gt;&lt;mod_time&gt;1500000010&lt;/mod_time&gt;&lt;uniqueid&gt;1&lt;/uniqueid&gt;&lt;/contact&gt;</v>
      </c>
      <c r="K303" s="5">
        <f t="shared" si="120"/>
        <v>0</v>
      </c>
      <c r="L303" s="5">
        <f t="shared" si="121"/>
        <v>0</v>
      </c>
      <c r="M303" s="5" t="str">
        <f>CONCATENATE(+Contacts!E303)</f>
        <v/>
      </c>
      <c r="N303" t="str">
        <f t="shared" si="122"/>
        <v>&lt;number id="0" prio="1" type="home"&gt;+31 105118390&lt;/number&gt;</v>
      </c>
      <c r="O303" s="5">
        <f t="shared" si="123"/>
        <v>1</v>
      </c>
      <c r="P303" s="5">
        <f t="shared" si="124"/>
        <v>1</v>
      </c>
      <c r="Q303" s="5" t="str">
        <f>CONCATENATE(+Contacts!G303)</f>
        <v>+31 105118390</v>
      </c>
      <c r="R303" t="str">
        <f t="shared" si="125"/>
        <v/>
      </c>
      <c r="S303" s="5">
        <f t="shared" si="126"/>
        <v>1</v>
      </c>
      <c r="T303" s="5">
        <f t="shared" si="127"/>
        <v>1</v>
      </c>
      <c r="U303" s="5" t="str">
        <f>CONCATENATE(+Contacts!H303)</f>
        <v/>
      </c>
      <c r="V303" t="str">
        <f t="shared" si="128"/>
        <v/>
      </c>
      <c r="W303" s="5">
        <f t="shared" si="129"/>
        <v>1</v>
      </c>
      <c r="X303" s="5">
        <f t="shared" si="130"/>
        <v>1</v>
      </c>
      <c r="Y303" s="5" t="str">
        <f>CONCATENATE(+Contacts!F303)</f>
        <v/>
      </c>
      <c r="Z303" s="2" t="str">
        <f t="shared" si="131"/>
        <v xml:space="preserve">Mostert, Sjaak &amp;amp; Sonja   </v>
      </c>
      <c r="AA303" s="2" t="str">
        <f>CONCATENATE(+Contacts!C303)</f>
        <v>Mostert</v>
      </c>
      <c r="AB303" s="2" t="str">
        <f t="shared" si="132"/>
        <v xml:space="preserve">, </v>
      </c>
      <c r="AC303" s="2" t="str">
        <f>CONCATENATE(+Contacts!A303)</f>
        <v>Sjaak &amp;amp; Sonja</v>
      </c>
      <c r="AD303" s="3" t="str">
        <f>CONCATENATE(" ",+Contacts!B303)</f>
        <v xml:space="preserve"> </v>
      </c>
      <c r="AE303" s="2" t="str">
        <f t="shared" si="133"/>
        <v xml:space="preserve"> </v>
      </c>
      <c r="AF303" s="3" t="str">
        <f>CONCATENATE(+Contacts!D303)</f>
        <v/>
      </c>
      <c r="AG303" s="2" t="str">
        <f t="shared" si="134"/>
        <v xml:space="preserve"> </v>
      </c>
      <c r="AH303" t="str">
        <f>CONCATENATE(+Contacts!I303)</f>
        <v>mostertvliet@hetnet.nl</v>
      </c>
      <c r="AI303">
        <v>1500000010</v>
      </c>
      <c r="AJ303" s="5">
        <f t="shared" si="135"/>
        <v>1</v>
      </c>
    </row>
    <row r="304" spans="1:36" x14ac:dyDescent="0.35">
      <c r="A304" s="7" t="str">
        <f t="shared" si="110"/>
        <v>&lt;contact&gt;&lt;category&gt;0&lt;/category&gt;&lt;person&gt;&lt;realName&gt;Muiderman, Henriette   &lt;/realName&gt;&lt;/person&gt;</v>
      </c>
      <c r="B304" s="7" t="str">
        <f t="shared" si="111"/>
        <v>&lt;telephony nid="2"&gt;&lt;number id="0" prio="1" type="home"&gt;+33 240787946&lt;/number&gt;&lt;number id="1" prio="0" type="mobile"&gt;+33 699044239&lt;/number&gt;&lt;/telephony&gt;</v>
      </c>
      <c r="C304" s="7" t="str">
        <f t="shared" si="112"/>
        <v>&lt;services nid="1"&gt;&lt;email id="0" classifier="private"&gt;h.klinkhamer-m@wanadoo.fr&lt;/email&gt;&lt;/services&gt;&lt;setup /&gt;&lt;mod_time&gt;1500000010&lt;/mod_time&gt;&lt;uniqueid&gt;1&lt;/uniqueid&gt;&lt;/contact&gt;</v>
      </c>
      <c r="D304" t="str">
        <f t="shared" si="113"/>
        <v>&lt;contact&gt;&lt;category&gt;0&lt;/category&gt;&lt;person&gt;&lt;realName&gt;Muiderman, Henriette   &lt;/realName&gt;&lt;/person&gt;</v>
      </c>
      <c r="E304" t="str">
        <f t="shared" si="114"/>
        <v>&lt;telephony nid="2"&gt;&lt;number id="0" prio="1" type="home"&gt;+33 240787946&lt;/number&gt;&lt;number id="1" prio="0" type="mobile"&gt;+33 699044239&lt;/number&gt;&lt;/telephony&gt;</v>
      </c>
      <c r="F304" t="str">
        <f t="shared" si="115"/>
        <v>&lt;telephony nid="2"&gt;</v>
      </c>
      <c r="G304" t="str">
        <f t="shared" si="116"/>
        <v/>
      </c>
      <c r="H304" t="str">
        <f t="shared" si="117"/>
        <v>&lt;services nid="1"&gt;&lt;email id="0" classifier="private"&gt;h.klinkhamer-m@wanadoo.fr&lt;/email&gt;&lt;/services&gt;&lt;setup /&gt;&lt;mod_time&gt;1500000010&lt;/mod_time&gt;&lt;uniqueid&gt;1&lt;/uniqueid&gt;&lt;/contact&gt;</v>
      </c>
      <c r="I304" t="str">
        <f t="shared" si="118"/>
        <v>&lt;services /&gt;&lt;setup /&gt;&lt;mod_time&gt;1500000010&lt;/mod_time&gt;&lt;uniqueid&gt;1&lt;/uniqueid&gt;&lt;/contact&gt;</v>
      </c>
      <c r="J304" t="str">
        <f t="shared" si="119"/>
        <v>&lt;services nid="1"&gt;&lt;email id="0" classifier="private"&gt;h.klinkhamer-m@wanadoo.fr&lt;/email&gt;&lt;/services&gt;&lt;setup /&gt;&lt;mod_time&gt;1500000010&lt;/mod_time&gt;&lt;uniqueid&gt;1&lt;/uniqueid&gt;&lt;/contact&gt;</v>
      </c>
      <c r="K304" s="5">
        <f t="shared" si="120"/>
        <v>0</v>
      </c>
      <c r="L304" s="5">
        <f t="shared" si="121"/>
        <v>0</v>
      </c>
      <c r="M304" s="5" t="str">
        <f>CONCATENATE(+Contacts!E304)</f>
        <v/>
      </c>
      <c r="N304" t="str">
        <f t="shared" si="122"/>
        <v>&lt;number id="0" prio="1" type="home"&gt;+33 240787946&lt;/number&gt;</v>
      </c>
      <c r="O304" s="5">
        <f t="shared" si="123"/>
        <v>1</v>
      </c>
      <c r="P304" s="5">
        <f t="shared" si="124"/>
        <v>1</v>
      </c>
      <c r="Q304" s="5" t="str">
        <f>CONCATENATE(+Contacts!G304)</f>
        <v>+33 240787946</v>
      </c>
      <c r="R304" t="str">
        <f t="shared" si="125"/>
        <v>&lt;number id="1" prio="0" type="mobile"&gt;+33 699044239&lt;/number&gt;</v>
      </c>
      <c r="S304" s="5">
        <f t="shared" si="126"/>
        <v>2</v>
      </c>
      <c r="T304" s="5">
        <f t="shared" si="127"/>
        <v>0</v>
      </c>
      <c r="U304" s="5" t="str">
        <f>CONCATENATE(+Contacts!H304)</f>
        <v>+33 699044239</v>
      </c>
      <c r="V304" t="str">
        <f t="shared" si="128"/>
        <v/>
      </c>
      <c r="W304" s="5">
        <f t="shared" si="129"/>
        <v>2</v>
      </c>
      <c r="X304" s="5">
        <f t="shared" si="130"/>
        <v>0</v>
      </c>
      <c r="Y304" s="5" t="str">
        <f>CONCATENATE(+Contacts!F304)</f>
        <v/>
      </c>
      <c r="Z304" s="2" t="str">
        <f t="shared" si="131"/>
        <v xml:space="preserve">Muiderman, Henriette   </v>
      </c>
      <c r="AA304" s="2" t="str">
        <f>CONCATENATE(+Contacts!C304)</f>
        <v>Muiderman</v>
      </c>
      <c r="AB304" s="2" t="str">
        <f t="shared" si="132"/>
        <v xml:space="preserve">, </v>
      </c>
      <c r="AC304" s="2" t="str">
        <f>CONCATENATE(+Contacts!A304)</f>
        <v>Henriette</v>
      </c>
      <c r="AD304" s="3" t="str">
        <f>CONCATENATE(" ",+Contacts!B304)</f>
        <v xml:space="preserve"> </v>
      </c>
      <c r="AE304" s="2" t="str">
        <f t="shared" si="133"/>
        <v xml:space="preserve"> </v>
      </c>
      <c r="AF304" s="3" t="str">
        <f>CONCATENATE(+Contacts!D304)</f>
        <v/>
      </c>
      <c r="AG304" s="2" t="str">
        <f t="shared" si="134"/>
        <v xml:space="preserve"> </v>
      </c>
      <c r="AH304" t="str">
        <f>CONCATENATE(+Contacts!I304)</f>
        <v>h.klinkhamer-m@wanadoo.fr</v>
      </c>
      <c r="AI304">
        <v>1500000010</v>
      </c>
      <c r="AJ304" s="5">
        <f t="shared" si="135"/>
        <v>1</v>
      </c>
    </row>
    <row r="305" spans="1:36" x14ac:dyDescent="0.35">
      <c r="A305" s="7" t="str">
        <f t="shared" si="110"/>
        <v>&lt;contact&gt;&lt;category&gt;0&lt;/category&gt;&lt;person&gt;&lt;realName&gt;Muilwijk, Jaap   &lt;/realName&gt;&lt;/person&gt;</v>
      </c>
      <c r="B305" s="7" t="str">
        <f t="shared" si="111"/>
        <v>&lt;telephony nid="2"&gt;&lt;number id="0" prio="1" type="home"&gt;+31 523231716&lt;/number&gt;&lt;number id="1" prio="0" type="mobile"&gt;+31 6 29 544 615&lt;/number&gt;&lt;/telephony&gt;</v>
      </c>
      <c r="C305" s="7" t="str">
        <f t="shared" si="112"/>
        <v>&lt;services nid="1"&gt;&lt;email id="0" classifier="private"&gt;jacobpmuilwijk@gmail.com&lt;/email&gt;&lt;/services&gt;&lt;setup /&gt;&lt;mod_time&gt;1500000010&lt;/mod_time&gt;&lt;uniqueid&gt;1&lt;/uniqueid&gt;&lt;/contact&gt;</v>
      </c>
      <c r="D305" t="str">
        <f t="shared" si="113"/>
        <v>&lt;contact&gt;&lt;category&gt;0&lt;/category&gt;&lt;person&gt;&lt;realName&gt;Muilwijk, Jaap   &lt;/realName&gt;&lt;/person&gt;</v>
      </c>
      <c r="E305" t="str">
        <f t="shared" si="114"/>
        <v>&lt;telephony nid="2"&gt;&lt;number id="0" prio="1" type="home"&gt;+31 523231716&lt;/number&gt;&lt;number id="1" prio="0" type="mobile"&gt;+31 6 29 544 615&lt;/number&gt;&lt;/telephony&gt;</v>
      </c>
      <c r="F305" t="str">
        <f t="shared" si="115"/>
        <v>&lt;telephony nid="2"&gt;</v>
      </c>
      <c r="G305" t="str">
        <f t="shared" si="116"/>
        <v/>
      </c>
      <c r="H305" t="str">
        <f t="shared" si="117"/>
        <v>&lt;services nid="1"&gt;&lt;email id="0" classifier="private"&gt;jacobpmuilwijk@gmail.com&lt;/email&gt;&lt;/services&gt;&lt;setup /&gt;&lt;mod_time&gt;1500000010&lt;/mod_time&gt;&lt;uniqueid&gt;1&lt;/uniqueid&gt;&lt;/contact&gt;</v>
      </c>
      <c r="I305" t="str">
        <f t="shared" si="118"/>
        <v>&lt;services /&gt;&lt;setup /&gt;&lt;mod_time&gt;1500000010&lt;/mod_time&gt;&lt;uniqueid&gt;1&lt;/uniqueid&gt;&lt;/contact&gt;</v>
      </c>
      <c r="J305" t="str">
        <f t="shared" si="119"/>
        <v>&lt;services nid="1"&gt;&lt;email id="0" classifier="private"&gt;jacobpmuilwijk@gmail.com&lt;/email&gt;&lt;/services&gt;&lt;setup /&gt;&lt;mod_time&gt;1500000010&lt;/mod_time&gt;&lt;uniqueid&gt;1&lt;/uniqueid&gt;&lt;/contact&gt;</v>
      </c>
      <c r="K305" s="5">
        <f t="shared" si="120"/>
        <v>0</v>
      </c>
      <c r="L305" s="5">
        <f t="shared" si="121"/>
        <v>0</v>
      </c>
      <c r="M305" s="5" t="str">
        <f>CONCATENATE(+Contacts!E305)</f>
        <v/>
      </c>
      <c r="N305" t="str">
        <f t="shared" si="122"/>
        <v>&lt;number id="0" prio="1" type="home"&gt;+31 523231716&lt;/number&gt;</v>
      </c>
      <c r="O305" s="5">
        <f t="shared" si="123"/>
        <v>1</v>
      </c>
      <c r="P305" s="5">
        <f t="shared" si="124"/>
        <v>1</v>
      </c>
      <c r="Q305" s="5" t="str">
        <f>CONCATENATE(+Contacts!G305)</f>
        <v>+31 523231716</v>
      </c>
      <c r="R305" t="str">
        <f t="shared" si="125"/>
        <v>&lt;number id="1" prio="0" type="mobile"&gt;+31 6 29 544 615&lt;/number&gt;</v>
      </c>
      <c r="S305" s="5">
        <f t="shared" si="126"/>
        <v>2</v>
      </c>
      <c r="T305" s="5">
        <f t="shared" si="127"/>
        <v>0</v>
      </c>
      <c r="U305" s="5" t="str">
        <f>CONCATENATE(+Contacts!H305)</f>
        <v>+31 6 29 544 615</v>
      </c>
      <c r="V305" t="str">
        <f t="shared" si="128"/>
        <v/>
      </c>
      <c r="W305" s="5">
        <f t="shared" si="129"/>
        <v>2</v>
      </c>
      <c r="X305" s="5">
        <f t="shared" si="130"/>
        <v>0</v>
      </c>
      <c r="Y305" s="5" t="str">
        <f>CONCATENATE(+Contacts!F305)</f>
        <v/>
      </c>
      <c r="Z305" s="2" t="str">
        <f t="shared" si="131"/>
        <v xml:space="preserve">Muilwijk, Jaap   </v>
      </c>
      <c r="AA305" s="2" t="str">
        <f>CONCATENATE(+Contacts!C305)</f>
        <v>Muilwijk</v>
      </c>
      <c r="AB305" s="2" t="str">
        <f t="shared" si="132"/>
        <v xml:space="preserve">, </v>
      </c>
      <c r="AC305" s="2" t="str">
        <f>CONCATENATE(+Contacts!A305)</f>
        <v>Jaap</v>
      </c>
      <c r="AD305" s="3" t="str">
        <f>CONCATENATE(" ",+Contacts!B305)</f>
        <v xml:space="preserve"> </v>
      </c>
      <c r="AE305" s="2" t="str">
        <f t="shared" si="133"/>
        <v xml:space="preserve"> </v>
      </c>
      <c r="AF305" s="3" t="str">
        <f>CONCATENATE(+Contacts!D305)</f>
        <v/>
      </c>
      <c r="AG305" s="2" t="str">
        <f t="shared" si="134"/>
        <v xml:space="preserve"> </v>
      </c>
      <c r="AH305" t="str">
        <f>CONCATENATE(+Contacts!I305)</f>
        <v>jacobpmuilwijk@gmail.com</v>
      </c>
      <c r="AI305">
        <v>1500000010</v>
      </c>
      <c r="AJ305" s="5">
        <f t="shared" si="135"/>
        <v>1</v>
      </c>
    </row>
    <row r="306" spans="1:36" x14ac:dyDescent="0.35">
      <c r="A306" s="7" t="str">
        <f t="shared" si="110"/>
        <v>&lt;contact&gt;&lt;category&gt;0&lt;/category&gt;&lt;person&gt;&lt;realName&gt;Mulder, Sharmila (Aafje De Twee Bruggen ( Klantadviseur))&lt;/realName&gt;&lt;/person&gt;</v>
      </c>
      <c r="B306" s="7" t="str">
        <f t="shared" si="111"/>
        <v>&lt;telephony nid="1"&gt;&lt;number id="0" prio="1" type="home"&gt;00 31 6 46 64 23 26&lt;/number&gt;&lt;/telephony&gt;</v>
      </c>
      <c r="C306" s="7" t="str">
        <f t="shared" si="112"/>
        <v>&lt;services nid="1"&gt;&lt;email id="0" classifier="private"&gt;smulder@aafje.nl&lt;/email&gt;&lt;/services&gt;&lt;setup /&gt;&lt;mod_time&gt;1500000010&lt;/mod_time&gt;&lt;uniqueid&gt;1&lt;/uniqueid&gt;&lt;/contact&gt;</v>
      </c>
      <c r="D306" t="str">
        <f t="shared" si="113"/>
        <v>&lt;contact&gt;&lt;category&gt;0&lt;/category&gt;&lt;person&gt;&lt;realName&gt;Mulder, Sharmila (Aafje De Twee Bruggen ( Klantadviseur))&lt;/realName&gt;&lt;/person&gt;</v>
      </c>
      <c r="E306" t="str">
        <f t="shared" si="114"/>
        <v>&lt;telephony nid="1"&gt;&lt;number id="0" prio="1" type="home"&gt;00 31 6 46 64 23 26&lt;/number&gt;&lt;/telephony&gt;</v>
      </c>
      <c r="F306" t="str">
        <f t="shared" si="115"/>
        <v>&lt;telephony nid="1"&gt;</v>
      </c>
      <c r="G306" t="str">
        <f t="shared" si="116"/>
        <v/>
      </c>
      <c r="H306" t="str">
        <f t="shared" si="117"/>
        <v>&lt;services nid="1"&gt;&lt;email id="0" classifier="private"&gt;smulder@aafje.nl&lt;/email&gt;&lt;/services&gt;&lt;setup /&gt;&lt;mod_time&gt;1500000010&lt;/mod_time&gt;&lt;uniqueid&gt;1&lt;/uniqueid&gt;&lt;/contact&gt;</v>
      </c>
      <c r="I306" t="str">
        <f t="shared" si="118"/>
        <v>&lt;services /&gt;&lt;setup /&gt;&lt;mod_time&gt;1500000010&lt;/mod_time&gt;&lt;uniqueid&gt;1&lt;/uniqueid&gt;&lt;/contact&gt;</v>
      </c>
      <c r="J306" t="str">
        <f t="shared" si="119"/>
        <v>&lt;services nid="1"&gt;&lt;email id="0" classifier="private"&gt;smulder@aafje.nl&lt;/email&gt;&lt;/services&gt;&lt;setup /&gt;&lt;mod_time&gt;1500000010&lt;/mod_time&gt;&lt;uniqueid&gt;1&lt;/uniqueid&gt;&lt;/contact&gt;</v>
      </c>
      <c r="K306" s="5">
        <f t="shared" si="120"/>
        <v>0</v>
      </c>
      <c r="L306" s="5">
        <f t="shared" si="121"/>
        <v>0</v>
      </c>
      <c r="M306" s="5" t="str">
        <f>CONCATENATE(+Contacts!E306)</f>
        <v/>
      </c>
      <c r="N306" t="str">
        <f t="shared" si="122"/>
        <v>&lt;number id="0" prio="1" type="home"&gt;00 31 6 46 64 23 26&lt;/number&gt;</v>
      </c>
      <c r="O306" s="5">
        <f t="shared" si="123"/>
        <v>1</v>
      </c>
      <c r="P306" s="5">
        <f t="shared" si="124"/>
        <v>1</v>
      </c>
      <c r="Q306" s="5" t="str">
        <f>CONCATENATE(+Contacts!G306)</f>
        <v>00 31 6 46 64 23 26</v>
      </c>
      <c r="R306" t="str">
        <f t="shared" si="125"/>
        <v/>
      </c>
      <c r="S306" s="5">
        <f t="shared" si="126"/>
        <v>1</v>
      </c>
      <c r="T306" s="5">
        <f t="shared" si="127"/>
        <v>1</v>
      </c>
      <c r="U306" s="5" t="str">
        <f>CONCATENATE(+Contacts!H306)</f>
        <v/>
      </c>
      <c r="V306" t="str">
        <f t="shared" si="128"/>
        <v/>
      </c>
      <c r="W306" s="5">
        <f t="shared" si="129"/>
        <v>1</v>
      </c>
      <c r="X306" s="5">
        <f t="shared" si="130"/>
        <v>1</v>
      </c>
      <c r="Y306" s="5" t="str">
        <f>CONCATENATE(+Contacts!F306)</f>
        <v/>
      </c>
      <c r="Z306" s="2" t="str">
        <f t="shared" si="131"/>
        <v>Mulder, Sharmila (Aafje De Twee Bruggen ( Klantadviseur))</v>
      </c>
      <c r="AA306" s="2" t="str">
        <f>CONCATENATE(+Contacts!C306)</f>
        <v>Mulder</v>
      </c>
      <c r="AB306" s="2" t="str">
        <f t="shared" si="132"/>
        <v xml:space="preserve">, </v>
      </c>
      <c r="AC306" s="2" t="str">
        <f>CONCATENATE(+Contacts!A306)</f>
        <v>Sharmila</v>
      </c>
      <c r="AD306" s="3" t="str">
        <f>CONCATENATE(" ",+Contacts!B306)</f>
        <v xml:space="preserve"> </v>
      </c>
      <c r="AE306" s="2" t="str">
        <f t="shared" si="133"/>
        <v>(</v>
      </c>
      <c r="AF306" s="3" t="str">
        <f>CONCATENATE(+Contacts!D306)</f>
        <v>Aafje De Twee Bruggen ( Klantadviseur)</v>
      </c>
      <c r="AG306" s="2" t="str">
        <f t="shared" si="134"/>
        <v>)</v>
      </c>
      <c r="AH306" t="str">
        <f>CONCATENATE(+Contacts!I306)</f>
        <v>smulder@aafje.nl</v>
      </c>
      <c r="AI306">
        <v>1500000010</v>
      </c>
      <c r="AJ306" s="5">
        <f t="shared" si="135"/>
        <v>1</v>
      </c>
    </row>
    <row r="307" spans="1:36" x14ac:dyDescent="0.35">
      <c r="A307" s="7" t="str">
        <f t="shared" si="110"/>
        <v>&lt;contact&gt;&lt;category&gt;0&lt;/category&gt;&lt;person&gt;&lt;realName&gt;,Niels, COR Centrum Orthopedie Rotterdam   &lt;/realName&gt;&lt;/person&gt;</v>
      </c>
      <c r="B307" s="7" t="str">
        <f t="shared" si="111"/>
        <v>&lt;telephony nid="1"&gt;&lt;number id="0" prio="1" type="home"&gt;+31 10 214 19 49&lt;/number&gt;&lt;/telephony&gt;</v>
      </c>
      <c r="C307" s="7" t="str">
        <f t="shared" si="112"/>
        <v>&lt;services /&gt;&lt;setup /&gt;&lt;mod_time&gt;1500000010&lt;/mod_time&gt;&lt;uniqueid&gt;1&lt;/uniqueid&gt;&lt;/contact&gt;</v>
      </c>
      <c r="D307" t="str">
        <f t="shared" si="113"/>
        <v>&lt;contact&gt;&lt;category&gt;0&lt;/category&gt;&lt;person&gt;&lt;realName&gt;,Niels, COR Centrum Orthopedie Rotterdam   &lt;/realName&gt;&lt;/person&gt;</v>
      </c>
      <c r="E307" t="str">
        <f t="shared" si="114"/>
        <v>&lt;telephony nid="1"&gt;&lt;number id="0" prio="1" type="home"&gt;+31 10 214 19 49&lt;/number&gt;&lt;/telephony&gt;</v>
      </c>
      <c r="F307" t="str">
        <f t="shared" si="115"/>
        <v>&lt;telephony nid="1"&gt;</v>
      </c>
      <c r="G307" t="str">
        <f t="shared" si="116"/>
        <v/>
      </c>
      <c r="H307" t="str">
        <f t="shared" si="117"/>
        <v>&lt;services nid="1"&gt;&lt;email id="0" classifier="private"&gt;&lt;/email&gt;&lt;/services&gt;&lt;setup /&gt;&lt;mod_time&gt;1500000010&lt;/mod_time&gt;&lt;uniqueid&gt;1&lt;/uniqueid&gt;&lt;/contact&gt;</v>
      </c>
      <c r="I307" t="str">
        <f t="shared" si="118"/>
        <v>&lt;services /&gt;&lt;setup /&gt;&lt;mod_time&gt;1500000010&lt;/mod_time&gt;&lt;uniqueid&gt;1&lt;/uniqueid&gt;&lt;/contact&gt;</v>
      </c>
      <c r="J307" t="str">
        <f t="shared" si="119"/>
        <v>&lt;services /&gt;&lt;setup /&gt;&lt;mod_time&gt;1500000010&lt;/mod_time&gt;&lt;uniqueid&gt;1&lt;/uniqueid&gt;&lt;/contact&gt;</v>
      </c>
      <c r="K307" s="5">
        <f t="shared" si="120"/>
        <v>0</v>
      </c>
      <c r="L307" s="5">
        <f t="shared" si="121"/>
        <v>0</v>
      </c>
      <c r="M307" s="5" t="str">
        <f>CONCATENATE(+Contacts!E307)</f>
        <v/>
      </c>
      <c r="N307" t="str">
        <f t="shared" si="122"/>
        <v>&lt;number id="0" prio="1" type="home"&gt;+31 10 214 19 49&lt;/number&gt;</v>
      </c>
      <c r="O307" s="5">
        <f t="shared" si="123"/>
        <v>1</v>
      </c>
      <c r="P307" s="5">
        <f t="shared" si="124"/>
        <v>1</v>
      </c>
      <c r="Q307" s="5" t="str">
        <f>CONCATENATE(+Contacts!G307)</f>
        <v>+31 10 214 19 49</v>
      </c>
      <c r="R307" t="str">
        <f t="shared" si="125"/>
        <v/>
      </c>
      <c r="S307" s="5">
        <f t="shared" si="126"/>
        <v>1</v>
      </c>
      <c r="T307" s="5">
        <f t="shared" si="127"/>
        <v>1</v>
      </c>
      <c r="U307" s="5" t="str">
        <f>CONCATENATE(+Contacts!H307)</f>
        <v/>
      </c>
      <c r="V307" t="str">
        <f t="shared" si="128"/>
        <v/>
      </c>
      <c r="W307" s="5">
        <f t="shared" si="129"/>
        <v>1</v>
      </c>
      <c r="X307" s="5">
        <f t="shared" si="130"/>
        <v>1</v>
      </c>
      <c r="Y307" s="5" t="str">
        <f>CONCATENATE(+Contacts!F307)</f>
        <v/>
      </c>
      <c r="Z307" s="2" t="str">
        <f t="shared" si="131"/>
        <v xml:space="preserve">,Niels, COR Centrum Orthopedie Rotterdam   </v>
      </c>
      <c r="AA307" s="2" t="str">
        <f>CONCATENATE(+Contacts!C307)</f>
        <v>,Niels</v>
      </c>
      <c r="AB307" s="2" t="str">
        <f t="shared" si="132"/>
        <v xml:space="preserve">, </v>
      </c>
      <c r="AC307" s="2" t="str">
        <f>CONCATENATE(+Contacts!A307)</f>
        <v>COR Centrum Orthopedie Rotterdam</v>
      </c>
      <c r="AD307" s="3" t="str">
        <f>CONCATENATE(" ",+Contacts!B307)</f>
        <v xml:space="preserve"> </v>
      </c>
      <c r="AE307" s="2" t="str">
        <f t="shared" si="133"/>
        <v xml:space="preserve"> </v>
      </c>
      <c r="AF307" s="3" t="str">
        <f>CONCATENATE(+Contacts!D307)</f>
        <v/>
      </c>
      <c r="AG307" s="2" t="str">
        <f t="shared" si="134"/>
        <v xml:space="preserve"> </v>
      </c>
      <c r="AH307" t="str">
        <f>CONCATENATE(+Contacts!I307)</f>
        <v/>
      </c>
      <c r="AI307">
        <v>1500000010</v>
      </c>
      <c r="AJ307" s="5">
        <f t="shared" si="135"/>
        <v>1</v>
      </c>
    </row>
    <row r="308" spans="1:36" x14ac:dyDescent="0.35">
      <c r="A308" s="7" t="str">
        <f t="shared" si="110"/>
        <v>&lt;contact&gt;&lt;category&gt;0&lt;/category&gt;&lt;person&gt;&lt;realName&gt;Naaktgeboren, Kimberley (iSense)&lt;/realName&gt;&lt;/person&gt;</v>
      </c>
      <c r="B308" s="7" t="str">
        <f t="shared" si="111"/>
        <v>&lt;telephony nid="1"&gt;&lt;number id="0" prio="1" type="work"&gt;+31 182756585&lt;/number&gt;&lt;/telephony&gt;</v>
      </c>
      <c r="C308" s="7" t="str">
        <f t="shared" si="112"/>
        <v>&lt;services /&gt;&lt;setup /&gt;&lt;mod_time&gt;1500000010&lt;/mod_time&gt;&lt;uniqueid&gt;1&lt;/uniqueid&gt;&lt;/contact&gt;</v>
      </c>
      <c r="D308" t="str">
        <f t="shared" si="113"/>
        <v>&lt;contact&gt;&lt;category&gt;0&lt;/category&gt;&lt;person&gt;&lt;realName&gt;Naaktgeboren, Kimberley (iSense)&lt;/realName&gt;&lt;/person&gt;</v>
      </c>
      <c r="E308" t="str">
        <f t="shared" si="114"/>
        <v>&lt;telephony nid="1"&gt;&lt;number id="0" prio="1" type="work"&gt;+31 182756585&lt;/number&gt;&lt;/telephony&gt;</v>
      </c>
      <c r="F308" t="str">
        <f t="shared" si="115"/>
        <v>&lt;telephony nid="1"&gt;</v>
      </c>
      <c r="G308" t="str">
        <f t="shared" si="116"/>
        <v/>
      </c>
      <c r="H308" t="str">
        <f t="shared" si="117"/>
        <v>&lt;services nid="1"&gt;&lt;email id="0" classifier="private"&gt;&lt;/email&gt;&lt;/services&gt;&lt;setup /&gt;&lt;mod_time&gt;1500000010&lt;/mod_time&gt;&lt;uniqueid&gt;1&lt;/uniqueid&gt;&lt;/contact&gt;</v>
      </c>
      <c r="I308" t="str">
        <f t="shared" si="118"/>
        <v>&lt;services /&gt;&lt;setup /&gt;&lt;mod_time&gt;1500000010&lt;/mod_time&gt;&lt;uniqueid&gt;1&lt;/uniqueid&gt;&lt;/contact&gt;</v>
      </c>
      <c r="J308" t="str">
        <f t="shared" si="119"/>
        <v>&lt;services /&gt;&lt;setup /&gt;&lt;mod_time&gt;1500000010&lt;/mod_time&gt;&lt;uniqueid&gt;1&lt;/uniqueid&gt;&lt;/contact&gt;</v>
      </c>
      <c r="K308" s="5">
        <f t="shared" si="120"/>
        <v>0</v>
      </c>
      <c r="L308" s="5">
        <f t="shared" si="121"/>
        <v>0</v>
      </c>
      <c r="M308" s="5" t="str">
        <f>CONCATENATE(+Contacts!E308)</f>
        <v/>
      </c>
      <c r="N308" t="str">
        <f t="shared" si="122"/>
        <v/>
      </c>
      <c r="O308" s="5">
        <f t="shared" si="123"/>
        <v>0</v>
      </c>
      <c r="P308" s="5">
        <f t="shared" si="124"/>
        <v>0</v>
      </c>
      <c r="Q308" s="5" t="str">
        <f>CONCATENATE(+Contacts!G308)</f>
        <v/>
      </c>
      <c r="R308" t="str">
        <f t="shared" si="125"/>
        <v/>
      </c>
      <c r="S308" s="5">
        <f t="shared" si="126"/>
        <v>0</v>
      </c>
      <c r="T308" s="5">
        <f t="shared" si="127"/>
        <v>0</v>
      </c>
      <c r="U308" s="5" t="str">
        <f>CONCATENATE(+Contacts!H308)</f>
        <v/>
      </c>
      <c r="V308" t="str">
        <f t="shared" si="128"/>
        <v>&lt;number id="0" prio="1" type="work"&gt;+31 182756585&lt;/number&gt;</v>
      </c>
      <c r="W308" s="5">
        <f t="shared" si="129"/>
        <v>1</v>
      </c>
      <c r="X308" s="5">
        <f t="shared" si="130"/>
        <v>1</v>
      </c>
      <c r="Y308" s="5" t="str">
        <f>CONCATENATE(+Contacts!F308)</f>
        <v>+31 182756585</v>
      </c>
      <c r="Z308" s="2" t="str">
        <f t="shared" si="131"/>
        <v>Naaktgeboren, Kimberley (iSense)</v>
      </c>
      <c r="AA308" s="2" t="str">
        <f>CONCATENATE(+Contacts!C308)</f>
        <v>Naaktgeboren</v>
      </c>
      <c r="AB308" s="2" t="str">
        <f t="shared" si="132"/>
        <v xml:space="preserve">, </v>
      </c>
      <c r="AC308" s="2" t="str">
        <f>CONCATENATE(+Contacts!A308)</f>
        <v>Kimberley</v>
      </c>
      <c r="AD308" s="3" t="str">
        <f>CONCATENATE(" ",+Contacts!B308)</f>
        <v xml:space="preserve"> </v>
      </c>
      <c r="AE308" s="2" t="str">
        <f t="shared" si="133"/>
        <v>(</v>
      </c>
      <c r="AF308" s="3" t="str">
        <f>CONCATENATE(+Contacts!D308)</f>
        <v>iSense</v>
      </c>
      <c r="AG308" s="2" t="str">
        <f t="shared" si="134"/>
        <v>)</v>
      </c>
      <c r="AH308" t="str">
        <f>CONCATENATE(+Contacts!I308)</f>
        <v/>
      </c>
      <c r="AI308">
        <v>1500000010</v>
      </c>
      <c r="AJ308" s="5">
        <f t="shared" si="135"/>
        <v>1</v>
      </c>
    </row>
    <row r="309" spans="1:36" x14ac:dyDescent="0.35">
      <c r="A309" s="7" t="str">
        <f t="shared" si="110"/>
        <v/>
      </c>
      <c r="B309" s="7" t="str">
        <f t="shared" si="111"/>
        <v/>
      </c>
      <c r="C309" s="7" t="str">
        <f t="shared" si="112"/>
        <v/>
      </c>
      <c r="D309" t="str">
        <f t="shared" si="113"/>
        <v>&lt;contact&gt;&lt;category&gt;0&lt;/category&gt;&lt;person&gt;&lt;realName&gt;Nagelhout, André (Bloemist)&lt;/realName&gt;&lt;/person&gt;</v>
      </c>
      <c r="E309" t="str">
        <f t="shared" si="114"/>
        <v>&lt;telephony nid="0"&gt;&lt;/telephony&gt;</v>
      </c>
      <c r="F309" t="str">
        <f t="shared" si="115"/>
        <v>&lt;telephony nid="0"&gt;</v>
      </c>
      <c r="G309" t="str">
        <f t="shared" si="116"/>
        <v/>
      </c>
      <c r="H309" t="str">
        <f t="shared" si="117"/>
        <v>&lt;services nid="1"&gt;&lt;email id="0" classifier="private"&gt;&lt;/email&gt;&lt;/services&gt;&lt;setup /&gt;&lt;mod_time&gt;1500000010&lt;/mod_time&gt;&lt;uniqueid&gt;0&lt;/uniqueid&gt;&lt;/contact&gt;</v>
      </c>
      <c r="I309" t="str">
        <f t="shared" si="118"/>
        <v>&lt;services /&gt;&lt;setup /&gt;&lt;mod_time&gt;1500000010&lt;/mod_time&gt;&lt;uniqueid&gt;0&lt;/uniqueid&gt;&lt;/contact&gt;</v>
      </c>
      <c r="J309" t="str">
        <f t="shared" si="119"/>
        <v>&lt;services /&gt;&lt;setup /&gt;&lt;mod_time&gt;1500000010&lt;/mod_time&gt;&lt;uniqueid&gt;0&lt;/uniqueid&gt;&lt;/contact&gt;</v>
      </c>
      <c r="K309" s="5">
        <f t="shared" si="120"/>
        <v>0</v>
      </c>
      <c r="L309" s="5">
        <f t="shared" si="121"/>
        <v>0</v>
      </c>
      <c r="M309" s="5" t="str">
        <f>CONCATENATE(+Contacts!E309)</f>
        <v/>
      </c>
      <c r="N309" t="str">
        <f t="shared" si="122"/>
        <v/>
      </c>
      <c r="O309" s="5">
        <f t="shared" si="123"/>
        <v>0</v>
      </c>
      <c r="P309" s="5">
        <f t="shared" si="124"/>
        <v>0</v>
      </c>
      <c r="Q309" s="5" t="str">
        <f>CONCATENATE(+Contacts!G309)</f>
        <v/>
      </c>
      <c r="R309" t="str">
        <f t="shared" si="125"/>
        <v/>
      </c>
      <c r="S309" s="5">
        <f t="shared" si="126"/>
        <v>0</v>
      </c>
      <c r="T309" s="5">
        <f t="shared" si="127"/>
        <v>0</v>
      </c>
      <c r="U309" s="5" t="str">
        <f>CONCATENATE(+Contacts!H309)</f>
        <v/>
      </c>
      <c r="V309" t="str">
        <f t="shared" si="128"/>
        <v/>
      </c>
      <c r="W309" s="5">
        <f t="shared" si="129"/>
        <v>0</v>
      </c>
      <c r="X309" s="5">
        <f t="shared" si="130"/>
        <v>0</v>
      </c>
      <c r="Y309" s="5" t="str">
        <f>CONCATENATE(+Contacts!F309)</f>
        <v/>
      </c>
      <c r="Z309" s="2" t="str">
        <f t="shared" si="131"/>
        <v>Nagelhout, André (Bloemist)</v>
      </c>
      <c r="AA309" s="2" t="str">
        <f>CONCATENATE(+Contacts!C309)</f>
        <v>Nagelhout</v>
      </c>
      <c r="AB309" s="2" t="str">
        <f t="shared" si="132"/>
        <v xml:space="preserve">, </v>
      </c>
      <c r="AC309" s="2" t="str">
        <f>CONCATENATE(+Contacts!A309)</f>
        <v>André</v>
      </c>
      <c r="AD309" s="3" t="str">
        <f>CONCATENATE(" ",+Contacts!B309)</f>
        <v xml:space="preserve"> </v>
      </c>
      <c r="AE309" s="2" t="str">
        <f t="shared" si="133"/>
        <v>(</v>
      </c>
      <c r="AF309" s="3" t="str">
        <f>CONCATENATE(+Contacts!D309)</f>
        <v>Bloemist</v>
      </c>
      <c r="AG309" s="2" t="str">
        <f t="shared" si="134"/>
        <v>)</v>
      </c>
      <c r="AH309" t="str">
        <f>CONCATENATE(+Contacts!I309)</f>
        <v/>
      </c>
      <c r="AI309">
        <v>1500000010</v>
      </c>
      <c r="AJ309" s="5">
        <f t="shared" si="135"/>
        <v>0</v>
      </c>
    </row>
    <row r="310" spans="1:36" x14ac:dyDescent="0.35">
      <c r="A310" s="7" t="str">
        <f t="shared" si="110"/>
        <v>&lt;contact&gt;&lt;category&gt;0&lt;/category&gt;&lt;person&gt;&lt;realName&gt;Nationale Nederlanden Hypotheken  (Verzekeringen)&lt;/realName&gt;&lt;/person&gt;</v>
      </c>
      <c r="B310" s="7" t="str">
        <f t="shared" si="111"/>
        <v>&lt;telephony nid="1"&gt;&lt;number id="0" prio="1" type="work"&gt;+31 105130063&lt;/number&gt;&lt;/telephony&gt;</v>
      </c>
      <c r="C310" s="7" t="str">
        <f t="shared" si="112"/>
        <v>&lt;services /&gt;&lt;setup /&gt;&lt;mod_time&gt;1500000010&lt;/mod_time&gt;&lt;uniqueid&gt;1&lt;/uniqueid&gt;&lt;/contact&gt;</v>
      </c>
      <c r="D310" t="str">
        <f t="shared" si="113"/>
        <v>&lt;contact&gt;&lt;category&gt;0&lt;/category&gt;&lt;person&gt;&lt;realName&gt;Nationale Nederlanden Hypotheken  (Verzekeringen)&lt;/realName&gt;&lt;/person&gt;</v>
      </c>
      <c r="E310" t="str">
        <f t="shared" si="114"/>
        <v>&lt;telephony nid="1"&gt;&lt;number id="0" prio="1" type="work"&gt;+31 105130063&lt;/number&gt;&lt;/telephony&gt;</v>
      </c>
      <c r="F310" t="str">
        <f t="shared" si="115"/>
        <v>&lt;telephony nid="1"&gt;</v>
      </c>
      <c r="G310" t="str">
        <f t="shared" si="116"/>
        <v>&lt;number id="0" prio="1" type="work"&gt;+31 105130063&lt;/number&gt;</v>
      </c>
      <c r="H310" t="str">
        <f t="shared" si="117"/>
        <v>&lt;services nid="1"&gt;&lt;email id="0" classifier="private"&gt;&lt;/email&gt;&lt;/services&gt;&lt;setup /&gt;&lt;mod_time&gt;1500000010&lt;/mod_time&gt;&lt;uniqueid&gt;1&lt;/uniqueid&gt;&lt;/contact&gt;</v>
      </c>
      <c r="I310" t="str">
        <f t="shared" si="118"/>
        <v>&lt;services /&gt;&lt;setup /&gt;&lt;mod_time&gt;1500000010&lt;/mod_time&gt;&lt;uniqueid&gt;1&lt;/uniqueid&gt;&lt;/contact&gt;</v>
      </c>
      <c r="J310" t="str">
        <f t="shared" si="119"/>
        <v>&lt;services /&gt;&lt;setup /&gt;&lt;mod_time&gt;1500000010&lt;/mod_time&gt;&lt;uniqueid&gt;1&lt;/uniqueid&gt;&lt;/contact&gt;</v>
      </c>
      <c r="K310" s="5">
        <f t="shared" si="120"/>
        <v>1</v>
      </c>
      <c r="L310" s="5">
        <f t="shared" si="121"/>
        <v>1</v>
      </c>
      <c r="M310" s="5" t="str">
        <f>CONCATENATE(+Contacts!E310)</f>
        <v>+31 105130063</v>
      </c>
      <c r="N310" t="str">
        <f t="shared" si="122"/>
        <v/>
      </c>
      <c r="O310" s="5">
        <f t="shared" si="123"/>
        <v>1</v>
      </c>
      <c r="P310" s="5">
        <f t="shared" si="124"/>
        <v>1</v>
      </c>
      <c r="Q310" s="5" t="str">
        <f>CONCATENATE(+Contacts!G310)</f>
        <v/>
      </c>
      <c r="R310" t="str">
        <f t="shared" si="125"/>
        <v/>
      </c>
      <c r="S310" s="5">
        <f t="shared" si="126"/>
        <v>1</v>
      </c>
      <c r="T310" s="5">
        <f t="shared" si="127"/>
        <v>1</v>
      </c>
      <c r="U310" s="5" t="str">
        <f>CONCATENATE(+Contacts!H310)</f>
        <v/>
      </c>
      <c r="V310" t="str">
        <f t="shared" si="128"/>
        <v/>
      </c>
      <c r="W310" s="5">
        <f t="shared" si="129"/>
        <v>1</v>
      </c>
      <c r="X310" s="5">
        <f t="shared" si="130"/>
        <v>1</v>
      </c>
      <c r="Y310" s="5" t="str">
        <f>CONCATENATE(+Contacts!F310)</f>
        <v/>
      </c>
      <c r="Z310" s="2" t="str">
        <f t="shared" si="131"/>
        <v>Nationale Nederlanden Hypotheken  (Verzekeringen)</v>
      </c>
      <c r="AA310" s="2" t="str">
        <f>CONCATENATE(+Contacts!C310)</f>
        <v>Nationale Nederlanden Hypotheken</v>
      </c>
      <c r="AB310" s="2" t="str">
        <f t="shared" si="132"/>
        <v xml:space="preserve"> </v>
      </c>
      <c r="AC310" s="2" t="str">
        <f>CONCATENATE(+Contacts!A310)</f>
        <v/>
      </c>
      <c r="AD310" s="3" t="str">
        <f>CONCATENATE(" ",+Contacts!B310)</f>
        <v xml:space="preserve"> </v>
      </c>
      <c r="AE310" s="2" t="str">
        <f t="shared" si="133"/>
        <v>(</v>
      </c>
      <c r="AF310" s="3" t="str">
        <f>CONCATENATE(+Contacts!D310)</f>
        <v>Verzekeringen</v>
      </c>
      <c r="AG310" s="2" t="str">
        <f t="shared" si="134"/>
        <v>)</v>
      </c>
      <c r="AH310" t="str">
        <f>CONCATENATE(+Contacts!I310)</f>
        <v/>
      </c>
      <c r="AI310">
        <v>1500000010</v>
      </c>
      <c r="AJ310" s="5">
        <f t="shared" si="135"/>
        <v>1</v>
      </c>
    </row>
    <row r="311" spans="1:36" x14ac:dyDescent="0.35">
      <c r="A311" s="7" t="str">
        <f t="shared" si="110"/>
        <v>&lt;contact&gt;&lt;category&gt;0&lt;/category&gt;&lt;person&gt;&lt;realName&gt;Niet, Geert van der  &lt;/realName&gt;&lt;/person&gt;</v>
      </c>
      <c r="B311" s="7" t="str">
        <f t="shared" si="111"/>
        <v>&lt;telephony nid="1"&gt;&lt;number id="0" prio="1" type="mobile"&gt;+31 615529480&lt;/number&gt;&lt;/telephony&gt;</v>
      </c>
      <c r="C311" s="7" t="str">
        <f t="shared" si="112"/>
        <v>&lt;services /&gt;&lt;setup /&gt;&lt;mod_time&gt;1500000010&lt;/mod_time&gt;&lt;uniqueid&gt;1&lt;/uniqueid&gt;&lt;/contact&gt;</v>
      </c>
      <c r="D311" t="str">
        <f t="shared" si="113"/>
        <v>&lt;contact&gt;&lt;category&gt;0&lt;/category&gt;&lt;person&gt;&lt;realName&gt;Niet, Geert van der  &lt;/realName&gt;&lt;/person&gt;</v>
      </c>
      <c r="E311" t="str">
        <f t="shared" si="114"/>
        <v>&lt;telephony nid="1"&gt;&lt;number id="0" prio="1" type="mobile"&gt;+31 615529480&lt;/number&gt;&lt;/telephony&gt;</v>
      </c>
      <c r="F311" t="str">
        <f t="shared" si="115"/>
        <v>&lt;telephony nid="1"&gt;</v>
      </c>
      <c r="G311" t="str">
        <f t="shared" si="116"/>
        <v/>
      </c>
      <c r="H311" t="str">
        <f t="shared" si="117"/>
        <v>&lt;services nid="1"&gt;&lt;email id="0" classifier="private"&gt;&lt;/email&gt;&lt;/services&gt;&lt;setup /&gt;&lt;mod_time&gt;1500000010&lt;/mod_time&gt;&lt;uniqueid&gt;1&lt;/uniqueid&gt;&lt;/contact&gt;</v>
      </c>
      <c r="I311" t="str">
        <f t="shared" si="118"/>
        <v>&lt;services /&gt;&lt;setup /&gt;&lt;mod_time&gt;1500000010&lt;/mod_time&gt;&lt;uniqueid&gt;1&lt;/uniqueid&gt;&lt;/contact&gt;</v>
      </c>
      <c r="J311" t="str">
        <f t="shared" si="119"/>
        <v>&lt;services /&gt;&lt;setup /&gt;&lt;mod_time&gt;1500000010&lt;/mod_time&gt;&lt;uniqueid&gt;1&lt;/uniqueid&gt;&lt;/contact&gt;</v>
      </c>
      <c r="K311" s="5">
        <f t="shared" si="120"/>
        <v>0</v>
      </c>
      <c r="L311" s="5">
        <f t="shared" si="121"/>
        <v>0</v>
      </c>
      <c r="M311" s="5" t="str">
        <f>CONCATENATE(+Contacts!E311)</f>
        <v/>
      </c>
      <c r="N311" t="str">
        <f t="shared" si="122"/>
        <v/>
      </c>
      <c r="O311" s="5">
        <f t="shared" si="123"/>
        <v>0</v>
      </c>
      <c r="P311" s="5">
        <f t="shared" si="124"/>
        <v>0</v>
      </c>
      <c r="Q311" s="5" t="str">
        <f>CONCATENATE(+Contacts!G311)</f>
        <v/>
      </c>
      <c r="R311" t="str">
        <f t="shared" si="125"/>
        <v>&lt;number id="0" prio="1" type="mobile"&gt;+31 615529480&lt;/number&gt;</v>
      </c>
      <c r="S311" s="5">
        <f t="shared" si="126"/>
        <v>1</v>
      </c>
      <c r="T311" s="5">
        <f t="shared" si="127"/>
        <v>1</v>
      </c>
      <c r="U311" s="5" t="str">
        <f>CONCATENATE(+Contacts!H311)</f>
        <v>+31 615529480</v>
      </c>
      <c r="V311" t="str">
        <f t="shared" si="128"/>
        <v/>
      </c>
      <c r="W311" s="5">
        <f t="shared" si="129"/>
        <v>1</v>
      </c>
      <c r="X311" s="5">
        <f t="shared" si="130"/>
        <v>1</v>
      </c>
      <c r="Y311" s="5" t="str">
        <f>CONCATENATE(+Contacts!F311)</f>
        <v/>
      </c>
      <c r="Z311" s="2" t="str">
        <f t="shared" si="131"/>
        <v xml:space="preserve">Niet, Geert van der  </v>
      </c>
      <c r="AA311" s="2" t="str">
        <f>CONCATENATE(+Contacts!C311)</f>
        <v>Niet</v>
      </c>
      <c r="AB311" s="2" t="str">
        <f t="shared" si="132"/>
        <v xml:space="preserve">, </v>
      </c>
      <c r="AC311" s="2" t="str">
        <f>CONCATENATE(+Contacts!A311)</f>
        <v>Geert</v>
      </c>
      <c r="AD311" s="3" t="str">
        <f>CONCATENATE(" ",+Contacts!B311)</f>
        <v xml:space="preserve"> van der</v>
      </c>
      <c r="AE311" s="2" t="str">
        <f t="shared" si="133"/>
        <v xml:space="preserve"> </v>
      </c>
      <c r="AF311" s="3" t="str">
        <f>CONCATENATE(+Contacts!D311)</f>
        <v/>
      </c>
      <c r="AG311" s="2" t="str">
        <f t="shared" si="134"/>
        <v xml:space="preserve"> </v>
      </c>
      <c r="AH311" t="str">
        <f>CONCATENATE(+Contacts!I311)</f>
        <v/>
      </c>
      <c r="AI311">
        <v>1500000010</v>
      </c>
      <c r="AJ311" s="5">
        <f t="shared" si="135"/>
        <v>1</v>
      </c>
    </row>
    <row r="312" spans="1:36" x14ac:dyDescent="0.35">
      <c r="A312" s="7" t="str">
        <f t="shared" si="110"/>
        <v>&lt;contact&gt;&lt;category&gt;0&lt;/category&gt;&lt;person&gt;&lt;realName&gt;Noordervliet, Richard   &lt;/realName&gt;&lt;/person&gt;</v>
      </c>
      <c r="B312" s="7" t="str">
        <f t="shared" si="111"/>
        <v>&lt;telephony nid="1"&gt;&lt;number id="0" prio="1" type="mobile"&gt;+31 6 24242194&lt;/number&gt;&lt;/telephony&gt;</v>
      </c>
      <c r="C312" s="7" t="str">
        <f t="shared" si="112"/>
        <v>&lt;services /&gt;&lt;setup /&gt;&lt;mod_time&gt;1500000010&lt;/mod_time&gt;&lt;uniqueid&gt;1&lt;/uniqueid&gt;&lt;/contact&gt;</v>
      </c>
      <c r="D312" t="str">
        <f t="shared" si="113"/>
        <v>&lt;contact&gt;&lt;category&gt;0&lt;/category&gt;&lt;person&gt;&lt;realName&gt;Noordervliet, Richard   &lt;/realName&gt;&lt;/person&gt;</v>
      </c>
      <c r="E312" t="str">
        <f t="shared" si="114"/>
        <v>&lt;telephony nid="1"&gt;&lt;number id="0" prio="1" type="mobile"&gt;+31 6 24242194&lt;/number&gt;&lt;/telephony&gt;</v>
      </c>
      <c r="F312" t="str">
        <f t="shared" si="115"/>
        <v>&lt;telephony nid="1"&gt;</v>
      </c>
      <c r="G312" t="str">
        <f t="shared" si="116"/>
        <v/>
      </c>
      <c r="H312" t="str">
        <f t="shared" si="117"/>
        <v>&lt;services nid="1"&gt;&lt;email id="0" classifier="private"&gt;&lt;/email&gt;&lt;/services&gt;&lt;setup /&gt;&lt;mod_time&gt;1500000010&lt;/mod_time&gt;&lt;uniqueid&gt;1&lt;/uniqueid&gt;&lt;/contact&gt;</v>
      </c>
      <c r="I312" t="str">
        <f t="shared" si="118"/>
        <v>&lt;services /&gt;&lt;setup /&gt;&lt;mod_time&gt;1500000010&lt;/mod_time&gt;&lt;uniqueid&gt;1&lt;/uniqueid&gt;&lt;/contact&gt;</v>
      </c>
      <c r="J312" t="str">
        <f t="shared" si="119"/>
        <v>&lt;services /&gt;&lt;setup /&gt;&lt;mod_time&gt;1500000010&lt;/mod_time&gt;&lt;uniqueid&gt;1&lt;/uniqueid&gt;&lt;/contact&gt;</v>
      </c>
      <c r="K312" s="5">
        <f t="shared" si="120"/>
        <v>0</v>
      </c>
      <c r="L312" s="5">
        <f t="shared" si="121"/>
        <v>0</v>
      </c>
      <c r="M312" s="5" t="str">
        <f>CONCATENATE(+Contacts!E312)</f>
        <v/>
      </c>
      <c r="N312" t="str">
        <f t="shared" si="122"/>
        <v/>
      </c>
      <c r="O312" s="5">
        <f t="shared" si="123"/>
        <v>0</v>
      </c>
      <c r="P312" s="5">
        <f t="shared" si="124"/>
        <v>0</v>
      </c>
      <c r="Q312" s="5" t="str">
        <f>CONCATENATE(+Contacts!G312)</f>
        <v/>
      </c>
      <c r="R312" t="str">
        <f t="shared" si="125"/>
        <v>&lt;number id="0" prio="1" type="mobile"&gt;+31 6 24242194&lt;/number&gt;</v>
      </c>
      <c r="S312" s="5">
        <f t="shared" si="126"/>
        <v>1</v>
      </c>
      <c r="T312" s="5">
        <f t="shared" si="127"/>
        <v>1</v>
      </c>
      <c r="U312" s="5" t="str">
        <f>CONCATENATE(+Contacts!H312)</f>
        <v>+31 6 24242194</v>
      </c>
      <c r="V312" t="str">
        <f t="shared" si="128"/>
        <v/>
      </c>
      <c r="W312" s="5">
        <f t="shared" si="129"/>
        <v>1</v>
      </c>
      <c r="X312" s="5">
        <f t="shared" si="130"/>
        <v>1</v>
      </c>
      <c r="Y312" s="5" t="str">
        <f>CONCATENATE(+Contacts!F312)</f>
        <v/>
      </c>
      <c r="Z312" s="2" t="str">
        <f t="shared" si="131"/>
        <v xml:space="preserve">Noordervliet, Richard   </v>
      </c>
      <c r="AA312" s="2" t="str">
        <f>CONCATENATE(+Contacts!C312)</f>
        <v>Noordervliet</v>
      </c>
      <c r="AB312" s="2" t="str">
        <f t="shared" si="132"/>
        <v xml:space="preserve">, </v>
      </c>
      <c r="AC312" s="2" t="str">
        <f>CONCATENATE(+Contacts!A312)</f>
        <v>Richard</v>
      </c>
      <c r="AD312" s="3" t="str">
        <f>CONCATENATE(" ",+Contacts!B312)</f>
        <v xml:space="preserve"> </v>
      </c>
      <c r="AE312" s="2" t="str">
        <f t="shared" si="133"/>
        <v xml:space="preserve"> </v>
      </c>
      <c r="AF312" s="3" t="str">
        <f>CONCATENATE(+Contacts!D312)</f>
        <v/>
      </c>
      <c r="AG312" s="2" t="str">
        <f t="shared" si="134"/>
        <v xml:space="preserve"> </v>
      </c>
      <c r="AH312" t="str">
        <f>CONCATENATE(+Contacts!I312)</f>
        <v/>
      </c>
      <c r="AI312">
        <v>1500000010</v>
      </c>
      <c r="AJ312" s="5">
        <f t="shared" si="135"/>
        <v>1</v>
      </c>
    </row>
    <row r="313" spans="1:36" x14ac:dyDescent="0.35">
      <c r="A313" s="7" t="str">
        <f t="shared" si="110"/>
        <v>&lt;contact&gt;&lt;category&gt;0&lt;/category&gt;&lt;person&gt;&lt;realName&gt;Nossent, Sonja   &lt;/realName&gt;&lt;/person&gt;</v>
      </c>
      <c r="B313" s="7" t="str">
        <f t="shared" si="111"/>
        <v>&lt;telephony nid="1"&gt;&lt;number id="0" prio="1" type="home"&gt;+31 113851497&lt;/number&gt;&lt;/telephony&gt;</v>
      </c>
      <c r="C313" s="7" t="str">
        <f t="shared" si="112"/>
        <v>&lt;services /&gt;&lt;setup /&gt;&lt;mod_time&gt;1500000010&lt;/mod_time&gt;&lt;uniqueid&gt;1&lt;/uniqueid&gt;&lt;/contact&gt;</v>
      </c>
      <c r="D313" t="str">
        <f t="shared" si="113"/>
        <v>&lt;contact&gt;&lt;category&gt;0&lt;/category&gt;&lt;person&gt;&lt;realName&gt;Nossent, Sonja   &lt;/realName&gt;&lt;/person&gt;</v>
      </c>
      <c r="E313" t="str">
        <f t="shared" si="114"/>
        <v>&lt;telephony nid="1"&gt;&lt;number id="0" prio="1" type="home"&gt;+31 113851497&lt;/number&gt;&lt;/telephony&gt;</v>
      </c>
      <c r="F313" t="str">
        <f t="shared" si="115"/>
        <v>&lt;telephony nid="1"&gt;</v>
      </c>
      <c r="G313" t="str">
        <f t="shared" si="116"/>
        <v/>
      </c>
      <c r="H313" t="str">
        <f t="shared" si="117"/>
        <v>&lt;services nid="1"&gt;&lt;email id="0" classifier="private"&gt;&lt;/email&gt;&lt;/services&gt;&lt;setup /&gt;&lt;mod_time&gt;1500000010&lt;/mod_time&gt;&lt;uniqueid&gt;1&lt;/uniqueid&gt;&lt;/contact&gt;</v>
      </c>
      <c r="I313" t="str">
        <f t="shared" si="118"/>
        <v>&lt;services /&gt;&lt;setup /&gt;&lt;mod_time&gt;1500000010&lt;/mod_time&gt;&lt;uniqueid&gt;1&lt;/uniqueid&gt;&lt;/contact&gt;</v>
      </c>
      <c r="J313" t="str">
        <f t="shared" si="119"/>
        <v>&lt;services /&gt;&lt;setup /&gt;&lt;mod_time&gt;1500000010&lt;/mod_time&gt;&lt;uniqueid&gt;1&lt;/uniqueid&gt;&lt;/contact&gt;</v>
      </c>
      <c r="K313" s="5">
        <f t="shared" si="120"/>
        <v>0</v>
      </c>
      <c r="L313" s="5">
        <f t="shared" si="121"/>
        <v>0</v>
      </c>
      <c r="M313" s="5" t="str">
        <f>CONCATENATE(+Contacts!E313)</f>
        <v/>
      </c>
      <c r="N313" t="str">
        <f t="shared" si="122"/>
        <v>&lt;number id="0" prio="1" type="home"&gt;+31 113851497&lt;/number&gt;</v>
      </c>
      <c r="O313" s="5">
        <f t="shared" si="123"/>
        <v>1</v>
      </c>
      <c r="P313" s="5">
        <f t="shared" si="124"/>
        <v>1</v>
      </c>
      <c r="Q313" s="5" t="str">
        <f>CONCATENATE(+Contacts!G313)</f>
        <v>+31 113851497</v>
      </c>
      <c r="R313" t="str">
        <f t="shared" si="125"/>
        <v/>
      </c>
      <c r="S313" s="5">
        <f t="shared" si="126"/>
        <v>1</v>
      </c>
      <c r="T313" s="5">
        <f t="shared" si="127"/>
        <v>1</v>
      </c>
      <c r="U313" s="5" t="str">
        <f>CONCATENATE(+Contacts!H313)</f>
        <v/>
      </c>
      <c r="V313" t="str">
        <f t="shared" si="128"/>
        <v/>
      </c>
      <c r="W313" s="5">
        <f t="shared" si="129"/>
        <v>1</v>
      </c>
      <c r="X313" s="5">
        <f t="shared" si="130"/>
        <v>1</v>
      </c>
      <c r="Y313" s="5" t="str">
        <f>CONCATENATE(+Contacts!F313)</f>
        <v/>
      </c>
      <c r="Z313" s="2" t="str">
        <f t="shared" si="131"/>
        <v xml:space="preserve">Nossent, Sonja   </v>
      </c>
      <c r="AA313" s="2" t="str">
        <f>CONCATENATE(+Contacts!C313)</f>
        <v>Nossent</v>
      </c>
      <c r="AB313" s="2" t="str">
        <f t="shared" si="132"/>
        <v xml:space="preserve">, </v>
      </c>
      <c r="AC313" s="2" t="str">
        <f>CONCATENATE(+Contacts!A313)</f>
        <v>Sonja</v>
      </c>
      <c r="AD313" s="3" t="str">
        <f>CONCATENATE(" ",+Contacts!B313)</f>
        <v xml:space="preserve"> </v>
      </c>
      <c r="AE313" s="2" t="str">
        <f t="shared" si="133"/>
        <v xml:space="preserve"> </v>
      </c>
      <c r="AF313" s="3" t="str">
        <f>CONCATENATE(+Contacts!D313)</f>
        <v/>
      </c>
      <c r="AG313" s="2" t="str">
        <f t="shared" si="134"/>
        <v xml:space="preserve"> </v>
      </c>
      <c r="AH313" t="str">
        <f>CONCATENATE(+Contacts!I313)</f>
        <v/>
      </c>
      <c r="AI313">
        <v>1500000010</v>
      </c>
      <c r="AJ313" s="5">
        <f t="shared" si="135"/>
        <v>1</v>
      </c>
    </row>
    <row r="314" spans="1:36" x14ac:dyDescent="0.35">
      <c r="A314" s="7" t="str">
        <f t="shared" si="110"/>
        <v>&lt;contact&gt;&lt;category&gt;0&lt;/category&gt;&lt;person&gt;&lt;realName&gt;Nouwen, Karin   &lt;/realName&gt;&lt;/person&gt;</v>
      </c>
      <c r="B314" s="7" t="str">
        <f t="shared" si="111"/>
        <v>&lt;telephony nid="1"&gt;&lt;number id="0" prio="1" type="home"&gt;00 31 6 44 59 00 68&lt;/number&gt;&lt;/telephony&gt;</v>
      </c>
      <c r="C314" s="7" t="str">
        <f t="shared" si="112"/>
        <v>&lt;services nid="1"&gt;&lt;email id="0" classifier="private"&gt;smwkarin@hotmail.com&lt;/email&gt;&lt;/services&gt;&lt;setup /&gt;&lt;mod_time&gt;1500000010&lt;/mod_time&gt;&lt;uniqueid&gt;1&lt;/uniqueid&gt;&lt;/contact&gt;</v>
      </c>
      <c r="D314" t="str">
        <f t="shared" si="113"/>
        <v>&lt;contact&gt;&lt;category&gt;0&lt;/category&gt;&lt;person&gt;&lt;realName&gt;Nouwen, Karin   &lt;/realName&gt;&lt;/person&gt;</v>
      </c>
      <c r="E314" t="str">
        <f t="shared" si="114"/>
        <v>&lt;telephony nid="1"&gt;&lt;number id="0" prio="1" type="home"&gt;00 31 6 44 59 00 68&lt;/number&gt;&lt;/telephony&gt;</v>
      </c>
      <c r="F314" t="str">
        <f t="shared" si="115"/>
        <v>&lt;telephony nid="1"&gt;</v>
      </c>
      <c r="G314" t="str">
        <f t="shared" si="116"/>
        <v/>
      </c>
      <c r="H314" t="str">
        <f t="shared" si="117"/>
        <v>&lt;services nid="1"&gt;&lt;email id="0" classifier="private"&gt;smwkarin@hotmail.com&lt;/email&gt;&lt;/services&gt;&lt;setup /&gt;&lt;mod_time&gt;1500000010&lt;/mod_time&gt;&lt;uniqueid&gt;1&lt;/uniqueid&gt;&lt;/contact&gt;</v>
      </c>
      <c r="I314" t="str">
        <f t="shared" si="118"/>
        <v>&lt;services /&gt;&lt;setup /&gt;&lt;mod_time&gt;1500000010&lt;/mod_time&gt;&lt;uniqueid&gt;1&lt;/uniqueid&gt;&lt;/contact&gt;</v>
      </c>
      <c r="J314" t="str">
        <f t="shared" si="119"/>
        <v>&lt;services nid="1"&gt;&lt;email id="0" classifier="private"&gt;smwkarin@hotmail.com&lt;/email&gt;&lt;/services&gt;&lt;setup /&gt;&lt;mod_time&gt;1500000010&lt;/mod_time&gt;&lt;uniqueid&gt;1&lt;/uniqueid&gt;&lt;/contact&gt;</v>
      </c>
      <c r="K314" s="5">
        <f t="shared" si="120"/>
        <v>0</v>
      </c>
      <c r="L314" s="5">
        <f t="shared" si="121"/>
        <v>0</v>
      </c>
      <c r="M314" s="5" t="str">
        <f>CONCATENATE(+Contacts!E314)</f>
        <v/>
      </c>
      <c r="N314" t="str">
        <f t="shared" si="122"/>
        <v>&lt;number id="0" prio="1" type="home"&gt;00 31 6 44 59 00 68&lt;/number&gt;</v>
      </c>
      <c r="O314" s="5">
        <f t="shared" si="123"/>
        <v>1</v>
      </c>
      <c r="P314" s="5">
        <f t="shared" si="124"/>
        <v>1</v>
      </c>
      <c r="Q314" s="5" t="str">
        <f>CONCATENATE(+Contacts!G314)</f>
        <v>00 31 6 44 59 00 68</v>
      </c>
      <c r="R314" t="str">
        <f t="shared" si="125"/>
        <v/>
      </c>
      <c r="S314" s="5">
        <f t="shared" si="126"/>
        <v>1</v>
      </c>
      <c r="T314" s="5">
        <f t="shared" si="127"/>
        <v>1</v>
      </c>
      <c r="U314" s="5" t="str">
        <f>CONCATENATE(+Contacts!H314)</f>
        <v/>
      </c>
      <c r="V314" t="str">
        <f t="shared" si="128"/>
        <v/>
      </c>
      <c r="W314" s="5">
        <f t="shared" si="129"/>
        <v>1</v>
      </c>
      <c r="X314" s="5">
        <f t="shared" si="130"/>
        <v>1</v>
      </c>
      <c r="Y314" s="5" t="str">
        <f>CONCATENATE(+Contacts!F314)</f>
        <v/>
      </c>
      <c r="Z314" s="2" t="str">
        <f t="shared" si="131"/>
        <v xml:space="preserve">Nouwen, Karin   </v>
      </c>
      <c r="AA314" s="2" t="str">
        <f>CONCATENATE(+Contacts!C314)</f>
        <v>Nouwen</v>
      </c>
      <c r="AB314" s="2" t="str">
        <f t="shared" si="132"/>
        <v xml:space="preserve">, </v>
      </c>
      <c r="AC314" s="2" t="str">
        <f>CONCATENATE(+Contacts!A314)</f>
        <v>Karin</v>
      </c>
      <c r="AD314" s="3" t="str">
        <f>CONCATENATE(" ",+Contacts!B314)</f>
        <v xml:space="preserve"> </v>
      </c>
      <c r="AE314" s="2" t="str">
        <f t="shared" si="133"/>
        <v xml:space="preserve"> </v>
      </c>
      <c r="AF314" s="3" t="str">
        <f>CONCATENATE(+Contacts!D314)</f>
        <v/>
      </c>
      <c r="AG314" s="2" t="str">
        <f t="shared" si="134"/>
        <v xml:space="preserve"> </v>
      </c>
      <c r="AH314" t="str">
        <f>CONCATENATE(+Contacts!I314)</f>
        <v>smwkarin@hotmail.com</v>
      </c>
      <c r="AI314">
        <v>1500000010</v>
      </c>
      <c r="AJ314" s="5">
        <f t="shared" si="135"/>
        <v>1</v>
      </c>
    </row>
    <row r="315" spans="1:36" x14ac:dyDescent="0.35">
      <c r="A315" s="7" t="str">
        <f t="shared" si="110"/>
        <v>&lt;contact&gt;&lt;category&gt;0&lt;/category&gt;&lt;person&gt;&lt;realName&gt;Noy, Dook   &lt;/realName&gt;&lt;/person&gt;</v>
      </c>
      <c r="B315" s="7" t="str">
        <f t="shared" si="111"/>
        <v>&lt;telephony nid="2"&gt;&lt;number id="0" prio="1" type="home"&gt;+31 113851497&lt;/number&gt;&lt;number id="1" prio="0" type="mobile"&gt;+31 653233806&lt;/number&gt;&lt;/telephony&gt;</v>
      </c>
      <c r="C315" s="7" t="str">
        <f t="shared" si="112"/>
        <v>&lt;services nid="1"&gt;&lt;email id="0" classifier="private"&gt;dnoij@zeelandnet.nl&lt;/email&gt;&lt;/services&gt;&lt;setup /&gt;&lt;mod_time&gt;1500000010&lt;/mod_time&gt;&lt;uniqueid&gt;1&lt;/uniqueid&gt;&lt;/contact&gt;</v>
      </c>
      <c r="D315" t="str">
        <f t="shared" si="113"/>
        <v>&lt;contact&gt;&lt;category&gt;0&lt;/category&gt;&lt;person&gt;&lt;realName&gt;Noy, Dook   &lt;/realName&gt;&lt;/person&gt;</v>
      </c>
      <c r="E315" t="str">
        <f t="shared" si="114"/>
        <v>&lt;telephony nid="2"&gt;&lt;number id="0" prio="1" type="home"&gt;+31 113851497&lt;/number&gt;&lt;number id="1" prio="0" type="mobile"&gt;+31 653233806&lt;/number&gt;&lt;/telephony&gt;</v>
      </c>
      <c r="F315" t="str">
        <f t="shared" si="115"/>
        <v>&lt;telephony nid="2"&gt;</v>
      </c>
      <c r="G315" t="str">
        <f t="shared" si="116"/>
        <v/>
      </c>
      <c r="H315" t="str">
        <f t="shared" si="117"/>
        <v>&lt;services nid="1"&gt;&lt;email id="0" classifier="private"&gt;dnoij@zeelandnet.nl&lt;/email&gt;&lt;/services&gt;&lt;setup /&gt;&lt;mod_time&gt;1500000010&lt;/mod_time&gt;&lt;uniqueid&gt;1&lt;/uniqueid&gt;&lt;/contact&gt;</v>
      </c>
      <c r="I315" t="str">
        <f t="shared" si="118"/>
        <v>&lt;services /&gt;&lt;setup /&gt;&lt;mod_time&gt;1500000010&lt;/mod_time&gt;&lt;uniqueid&gt;1&lt;/uniqueid&gt;&lt;/contact&gt;</v>
      </c>
      <c r="J315" t="str">
        <f t="shared" si="119"/>
        <v>&lt;services nid="1"&gt;&lt;email id="0" classifier="private"&gt;dnoij@zeelandnet.nl&lt;/email&gt;&lt;/services&gt;&lt;setup /&gt;&lt;mod_time&gt;1500000010&lt;/mod_time&gt;&lt;uniqueid&gt;1&lt;/uniqueid&gt;&lt;/contact&gt;</v>
      </c>
      <c r="K315" s="5">
        <f t="shared" si="120"/>
        <v>0</v>
      </c>
      <c r="L315" s="5">
        <f t="shared" si="121"/>
        <v>0</v>
      </c>
      <c r="M315" s="5" t="str">
        <f>CONCATENATE(+Contacts!E315)</f>
        <v/>
      </c>
      <c r="N315" t="str">
        <f t="shared" si="122"/>
        <v>&lt;number id="0" prio="1" type="home"&gt;+31 113851497&lt;/number&gt;</v>
      </c>
      <c r="O315" s="5">
        <f t="shared" si="123"/>
        <v>1</v>
      </c>
      <c r="P315" s="5">
        <f t="shared" si="124"/>
        <v>1</v>
      </c>
      <c r="Q315" s="5" t="str">
        <f>CONCATENATE(+Contacts!G315)</f>
        <v>+31 113851497</v>
      </c>
      <c r="R315" t="str">
        <f t="shared" si="125"/>
        <v>&lt;number id="1" prio="0" type="mobile"&gt;+31 653233806&lt;/number&gt;</v>
      </c>
      <c r="S315" s="5">
        <f t="shared" si="126"/>
        <v>2</v>
      </c>
      <c r="T315" s="5">
        <f t="shared" si="127"/>
        <v>0</v>
      </c>
      <c r="U315" s="5" t="str">
        <f>CONCATENATE(+Contacts!H315)</f>
        <v>+31 653233806</v>
      </c>
      <c r="V315" t="str">
        <f t="shared" si="128"/>
        <v/>
      </c>
      <c r="W315" s="5">
        <f t="shared" si="129"/>
        <v>2</v>
      </c>
      <c r="X315" s="5">
        <f t="shared" si="130"/>
        <v>0</v>
      </c>
      <c r="Y315" s="5" t="str">
        <f>CONCATENATE(+Contacts!F315)</f>
        <v/>
      </c>
      <c r="Z315" s="2" t="str">
        <f t="shared" si="131"/>
        <v xml:space="preserve">Noy, Dook   </v>
      </c>
      <c r="AA315" s="2" t="str">
        <f>CONCATENATE(+Contacts!C315)</f>
        <v>Noy</v>
      </c>
      <c r="AB315" s="2" t="str">
        <f t="shared" si="132"/>
        <v xml:space="preserve">, </v>
      </c>
      <c r="AC315" s="2" t="str">
        <f>CONCATENATE(+Contacts!A315)</f>
        <v>Dook</v>
      </c>
      <c r="AD315" s="3" t="str">
        <f>CONCATENATE(" ",+Contacts!B315)</f>
        <v xml:space="preserve"> </v>
      </c>
      <c r="AE315" s="2" t="str">
        <f t="shared" si="133"/>
        <v xml:space="preserve"> </v>
      </c>
      <c r="AF315" s="3" t="str">
        <f>CONCATENATE(+Contacts!D315)</f>
        <v/>
      </c>
      <c r="AG315" s="2" t="str">
        <f t="shared" si="134"/>
        <v xml:space="preserve"> </v>
      </c>
      <c r="AH315" t="str">
        <f>CONCATENATE(+Contacts!I315)</f>
        <v>dnoij@zeelandnet.nl</v>
      </c>
      <c r="AI315">
        <v>1500000010</v>
      </c>
      <c r="AJ315" s="5">
        <f t="shared" si="135"/>
        <v>1</v>
      </c>
    </row>
    <row r="316" spans="1:36" x14ac:dyDescent="0.35">
      <c r="A316" s="7" t="str">
        <f t="shared" si="110"/>
        <v>&lt;contact&gt;&lt;category&gt;0&lt;/category&gt;&lt;person&gt;&lt;realName&gt;NS Klantenservice  (Vervoersbedrijf)&lt;/realName&gt;&lt;/person&gt;</v>
      </c>
      <c r="B316" s="7" t="str">
        <f t="shared" si="111"/>
        <v>&lt;telephony nid="1"&gt;&lt;number id="0" prio="1" type="work"&gt;+31 307515155&lt;/number&gt;&lt;/telephony&gt;</v>
      </c>
      <c r="C316" s="7" t="str">
        <f t="shared" si="112"/>
        <v>&lt;services /&gt;&lt;setup /&gt;&lt;mod_time&gt;1500000010&lt;/mod_time&gt;&lt;uniqueid&gt;1&lt;/uniqueid&gt;&lt;/contact&gt;</v>
      </c>
      <c r="D316" t="str">
        <f t="shared" si="113"/>
        <v>&lt;contact&gt;&lt;category&gt;0&lt;/category&gt;&lt;person&gt;&lt;realName&gt;NS Klantenservice  (Vervoersbedrijf)&lt;/realName&gt;&lt;/person&gt;</v>
      </c>
      <c r="E316" t="str">
        <f t="shared" si="114"/>
        <v>&lt;telephony nid="1"&gt;&lt;number id="0" prio="1" type="work"&gt;+31 307515155&lt;/number&gt;&lt;/telephony&gt;</v>
      </c>
      <c r="F316" t="str">
        <f t="shared" si="115"/>
        <v>&lt;telephony nid="1"&gt;</v>
      </c>
      <c r="G316" t="str">
        <f t="shared" si="116"/>
        <v>&lt;number id="0" prio="1" type="work"&gt;+31 307515155&lt;/number&gt;</v>
      </c>
      <c r="H316" t="str">
        <f t="shared" si="117"/>
        <v>&lt;services nid="1"&gt;&lt;email id="0" classifier="private"&gt;&lt;/email&gt;&lt;/services&gt;&lt;setup /&gt;&lt;mod_time&gt;1500000010&lt;/mod_time&gt;&lt;uniqueid&gt;1&lt;/uniqueid&gt;&lt;/contact&gt;</v>
      </c>
      <c r="I316" t="str">
        <f t="shared" si="118"/>
        <v>&lt;services /&gt;&lt;setup /&gt;&lt;mod_time&gt;1500000010&lt;/mod_time&gt;&lt;uniqueid&gt;1&lt;/uniqueid&gt;&lt;/contact&gt;</v>
      </c>
      <c r="J316" t="str">
        <f t="shared" si="119"/>
        <v>&lt;services /&gt;&lt;setup /&gt;&lt;mod_time&gt;1500000010&lt;/mod_time&gt;&lt;uniqueid&gt;1&lt;/uniqueid&gt;&lt;/contact&gt;</v>
      </c>
      <c r="K316" s="5">
        <f t="shared" si="120"/>
        <v>1</v>
      </c>
      <c r="L316" s="5">
        <f t="shared" si="121"/>
        <v>1</v>
      </c>
      <c r="M316" s="5" t="str">
        <f>CONCATENATE(+Contacts!E316)</f>
        <v>+31 307515155</v>
      </c>
      <c r="N316" t="str">
        <f t="shared" si="122"/>
        <v/>
      </c>
      <c r="O316" s="5">
        <f t="shared" si="123"/>
        <v>1</v>
      </c>
      <c r="P316" s="5">
        <f t="shared" si="124"/>
        <v>1</v>
      </c>
      <c r="Q316" s="5" t="str">
        <f>CONCATENATE(+Contacts!G316)</f>
        <v/>
      </c>
      <c r="R316" t="str">
        <f t="shared" si="125"/>
        <v/>
      </c>
      <c r="S316" s="5">
        <f t="shared" si="126"/>
        <v>1</v>
      </c>
      <c r="T316" s="5">
        <f t="shared" si="127"/>
        <v>1</v>
      </c>
      <c r="U316" s="5" t="str">
        <f>CONCATENATE(+Contacts!H316)</f>
        <v/>
      </c>
      <c r="V316" t="str">
        <f t="shared" si="128"/>
        <v/>
      </c>
      <c r="W316" s="5">
        <f t="shared" si="129"/>
        <v>1</v>
      </c>
      <c r="X316" s="5">
        <f t="shared" si="130"/>
        <v>1</v>
      </c>
      <c r="Y316" s="5" t="str">
        <f>CONCATENATE(+Contacts!F316)</f>
        <v/>
      </c>
      <c r="Z316" s="2" t="str">
        <f t="shared" si="131"/>
        <v>NS Klantenservice  (Vervoersbedrijf)</v>
      </c>
      <c r="AA316" s="2" t="str">
        <f>CONCATENATE(+Contacts!C316)</f>
        <v>NS Klantenservice</v>
      </c>
      <c r="AB316" s="2" t="str">
        <f t="shared" si="132"/>
        <v xml:space="preserve"> </v>
      </c>
      <c r="AC316" s="2" t="str">
        <f>CONCATENATE(+Contacts!A316)</f>
        <v/>
      </c>
      <c r="AD316" s="3" t="str">
        <f>CONCATENATE(" ",+Contacts!B316)</f>
        <v xml:space="preserve"> </v>
      </c>
      <c r="AE316" s="2" t="str">
        <f t="shared" si="133"/>
        <v>(</v>
      </c>
      <c r="AF316" s="3" t="str">
        <f>CONCATENATE(+Contacts!D316)</f>
        <v>Vervoersbedrijf</v>
      </c>
      <c r="AG316" s="2" t="str">
        <f t="shared" si="134"/>
        <v>)</v>
      </c>
      <c r="AH316" t="str">
        <f>CONCATENATE(+Contacts!I316)</f>
        <v/>
      </c>
      <c r="AI316">
        <v>1500000010</v>
      </c>
      <c r="AJ316" s="5">
        <f t="shared" si="135"/>
        <v>1</v>
      </c>
    </row>
    <row r="317" spans="1:36" x14ac:dyDescent="0.35">
      <c r="A317" s="7" t="str">
        <f t="shared" si="110"/>
        <v>&lt;contact&gt;&lt;category&gt;0&lt;/category&gt;&lt;person&gt;&lt;realName&gt;Oerlemans, Bep   &lt;/realName&gt;&lt;/person&gt;</v>
      </c>
      <c r="B317" s="7" t="str">
        <f t="shared" si="111"/>
        <v>&lt;telephony nid="1"&gt;&lt;number id="0" prio="1" type="home"&gt;+31 104565708&lt;/number&gt;&lt;/telephony&gt;</v>
      </c>
      <c r="C317" s="7" t="str">
        <f t="shared" si="112"/>
        <v>&lt;services nid="1"&gt;&lt;email id="0" classifier="private"&gt;bep-oerlemans@kpnplanet.nl&lt;/email&gt;&lt;/services&gt;&lt;setup /&gt;&lt;mod_time&gt;1500000010&lt;/mod_time&gt;&lt;uniqueid&gt;1&lt;/uniqueid&gt;&lt;/contact&gt;</v>
      </c>
      <c r="D317" t="str">
        <f t="shared" si="113"/>
        <v>&lt;contact&gt;&lt;category&gt;0&lt;/category&gt;&lt;person&gt;&lt;realName&gt;Oerlemans, Bep   &lt;/realName&gt;&lt;/person&gt;</v>
      </c>
      <c r="E317" t="str">
        <f t="shared" si="114"/>
        <v>&lt;telephony nid="1"&gt;&lt;number id="0" prio="1" type="home"&gt;+31 104565708&lt;/number&gt;&lt;/telephony&gt;</v>
      </c>
      <c r="F317" t="str">
        <f t="shared" si="115"/>
        <v>&lt;telephony nid="1"&gt;</v>
      </c>
      <c r="G317" t="str">
        <f t="shared" si="116"/>
        <v/>
      </c>
      <c r="H317" t="str">
        <f t="shared" si="117"/>
        <v>&lt;services nid="1"&gt;&lt;email id="0" classifier="private"&gt;bep-oerlemans@kpnplanet.nl&lt;/email&gt;&lt;/services&gt;&lt;setup /&gt;&lt;mod_time&gt;1500000010&lt;/mod_time&gt;&lt;uniqueid&gt;1&lt;/uniqueid&gt;&lt;/contact&gt;</v>
      </c>
      <c r="I317" t="str">
        <f t="shared" si="118"/>
        <v>&lt;services /&gt;&lt;setup /&gt;&lt;mod_time&gt;1500000010&lt;/mod_time&gt;&lt;uniqueid&gt;1&lt;/uniqueid&gt;&lt;/contact&gt;</v>
      </c>
      <c r="J317" t="str">
        <f t="shared" si="119"/>
        <v>&lt;services nid="1"&gt;&lt;email id="0" classifier="private"&gt;bep-oerlemans@kpnplanet.nl&lt;/email&gt;&lt;/services&gt;&lt;setup /&gt;&lt;mod_time&gt;1500000010&lt;/mod_time&gt;&lt;uniqueid&gt;1&lt;/uniqueid&gt;&lt;/contact&gt;</v>
      </c>
      <c r="K317" s="5">
        <f t="shared" si="120"/>
        <v>0</v>
      </c>
      <c r="L317" s="5">
        <f t="shared" si="121"/>
        <v>0</v>
      </c>
      <c r="M317" s="5" t="str">
        <f>CONCATENATE(+Contacts!E317)</f>
        <v/>
      </c>
      <c r="N317" t="str">
        <f t="shared" si="122"/>
        <v>&lt;number id="0" prio="1" type="home"&gt;+31 104565708&lt;/number&gt;</v>
      </c>
      <c r="O317" s="5">
        <f t="shared" si="123"/>
        <v>1</v>
      </c>
      <c r="P317" s="5">
        <f t="shared" si="124"/>
        <v>1</v>
      </c>
      <c r="Q317" s="5" t="str">
        <f>CONCATENATE(+Contacts!G317)</f>
        <v>+31 104565708</v>
      </c>
      <c r="R317" t="str">
        <f t="shared" si="125"/>
        <v/>
      </c>
      <c r="S317" s="5">
        <f t="shared" si="126"/>
        <v>1</v>
      </c>
      <c r="T317" s="5">
        <f t="shared" si="127"/>
        <v>1</v>
      </c>
      <c r="U317" s="5" t="str">
        <f>CONCATENATE(+Contacts!H317)</f>
        <v/>
      </c>
      <c r="V317" t="str">
        <f t="shared" si="128"/>
        <v/>
      </c>
      <c r="W317" s="5">
        <f t="shared" si="129"/>
        <v>1</v>
      </c>
      <c r="X317" s="5">
        <f t="shared" si="130"/>
        <v>1</v>
      </c>
      <c r="Y317" s="5" t="str">
        <f>CONCATENATE(+Contacts!F317)</f>
        <v/>
      </c>
      <c r="Z317" s="2" t="str">
        <f t="shared" si="131"/>
        <v xml:space="preserve">Oerlemans, Bep   </v>
      </c>
      <c r="AA317" s="2" t="str">
        <f>CONCATENATE(+Contacts!C317)</f>
        <v>Oerlemans</v>
      </c>
      <c r="AB317" s="2" t="str">
        <f t="shared" si="132"/>
        <v xml:space="preserve">, </v>
      </c>
      <c r="AC317" s="2" t="str">
        <f>CONCATENATE(+Contacts!A317)</f>
        <v>Bep</v>
      </c>
      <c r="AD317" s="3" t="str">
        <f>CONCATENATE(" ",+Contacts!B317)</f>
        <v xml:space="preserve"> </v>
      </c>
      <c r="AE317" s="2" t="str">
        <f t="shared" si="133"/>
        <v xml:space="preserve"> </v>
      </c>
      <c r="AF317" s="3" t="str">
        <f>CONCATENATE(+Contacts!D317)</f>
        <v/>
      </c>
      <c r="AG317" s="2" t="str">
        <f t="shared" si="134"/>
        <v xml:space="preserve"> </v>
      </c>
      <c r="AH317" t="str">
        <f>CONCATENATE(+Contacts!I317)</f>
        <v>bep-oerlemans@kpnplanet.nl</v>
      </c>
      <c r="AI317">
        <v>1500000010</v>
      </c>
      <c r="AJ317" s="5">
        <f t="shared" si="135"/>
        <v>1</v>
      </c>
    </row>
    <row r="318" spans="1:36" x14ac:dyDescent="0.35">
      <c r="A318" s="7" t="str">
        <f t="shared" si="110"/>
        <v>&lt;contact&gt;&lt;category&gt;0&lt;/category&gt;&lt;person&gt;&lt;realName&gt;Oeveren, Anne van  &lt;/realName&gt;&lt;/person&gt;</v>
      </c>
      <c r="B318" s="7" t="str">
        <f t="shared" si="111"/>
        <v>&lt;telephony nid="1"&gt;&lt;number id="0" prio="1" type="home"&gt;+31 203882637&lt;/number&gt;&lt;/telephony&gt;</v>
      </c>
      <c r="C318" s="7" t="str">
        <f t="shared" si="112"/>
        <v>&lt;services nid="1"&gt;&lt;email id="0" classifier="private"&gt;aoeveren@planet.nl&lt;/email&gt;&lt;/services&gt;&lt;setup /&gt;&lt;mod_time&gt;1500000010&lt;/mod_time&gt;&lt;uniqueid&gt;1&lt;/uniqueid&gt;&lt;/contact&gt;</v>
      </c>
      <c r="D318" t="str">
        <f t="shared" si="113"/>
        <v>&lt;contact&gt;&lt;category&gt;0&lt;/category&gt;&lt;person&gt;&lt;realName&gt;Oeveren, Anne van  &lt;/realName&gt;&lt;/person&gt;</v>
      </c>
      <c r="E318" t="str">
        <f t="shared" si="114"/>
        <v>&lt;telephony nid="1"&gt;&lt;number id="0" prio="1" type="home"&gt;+31 203882637&lt;/number&gt;&lt;/telephony&gt;</v>
      </c>
      <c r="F318" t="str">
        <f t="shared" si="115"/>
        <v>&lt;telephony nid="1"&gt;</v>
      </c>
      <c r="G318" t="str">
        <f t="shared" si="116"/>
        <v/>
      </c>
      <c r="H318" t="str">
        <f t="shared" si="117"/>
        <v>&lt;services nid="1"&gt;&lt;email id="0" classifier="private"&gt;aoeveren@planet.nl&lt;/email&gt;&lt;/services&gt;&lt;setup /&gt;&lt;mod_time&gt;1500000010&lt;/mod_time&gt;&lt;uniqueid&gt;1&lt;/uniqueid&gt;&lt;/contact&gt;</v>
      </c>
      <c r="I318" t="str">
        <f t="shared" si="118"/>
        <v>&lt;services /&gt;&lt;setup /&gt;&lt;mod_time&gt;1500000010&lt;/mod_time&gt;&lt;uniqueid&gt;1&lt;/uniqueid&gt;&lt;/contact&gt;</v>
      </c>
      <c r="J318" t="str">
        <f t="shared" si="119"/>
        <v>&lt;services nid="1"&gt;&lt;email id="0" classifier="private"&gt;aoeveren@planet.nl&lt;/email&gt;&lt;/services&gt;&lt;setup /&gt;&lt;mod_time&gt;1500000010&lt;/mod_time&gt;&lt;uniqueid&gt;1&lt;/uniqueid&gt;&lt;/contact&gt;</v>
      </c>
      <c r="K318" s="5">
        <f t="shared" si="120"/>
        <v>0</v>
      </c>
      <c r="L318" s="5">
        <f t="shared" si="121"/>
        <v>0</v>
      </c>
      <c r="M318" s="5" t="str">
        <f>CONCATENATE(+Contacts!E318)</f>
        <v/>
      </c>
      <c r="N318" t="str">
        <f t="shared" si="122"/>
        <v>&lt;number id="0" prio="1" type="home"&gt;+31 203882637&lt;/number&gt;</v>
      </c>
      <c r="O318" s="5">
        <f t="shared" si="123"/>
        <v>1</v>
      </c>
      <c r="P318" s="5">
        <f t="shared" si="124"/>
        <v>1</v>
      </c>
      <c r="Q318" s="5" t="str">
        <f>CONCATENATE(+Contacts!G318)</f>
        <v>+31 203882637</v>
      </c>
      <c r="R318" t="str">
        <f t="shared" si="125"/>
        <v/>
      </c>
      <c r="S318" s="5">
        <f t="shared" si="126"/>
        <v>1</v>
      </c>
      <c r="T318" s="5">
        <f t="shared" si="127"/>
        <v>1</v>
      </c>
      <c r="U318" s="5" t="str">
        <f>CONCATENATE(+Contacts!H318)</f>
        <v/>
      </c>
      <c r="V318" t="str">
        <f t="shared" si="128"/>
        <v/>
      </c>
      <c r="W318" s="5">
        <f t="shared" si="129"/>
        <v>1</v>
      </c>
      <c r="X318" s="5">
        <f t="shared" si="130"/>
        <v>1</v>
      </c>
      <c r="Y318" s="5" t="str">
        <f>CONCATENATE(+Contacts!F318)</f>
        <v/>
      </c>
      <c r="Z318" s="2" t="str">
        <f t="shared" si="131"/>
        <v xml:space="preserve">Oeveren, Anne van  </v>
      </c>
      <c r="AA318" s="2" t="str">
        <f>CONCATENATE(+Contacts!C318)</f>
        <v>Oeveren</v>
      </c>
      <c r="AB318" s="2" t="str">
        <f t="shared" si="132"/>
        <v xml:space="preserve">, </v>
      </c>
      <c r="AC318" s="2" t="str">
        <f>CONCATENATE(+Contacts!A318)</f>
        <v>Anne</v>
      </c>
      <c r="AD318" s="3" t="str">
        <f>CONCATENATE(" ",+Contacts!B318)</f>
        <v xml:space="preserve"> van</v>
      </c>
      <c r="AE318" s="2" t="str">
        <f t="shared" si="133"/>
        <v xml:space="preserve"> </v>
      </c>
      <c r="AF318" s="3" t="str">
        <f>CONCATENATE(+Contacts!D318)</f>
        <v/>
      </c>
      <c r="AG318" s="2" t="str">
        <f t="shared" si="134"/>
        <v xml:space="preserve"> </v>
      </c>
      <c r="AH318" t="str">
        <f>CONCATENATE(+Contacts!I318)</f>
        <v>aoeveren@planet.nl</v>
      </c>
      <c r="AI318">
        <v>1500000010</v>
      </c>
      <c r="AJ318" s="5">
        <f t="shared" si="135"/>
        <v>1</v>
      </c>
    </row>
    <row r="319" spans="1:36" x14ac:dyDescent="0.35">
      <c r="A319" s="7" t="str">
        <f t="shared" si="110"/>
        <v/>
      </c>
      <c r="B319" s="7" t="str">
        <f t="shared" si="111"/>
        <v/>
      </c>
      <c r="C319" s="7" t="str">
        <f t="shared" si="112"/>
        <v/>
      </c>
      <c r="D319" t="str">
        <f t="shared" si="113"/>
        <v>&lt;contact&gt;&lt;category&gt;0&lt;/category&gt;&lt;person&gt;&lt;realName&gt;Olst, Marion van  &lt;/realName&gt;&lt;/person&gt;</v>
      </c>
      <c r="E319" t="str">
        <f t="shared" si="114"/>
        <v>&lt;telephony nid="0"&gt;&lt;/telephony&gt;</v>
      </c>
      <c r="F319" t="str">
        <f t="shared" si="115"/>
        <v>&lt;telephony nid="0"&gt;</v>
      </c>
      <c r="G319" t="str">
        <f t="shared" si="116"/>
        <v/>
      </c>
      <c r="H319" t="str">
        <f t="shared" si="117"/>
        <v>&lt;services nid="1"&gt;&lt;email id="0" classifier="private"&gt;&lt;/email&gt;&lt;/services&gt;&lt;setup /&gt;&lt;mod_time&gt;1500000010&lt;/mod_time&gt;&lt;uniqueid&gt;0&lt;/uniqueid&gt;&lt;/contact&gt;</v>
      </c>
      <c r="I319" t="str">
        <f t="shared" si="118"/>
        <v>&lt;services /&gt;&lt;setup /&gt;&lt;mod_time&gt;1500000010&lt;/mod_time&gt;&lt;uniqueid&gt;0&lt;/uniqueid&gt;&lt;/contact&gt;</v>
      </c>
      <c r="J319" t="str">
        <f t="shared" si="119"/>
        <v>&lt;services /&gt;&lt;setup /&gt;&lt;mod_time&gt;1500000010&lt;/mod_time&gt;&lt;uniqueid&gt;0&lt;/uniqueid&gt;&lt;/contact&gt;</v>
      </c>
      <c r="K319" s="5">
        <f t="shared" si="120"/>
        <v>0</v>
      </c>
      <c r="L319" s="5">
        <f t="shared" si="121"/>
        <v>0</v>
      </c>
      <c r="M319" s="5" t="str">
        <f>CONCATENATE(+Contacts!E319)</f>
        <v/>
      </c>
      <c r="N319" t="str">
        <f t="shared" si="122"/>
        <v/>
      </c>
      <c r="O319" s="5">
        <f t="shared" si="123"/>
        <v>0</v>
      </c>
      <c r="P319" s="5">
        <f t="shared" si="124"/>
        <v>0</v>
      </c>
      <c r="Q319" s="5" t="str">
        <f>CONCATENATE(+Contacts!G319)</f>
        <v/>
      </c>
      <c r="R319" t="str">
        <f t="shared" si="125"/>
        <v/>
      </c>
      <c r="S319" s="5">
        <f t="shared" si="126"/>
        <v>0</v>
      </c>
      <c r="T319" s="5">
        <f t="shared" si="127"/>
        <v>0</v>
      </c>
      <c r="U319" s="5" t="str">
        <f>CONCATENATE(+Contacts!H319)</f>
        <v/>
      </c>
      <c r="V319" t="str">
        <f t="shared" si="128"/>
        <v/>
      </c>
      <c r="W319" s="5">
        <f t="shared" si="129"/>
        <v>0</v>
      </c>
      <c r="X319" s="5">
        <f t="shared" si="130"/>
        <v>0</v>
      </c>
      <c r="Y319" s="5" t="str">
        <f>CONCATENATE(+Contacts!F319)</f>
        <v/>
      </c>
      <c r="Z319" s="2" t="str">
        <f t="shared" si="131"/>
        <v xml:space="preserve">Olst, Marion van  </v>
      </c>
      <c r="AA319" s="2" t="str">
        <f>CONCATENATE(+Contacts!C319)</f>
        <v>Olst</v>
      </c>
      <c r="AB319" s="2" t="str">
        <f t="shared" si="132"/>
        <v xml:space="preserve">, </v>
      </c>
      <c r="AC319" s="2" t="str">
        <f>CONCATENATE(+Contacts!A319)</f>
        <v>Marion</v>
      </c>
      <c r="AD319" s="3" t="str">
        <f>CONCATENATE(" ",+Contacts!B319)</f>
        <v xml:space="preserve"> van</v>
      </c>
      <c r="AE319" s="2" t="str">
        <f t="shared" si="133"/>
        <v xml:space="preserve"> </v>
      </c>
      <c r="AF319" s="3" t="str">
        <f>CONCATENATE(+Contacts!D319)</f>
        <v/>
      </c>
      <c r="AG319" s="2" t="str">
        <f t="shared" si="134"/>
        <v xml:space="preserve"> </v>
      </c>
      <c r="AH319" t="str">
        <f>CONCATENATE(+Contacts!I319)</f>
        <v/>
      </c>
      <c r="AI319">
        <v>1500000010</v>
      </c>
      <c r="AJ319" s="5">
        <f t="shared" si="135"/>
        <v>0</v>
      </c>
    </row>
    <row r="320" spans="1:36" x14ac:dyDescent="0.35">
      <c r="A320" s="7" t="str">
        <f t="shared" si="110"/>
        <v>&lt;contact&gt;&lt;category&gt;0&lt;/category&gt;&lt;person&gt;&lt;realName&gt;Onverzaagt, Marjon   &lt;/realName&gt;&lt;/person&gt;</v>
      </c>
      <c r="B320" s="7" t="str">
        <f t="shared" si="111"/>
        <v>&lt;telephony nid="2"&gt;&lt;number id="0" prio="1" type="home"&gt;+31 105113231&lt;/number&gt;&lt;number id="1" prio="0" type="work"&gt;+31 6 49 67 28 55&lt;/number&gt;&lt;/telephony&gt;</v>
      </c>
      <c r="C320" s="7" t="str">
        <f t="shared" si="112"/>
        <v>&lt;services nid="1"&gt;&lt;email id="0" classifier="private"&gt;marjonvb@gmail.com&lt;/email&gt;&lt;/services&gt;&lt;setup /&gt;&lt;mod_time&gt;1500000010&lt;/mod_time&gt;&lt;uniqueid&gt;1&lt;/uniqueid&gt;&lt;/contact&gt;</v>
      </c>
      <c r="D320" t="str">
        <f t="shared" si="113"/>
        <v>&lt;contact&gt;&lt;category&gt;0&lt;/category&gt;&lt;person&gt;&lt;realName&gt;Onverzaagt, Marjon   &lt;/realName&gt;&lt;/person&gt;</v>
      </c>
      <c r="E320" t="str">
        <f t="shared" si="114"/>
        <v>&lt;telephony nid="2"&gt;&lt;number id="0" prio="1" type="home"&gt;+31 105113231&lt;/number&gt;&lt;number id="1" prio="0" type="work"&gt;+31 6 49 67 28 55&lt;/number&gt;&lt;/telephony&gt;</v>
      </c>
      <c r="F320" t="str">
        <f t="shared" si="115"/>
        <v>&lt;telephony nid="2"&gt;</v>
      </c>
      <c r="G320" t="str">
        <f t="shared" si="116"/>
        <v/>
      </c>
      <c r="H320" t="str">
        <f t="shared" si="117"/>
        <v>&lt;services nid="1"&gt;&lt;email id="0" classifier="private"&gt;marjonvb@gmail.com&lt;/email&gt;&lt;/services&gt;&lt;setup /&gt;&lt;mod_time&gt;1500000010&lt;/mod_time&gt;&lt;uniqueid&gt;1&lt;/uniqueid&gt;&lt;/contact&gt;</v>
      </c>
      <c r="I320" t="str">
        <f t="shared" si="118"/>
        <v>&lt;services /&gt;&lt;setup /&gt;&lt;mod_time&gt;1500000010&lt;/mod_time&gt;&lt;uniqueid&gt;1&lt;/uniqueid&gt;&lt;/contact&gt;</v>
      </c>
      <c r="J320" t="str">
        <f t="shared" si="119"/>
        <v>&lt;services nid="1"&gt;&lt;email id="0" classifier="private"&gt;marjonvb@gmail.com&lt;/email&gt;&lt;/services&gt;&lt;setup /&gt;&lt;mod_time&gt;1500000010&lt;/mod_time&gt;&lt;uniqueid&gt;1&lt;/uniqueid&gt;&lt;/contact&gt;</v>
      </c>
      <c r="K320" s="5">
        <f t="shared" si="120"/>
        <v>0</v>
      </c>
      <c r="L320" s="5">
        <f t="shared" si="121"/>
        <v>0</v>
      </c>
      <c r="M320" s="5" t="str">
        <f>CONCATENATE(+Contacts!E320)</f>
        <v/>
      </c>
      <c r="N320" t="str">
        <f t="shared" si="122"/>
        <v>&lt;number id="0" prio="1" type="home"&gt;+31 105113231&lt;/number&gt;</v>
      </c>
      <c r="O320" s="5">
        <f t="shared" si="123"/>
        <v>1</v>
      </c>
      <c r="P320" s="5">
        <f t="shared" si="124"/>
        <v>1</v>
      </c>
      <c r="Q320" s="5" t="str">
        <f>CONCATENATE(+Contacts!G320)</f>
        <v>+31 105113231</v>
      </c>
      <c r="R320" t="str">
        <f t="shared" si="125"/>
        <v/>
      </c>
      <c r="S320" s="5">
        <f t="shared" si="126"/>
        <v>1</v>
      </c>
      <c r="T320" s="5">
        <f t="shared" si="127"/>
        <v>1</v>
      </c>
      <c r="U320" s="5" t="str">
        <f>CONCATENATE(+Contacts!H320)</f>
        <v/>
      </c>
      <c r="V320" t="str">
        <f t="shared" si="128"/>
        <v>&lt;number id="1" prio="0" type="work"&gt;+31 6 49 67 28 55&lt;/number&gt;</v>
      </c>
      <c r="W320" s="5">
        <f t="shared" si="129"/>
        <v>2</v>
      </c>
      <c r="X320" s="5">
        <f t="shared" si="130"/>
        <v>0</v>
      </c>
      <c r="Y320" s="5" t="str">
        <f>CONCATENATE(+Contacts!F320)</f>
        <v>+31 6 49 67 28 55</v>
      </c>
      <c r="Z320" s="2" t="str">
        <f t="shared" si="131"/>
        <v xml:space="preserve">Onverzaagt, Marjon   </v>
      </c>
      <c r="AA320" s="2" t="str">
        <f>CONCATENATE(+Contacts!C320)</f>
        <v>Onverzaagt</v>
      </c>
      <c r="AB320" s="2" t="str">
        <f t="shared" si="132"/>
        <v xml:space="preserve">, </v>
      </c>
      <c r="AC320" s="2" t="str">
        <f>CONCATENATE(+Contacts!A320)</f>
        <v>Marjon</v>
      </c>
      <c r="AD320" s="3" t="str">
        <f>CONCATENATE(" ",+Contacts!B320)</f>
        <v xml:space="preserve"> </v>
      </c>
      <c r="AE320" s="2" t="str">
        <f t="shared" si="133"/>
        <v xml:space="preserve"> </v>
      </c>
      <c r="AF320" s="3" t="str">
        <f>CONCATENATE(+Contacts!D320)</f>
        <v/>
      </c>
      <c r="AG320" s="2" t="str">
        <f t="shared" si="134"/>
        <v xml:space="preserve"> </v>
      </c>
      <c r="AH320" t="str">
        <f>CONCATENATE(+Contacts!I320)</f>
        <v>marjonvb@gmail.com</v>
      </c>
      <c r="AI320">
        <v>1500000010</v>
      </c>
      <c r="AJ320" s="5">
        <f t="shared" si="135"/>
        <v>1</v>
      </c>
    </row>
    <row r="321" spans="1:36" x14ac:dyDescent="0.35">
      <c r="A321" s="7" t="str">
        <f t="shared" si="110"/>
        <v>&lt;contact&gt;&lt;category&gt;0&lt;/category&gt;&lt;person&gt;&lt;realName&gt;Oost, Rob van  &lt;/realName&gt;&lt;/person&gt;</v>
      </c>
      <c r="B321" s="7" t="str">
        <f t="shared" si="111"/>
        <v>&lt;telephony nid="1"&gt;&lt;number id="0" prio="1" type="home"&gt;+31 499463457&lt;/number&gt;&lt;/telephony&gt;</v>
      </c>
      <c r="C321" s="7" t="str">
        <f t="shared" si="112"/>
        <v>&lt;services /&gt;&lt;setup /&gt;&lt;mod_time&gt;1500000010&lt;/mod_time&gt;&lt;uniqueid&gt;1&lt;/uniqueid&gt;&lt;/contact&gt;</v>
      </c>
      <c r="D321" t="str">
        <f t="shared" si="113"/>
        <v>&lt;contact&gt;&lt;category&gt;0&lt;/category&gt;&lt;person&gt;&lt;realName&gt;Oost, Rob van  &lt;/realName&gt;&lt;/person&gt;</v>
      </c>
      <c r="E321" t="str">
        <f t="shared" si="114"/>
        <v>&lt;telephony nid="1"&gt;&lt;number id="0" prio="1" type="home"&gt;+31 499463457&lt;/number&gt;&lt;/telephony&gt;</v>
      </c>
      <c r="F321" t="str">
        <f t="shared" si="115"/>
        <v>&lt;telephony nid="1"&gt;</v>
      </c>
      <c r="G321" t="str">
        <f t="shared" si="116"/>
        <v/>
      </c>
      <c r="H321" t="str">
        <f t="shared" si="117"/>
        <v>&lt;services nid="1"&gt;&lt;email id="0" classifier="private"&gt;&lt;/email&gt;&lt;/services&gt;&lt;setup /&gt;&lt;mod_time&gt;1500000010&lt;/mod_time&gt;&lt;uniqueid&gt;1&lt;/uniqueid&gt;&lt;/contact&gt;</v>
      </c>
      <c r="I321" t="str">
        <f t="shared" si="118"/>
        <v>&lt;services /&gt;&lt;setup /&gt;&lt;mod_time&gt;1500000010&lt;/mod_time&gt;&lt;uniqueid&gt;1&lt;/uniqueid&gt;&lt;/contact&gt;</v>
      </c>
      <c r="J321" t="str">
        <f t="shared" si="119"/>
        <v>&lt;services /&gt;&lt;setup /&gt;&lt;mod_time&gt;1500000010&lt;/mod_time&gt;&lt;uniqueid&gt;1&lt;/uniqueid&gt;&lt;/contact&gt;</v>
      </c>
      <c r="K321" s="5">
        <f t="shared" si="120"/>
        <v>0</v>
      </c>
      <c r="L321" s="5">
        <f t="shared" si="121"/>
        <v>0</v>
      </c>
      <c r="M321" s="5" t="str">
        <f>CONCATENATE(+Contacts!E321)</f>
        <v/>
      </c>
      <c r="N321" t="str">
        <f t="shared" si="122"/>
        <v>&lt;number id="0" prio="1" type="home"&gt;+31 499463457&lt;/number&gt;</v>
      </c>
      <c r="O321" s="5">
        <f t="shared" si="123"/>
        <v>1</v>
      </c>
      <c r="P321" s="5">
        <f t="shared" si="124"/>
        <v>1</v>
      </c>
      <c r="Q321" s="5" t="str">
        <f>CONCATENATE(+Contacts!G321)</f>
        <v>+31 499463457</v>
      </c>
      <c r="R321" t="str">
        <f t="shared" si="125"/>
        <v/>
      </c>
      <c r="S321" s="5">
        <f t="shared" si="126"/>
        <v>1</v>
      </c>
      <c r="T321" s="5">
        <f t="shared" si="127"/>
        <v>1</v>
      </c>
      <c r="U321" s="5" t="str">
        <f>CONCATENATE(+Contacts!H321)</f>
        <v/>
      </c>
      <c r="V321" t="str">
        <f t="shared" si="128"/>
        <v/>
      </c>
      <c r="W321" s="5">
        <f t="shared" si="129"/>
        <v>1</v>
      </c>
      <c r="X321" s="5">
        <f t="shared" si="130"/>
        <v>1</v>
      </c>
      <c r="Y321" s="5" t="str">
        <f>CONCATENATE(+Contacts!F321)</f>
        <v/>
      </c>
      <c r="Z321" s="2" t="str">
        <f t="shared" si="131"/>
        <v xml:space="preserve">Oost, Rob van  </v>
      </c>
      <c r="AA321" s="2" t="str">
        <f>CONCATENATE(+Contacts!C321)</f>
        <v>Oost</v>
      </c>
      <c r="AB321" s="2" t="str">
        <f t="shared" si="132"/>
        <v xml:space="preserve">, </v>
      </c>
      <c r="AC321" s="2" t="str">
        <f>CONCATENATE(+Contacts!A321)</f>
        <v>Rob</v>
      </c>
      <c r="AD321" s="3" t="str">
        <f>CONCATENATE(" ",+Contacts!B321)</f>
        <v xml:space="preserve"> van</v>
      </c>
      <c r="AE321" s="2" t="str">
        <f t="shared" si="133"/>
        <v xml:space="preserve"> </v>
      </c>
      <c r="AF321" s="3" t="str">
        <f>CONCATENATE(+Contacts!D321)</f>
        <v/>
      </c>
      <c r="AG321" s="2" t="str">
        <f t="shared" si="134"/>
        <v xml:space="preserve"> </v>
      </c>
      <c r="AH321" t="str">
        <f>CONCATENATE(+Contacts!I321)</f>
        <v/>
      </c>
      <c r="AI321">
        <v>1500000010</v>
      </c>
      <c r="AJ321" s="5">
        <f t="shared" si="135"/>
        <v>1</v>
      </c>
    </row>
    <row r="322" spans="1:36" x14ac:dyDescent="0.35">
      <c r="A322" s="7" t="str">
        <f t="shared" si="110"/>
        <v>&lt;contact&gt;&lt;category&gt;0&lt;/category&gt;&lt;person&gt;&lt;realName&gt;Oosthoek, Dirk   &lt;/realName&gt;&lt;/person&gt;</v>
      </c>
      <c r="B322" s="7" t="str">
        <f t="shared" si="111"/>
        <v>&lt;telephony nid="1"&gt;&lt;number id="0" prio="1" type="home"&gt;+31 104818927&lt;/number&gt;&lt;/telephony&gt;</v>
      </c>
      <c r="C322" s="7" t="str">
        <f t="shared" si="112"/>
        <v>&lt;services nid="1"&gt;&lt;email id="0" classifier="private"&gt;bcfvo@xs4all.nl&lt;/email&gt;&lt;/services&gt;&lt;setup /&gt;&lt;mod_time&gt;1500000010&lt;/mod_time&gt;&lt;uniqueid&gt;1&lt;/uniqueid&gt;&lt;/contact&gt;</v>
      </c>
      <c r="D322" t="str">
        <f t="shared" si="113"/>
        <v>&lt;contact&gt;&lt;category&gt;0&lt;/category&gt;&lt;person&gt;&lt;realName&gt;Oosthoek, Dirk   &lt;/realName&gt;&lt;/person&gt;</v>
      </c>
      <c r="E322" t="str">
        <f t="shared" si="114"/>
        <v>&lt;telephony nid="1"&gt;&lt;number id="0" prio="1" type="home"&gt;+31 104818927&lt;/number&gt;&lt;/telephony&gt;</v>
      </c>
      <c r="F322" t="str">
        <f t="shared" si="115"/>
        <v>&lt;telephony nid="1"&gt;</v>
      </c>
      <c r="G322" t="str">
        <f t="shared" si="116"/>
        <v/>
      </c>
      <c r="H322" t="str">
        <f t="shared" si="117"/>
        <v>&lt;services nid="1"&gt;&lt;email id="0" classifier="private"&gt;bcfvo@xs4all.nl&lt;/email&gt;&lt;/services&gt;&lt;setup /&gt;&lt;mod_time&gt;1500000010&lt;/mod_time&gt;&lt;uniqueid&gt;1&lt;/uniqueid&gt;&lt;/contact&gt;</v>
      </c>
      <c r="I322" t="str">
        <f t="shared" si="118"/>
        <v>&lt;services /&gt;&lt;setup /&gt;&lt;mod_time&gt;1500000010&lt;/mod_time&gt;&lt;uniqueid&gt;1&lt;/uniqueid&gt;&lt;/contact&gt;</v>
      </c>
      <c r="J322" t="str">
        <f t="shared" si="119"/>
        <v>&lt;services nid="1"&gt;&lt;email id="0" classifier="private"&gt;bcfvo@xs4all.nl&lt;/email&gt;&lt;/services&gt;&lt;setup /&gt;&lt;mod_time&gt;1500000010&lt;/mod_time&gt;&lt;uniqueid&gt;1&lt;/uniqueid&gt;&lt;/contact&gt;</v>
      </c>
      <c r="K322" s="5">
        <f t="shared" si="120"/>
        <v>0</v>
      </c>
      <c r="L322" s="5">
        <f t="shared" si="121"/>
        <v>0</v>
      </c>
      <c r="M322" s="5" t="str">
        <f>CONCATENATE(+Contacts!E322)</f>
        <v/>
      </c>
      <c r="N322" t="str">
        <f t="shared" si="122"/>
        <v>&lt;number id="0" prio="1" type="home"&gt;+31 104818927&lt;/number&gt;</v>
      </c>
      <c r="O322" s="5">
        <f t="shared" si="123"/>
        <v>1</v>
      </c>
      <c r="P322" s="5">
        <f t="shared" si="124"/>
        <v>1</v>
      </c>
      <c r="Q322" s="5" t="str">
        <f>CONCATENATE(+Contacts!G322)</f>
        <v>+31 104818927</v>
      </c>
      <c r="R322" t="str">
        <f t="shared" si="125"/>
        <v/>
      </c>
      <c r="S322" s="5">
        <f t="shared" si="126"/>
        <v>1</v>
      </c>
      <c r="T322" s="5">
        <f t="shared" si="127"/>
        <v>1</v>
      </c>
      <c r="U322" s="5" t="str">
        <f>CONCATENATE(+Contacts!H322)</f>
        <v/>
      </c>
      <c r="V322" t="str">
        <f t="shared" si="128"/>
        <v/>
      </c>
      <c r="W322" s="5">
        <f t="shared" si="129"/>
        <v>1</v>
      </c>
      <c r="X322" s="5">
        <f t="shared" si="130"/>
        <v>1</v>
      </c>
      <c r="Y322" s="5" t="str">
        <f>CONCATENATE(+Contacts!F322)</f>
        <v/>
      </c>
      <c r="Z322" s="2" t="str">
        <f t="shared" si="131"/>
        <v xml:space="preserve">Oosthoek, Dirk   </v>
      </c>
      <c r="AA322" s="2" t="str">
        <f>CONCATENATE(+Contacts!C322)</f>
        <v>Oosthoek</v>
      </c>
      <c r="AB322" s="2" t="str">
        <f t="shared" si="132"/>
        <v xml:space="preserve">, </v>
      </c>
      <c r="AC322" s="2" t="str">
        <f>CONCATENATE(+Contacts!A322)</f>
        <v>Dirk</v>
      </c>
      <c r="AD322" s="3" t="str">
        <f>CONCATENATE(" ",+Contacts!B322)</f>
        <v xml:space="preserve"> </v>
      </c>
      <c r="AE322" s="2" t="str">
        <f t="shared" si="133"/>
        <v xml:space="preserve"> </v>
      </c>
      <c r="AF322" s="3" t="str">
        <f>CONCATENATE(+Contacts!D322)</f>
        <v/>
      </c>
      <c r="AG322" s="2" t="str">
        <f t="shared" si="134"/>
        <v xml:space="preserve"> </v>
      </c>
      <c r="AH322" t="str">
        <f>CONCATENATE(+Contacts!I322)</f>
        <v>bcfvo@xs4all.nl</v>
      </c>
      <c r="AI322">
        <v>1500000010</v>
      </c>
      <c r="AJ322" s="5">
        <f t="shared" si="135"/>
        <v>1</v>
      </c>
    </row>
    <row r="323" spans="1:36" x14ac:dyDescent="0.35">
      <c r="A323" s="7" t="str">
        <f t="shared" ref="A323:A386" si="136">IF(+W323 = 0,"",+D323)</f>
        <v>&lt;contact&gt;&lt;category&gt;0&lt;/category&gt;&lt;person&gt;&lt;realName&gt;Opa  (Restaurant)&lt;/realName&gt;&lt;/person&gt;</v>
      </c>
      <c r="B323" s="7" t="str">
        <f t="shared" ref="B323:B386" si="137">IF(+W323 = 0,"",+E323)</f>
        <v>&lt;telephony nid="1"&gt;&lt;number id="0" prio="1" type="work"&gt;+31 104130094&lt;/number&gt;&lt;/telephony&gt;</v>
      </c>
      <c r="C323" s="7" t="str">
        <f t="shared" ref="C323:C386" si="138">IF(+W323 = 0,"",+J323)</f>
        <v>&lt;services /&gt;&lt;setup /&gt;&lt;mod_time&gt;1500000010&lt;/mod_time&gt;&lt;uniqueid&gt;1&lt;/uniqueid&gt;&lt;/contact&gt;</v>
      </c>
      <c r="D323" t="str">
        <f t="shared" ref="D323:D386" si="139">CONCATENATE("&lt;contact&gt;&lt;category&gt;0&lt;/category&gt;&lt;person&gt;&lt;realName&gt;",+Z323,"&lt;/realName&gt;&lt;/person&gt;")</f>
        <v>&lt;contact&gt;&lt;category&gt;0&lt;/category&gt;&lt;person&gt;&lt;realName&gt;Opa  (Restaurant)&lt;/realName&gt;&lt;/person&gt;</v>
      </c>
      <c r="E323" t="str">
        <f t="shared" ref="E323:E386" si="140">CONCATENATE(+F323,+G323,+N323,+R323,+V323,"&lt;/telephony&gt;")</f>
        <v>&lt;telephony nid="1"&gt;&lt;number id="0" prio="1" type="work"&gt;+31 104130094&lt;/number&gt;&lt;/telephony&gt;</v>
      </c>
      <c r="F323" t="str">
        <f t="shared" ref="F323:F386" si="141">CONCATENATE("&lt;telephony nid=""",+W323,"""&gt;")</f>
        <v>&lt;telephony nid="1"&gt;</v>
      </c>
      <c r="G323" t="str">
        <f t="shared" ref="G323:G386" si="142">IF(+K323 &gt; 0,+CONCATENATE("&lt;number id=""",+K323-1,""" prio=""",+L323,""" type=""work""&gt;",+M323,"&lt;/number&gt;"),"")</f>
        <v>&lt;number id="0" prio="1" type="work"&gt;+31 104130094&lt;/number&gt;</v>
      </c>
      <c r="H323" t="str">
        <f t="shared" ref="H323:H386" si="143">CONCATENATE("&lt;services nid=""1""&gt;&lt;email id=""0"" classifier=""private""&gt;",+AH323,"&lt;/email&gt;&lt;/services&gt;&lt;setup /&gt;&lt;mod_time&gt;",+AI323,"&lt;/mod_time&gt;&lt;uniqueid&gt;",+AJ323,"&lt;/uniqueid&gt;&lt;/contact&gt;")</f>
        <v>&lt;services nid="1"&gt;&lt;email id="0" classifier="private"&gt;&lt;/email&gt;&lt;/services&gt;&lt;setup /&gt;&lt;mod_time&gt;1500000010&lt;/mod_time&gt;&lt;uniqueid&gt;1&lt;/uniqueid&gt;&lt;/contact&gt;</v>
      </c>
      <c r="I323" t="str">
        <f t="shared" ref="I323:I386" si="144">CONCATENATE("&lt;services /&gt;&lt;setup /&gt;&lt;mod_time&gt;",+AI323,"&lt;/mod_time&gt;&lt;uniqueid&gt;",+AJ323,"&lt;/uniqueid&gt;&lt;/contact&gt;")</f>
        <v>&lt;services /&gt;&lt;setup /&gt;&lt;mod_time&gt;1500000010&lt;/mod_time&gt;&lt;uniqueid&gt;1&lt;/uniqueid&gt;&lt;/contact&gt;</v>
      </c>
      <c r="J323" t="str">
        <f t="shared" ref="J323:J386" si="145">+IF(+AH323 = "",+I323,+H323)</f>
        <v>&lt;services /&gt;&lt;setup /&gt;&lt;mod_time&gt;1500000010&lt;/mod_time&gt;&lt;uniqueid&gt;1&lt;/uniqueid&gt;&lt;/contact&gt;</v>
      </c>
      <c r="K323" s="5">
        <f t="shared" ref="K323:K386" si="146">IF(+M323 = "",0,1)</f>
        <v>1</v>
      </c>
      <c r="L323" s="5">
        <f t="shared" ref="L323:L386" si="147">IF(+K323 = 1,1,0)</f>
        <v>1</v>
      </c>
      <c r="M323" s="5" t="str">
        <f>CONCATENATE(+Contacts!E323)</f>
        <v>+31 104130094</v>
      </c>
      <c r="N323" t="str">
        <f t="shared" ref="N323:N386" si="148">IF(+O323 &gt; +K323,+CONCATENATE("&lt;number id=""",+O323-1,""" prio=""",+P323,""" type=""home""&gt;",+Q323,"&lt;/number&gt;"),"")</f>
        <v/>
      </c>
      <c r="O323" s="5">
        <f t="shared" ref="O323:O386" si="149">IF(+Q323 = "",+K323,+K323+1)</f>
        <v>1</v>
      </c>
      <c r="P323" s="5">
        <f t="shared" ref="P323:P386" si="150">IF(+O323 = 1,1,0)</f>
        <v>1</v>
      </c>
      <c r="Q323" s="5" t="str">
        <f>CONCATENATE(+Contacts!G323)</f>
        <v/>
      </c>
      <c r="R323" t="str">
        <f t="shared" ref="R323:R386" si="151">IF(+S323 &gt; +O323,+CONCATENATE("&lt;number id=""",+S323-1,""" prio=""",+T323,""" type=""mobile""&gt;",+U323,"&lt;/number&gt;"),"")</f>
        <v/>
      </c>
      <c r="S323" s="5">
        <f t="shared" ref="S323:S386" si="152">IF(+U323 = "",+O323,+O323+1)</f>
        <v>1</v>
      </c>
      <c r="T323" s="5">
        <f t="shared" ref="T323:T386" si="153">IF(+S323 = 1,1,0)</f>
        <v>1</v>
      </c>
      <c r="U323" s="5" t="str">
        <f>CONCATENATE(+Contacts!H323)</f>
        <v/>
      </c>
      <c r="V323" t="str">
        <f t="shared" ref="V323:V386" si="154">IF(+W323 &gt; +S323,+CONCATENATE("&lt;number id=""",+W323-1,""" prio=""",+X323,""" type=""work""&gt;",+Y323,"&lt;/number&gt;"),"")</f>
        <v/>
      </c>
      <c r="W323" s="5">
        <f t="shared" ref="W323:W386" si="155">IF(+Y323 = "",+S323,+S323+1)</f>
        <v>1</v>
      </c>
      <c r="X323" s="5">
        <f t="shared" ref="X323:X386" si="156">IF(+W323 = 1,1,0)</f>
        <v>1</v>
      </c>
      <c r="Y323" s="5" t="str">
        <f>CONCATENATE(+Contacts!F323)</f>
        <v/>
      </c>
      <c r="Z323" s="2" t="str">
        <f t="shared" ref="Z323:Z386" si="157">CONCATENATE(+AA323,+AB323,+AC323,+AD323,+AE323,+AF323,+AG323)</f>
        <v>Opa  (Restaurant)</v>
      </c>
      <c r="AA323" s="2" t="str">
        <f>CONCATENATE(+Contacts!C323)</f>
        <v>Opa</v>
      </c>
      <c r="AB323" s="2" t="str">
        <f t="shared" ref="AB323:AB386" si="158">IF(+AC323 = ""," ",", ")</f>
        <v xml:space="preserve"> </v>
      </c>
      <c r="AC323" s="2" t="str">
        <f>CONCATENATE(+Contacts!A323)</f>
        <v/>
      </c>
      <c r="AD323" s="3" t="str">
        <f>CONCATENATE(" ",+Contacts!B323)</f>
        <v xml:space="preserve"> </v>
      </c>
      <c r="AE323" s="2" t="str">
        <f t="shared" ref="AE323:AE386" si="159">IF(+AF323 = ""," ","(")</f>
        <v>(</v>
      </c>
      <c r="AF323" s="3" t="str">
        <f>CONCATENATE(+Contacts!D323)</f>
        <v>Restaurant</v>
      </c>
      <c r="AG323" s="2" t="str">
        <f t="shared" ref="AG323:AG386" si="160">IF(+AF323 = ""," ",")")</f>
        <v>)</v>
      </c>
      <c r="AH323" t="str">
        <f>CONCATENATE(+Contacts!I323)</f>
        <v/>
      </c>
      <c r="AI323">
        <v>1500000010</v>
      </c>
      <c r="AJ323" s="5">
        <f t="shared" ref="AJ323:AJ386" si="161">IF(+W323 = 0,0,1)</f>
        <v>1</v>
      </c>
    </row>
    <row r="324" spans="1:36" x14ac:dyDescent="0.35">
      <c r="A324" s="7" t="str">
        <f t="shared" si="136"/>
        <v>&lt;contact&gt;&lt;category&gt;0&lt;/category&gt;&lt;person&gt;&lt;realName&gt;Otto, Arda   &lt;/realName&gt;&lt;/person&gt;</v>
      </c>
      <c r="B324" s="7" t="str">
        <f t="shared" si="137"/>
        <v>&lt;telephony nid="1"&gt;&lt;number id="0" prio="1" type="home"&gt;+31 186660768&lt;/number&gt;&lt;/telephony&gt;</v>
      </c>
      <c r="C324" s="7" t="str">
        <f t="shared" si="138"/>
        <v>&lt;services /&gt;&lt;setup /&gt;&lt;mod_time&gt;1500000010&lt;/mod_time&gt;&lt;uniqueid&gt;1&lt;/uniqueid&gt;&lt;/contact&gt;</v>
      </c>
      <c r="D324" t="str">
        <f t="shared" si="139"/>
        <v>&lt;contact&gt;&lt;category&gt;0&lt;/category&gt;&lt;person&gt;&lt;realName&gt;Otto, Arda   &lt;/realName&gt;&lt;/person&gt;</v>
      </c>
      <c r="E324" t="str">
        <f t="shared" si="140"/>
        <v>&lt;telephony nid="1"&gt;&lt;number id="0" prio="1" type="home"&gt;+31 186660768&lt;/number&gt;&lt;/telephony&gt;</v>
      </c>
      <c r="F324" t="str">
        <f t="shared" si="141"/>
        <v>&lt;telephony nid="1"&gt;</v>
      </c>
      <c r="G324" t="str">
        <f t="shared" si="142"/>
        <v/>
      </c>
      <c r="H324" t="str">
        <f t="shared" si="143"/>
        <v>&lt;services nid="1"&gt;&lt;email id="0" classifier="private"&gt;&lt;/email&gt;&lt;/services&gt;&lt;setup /&gt;&lt;mod_time&gt;1500000010&lt;/mod_time&gt;&lt;uniqueid&gt;1&lt;/uniqueid&gt;&lt;/contact&gt;</v>
      </c>
      <c r="I324" t="str">
        <f t="shared" si="144"/>
        <v>&lt;services /&gt;&lt;setup /&gt;&lt;mod_time&gt;1500000010&lt;/mod_time&gt;&lt;uniqueid&gt;1&lt;/uniqueid&gt;&lt;/contact&gt;</v>
      </c>
      <c r="J324" t="str">
        <f t="shared" si="145"/>
        <v>&lt;services /&gt;&lt;setup /&gt;&lt;mod_time&gt;1500000010&lt;/mod_time&gt;&lt;uniqueid&gt;1&lt;/uniqueid&gt;&lt;/contact&gt;</v>
      </c>
      <c r="K324" s="5">
        <f t="shared" si="146"/>
        <v>0</v>
      </c>
      <c r="L324" s="5">
        <f t="shared" si="147"/>
        <v>0</v>
      </c>
      <c r="M324" s="5" t="str">
        <f>CONCATENATE(+Contacts!E324)</f>
        <v/>
      </c>
      <c r="N324" t="str">
        <f t="shared" si="148"/>
        <v>&lt;number id="0" prio="1" type="home"&gt;+31 186660768&lt;/number&gt;</v>
      </c>
      <c r="O324" s="5">
        <f t="shared" si="149"/>
        <v>1</v>
      </c>
      <c r="P324" s="5">
        <f t="shared" si="150"/>
        <v>1</v>
      </c>
      <c r="Q324" s="5" t="str">
        <f>CONCATENATE(+Contacts!G324)</f>
        <v>+31 186660768</v>
      </c>
      <c r="R324" t="str">
        <f t="shared" si="151"/>
        <v/>
      </c>
      <c r="S324" s="5">
        <f t="shared" si="152"/>
        <v>1</v>
      </c>
      <c r="T324" s="5">
        <f t="shared" si="153"/>
        <v>1</v>
      </c>
      <c r="U324" s="5" t="str">
        <f>CONCATENATE(+Contacts!H324)</f>
        <v/>
      </c>
      <c r="V324" t="str">
        <f t="shared" si="154"/>
        <v/>
      </c>
      <c r="W324" s="5">
        <f t="shared" si="155"/>
        <v>1</v>
      </c>
      <c r="X324" s="5">
        <f t="shared" si="156"/>
        <v>1</v>
      </c>
      <c r="Y324" s="5" t="str">
        <f>CONCATENATE(+Contacts!F324)</f>
        <v/>
      </c>
      <c r="Z324" s="2" t="str">
        <f t="shared" si="157"/>
        <v xml:space="preserve">Otto, Arda   </v>
      </c>
      <c r="AA324" s="2" t="str">
        <f>CONCATENATE(+Contacts!C324)</f>
        <v>Otto</v>
      </c>
      <c r="AB324" s="2" t="str">
        <f t="shared" si="158"/>
        <v xml:space="preserve">, </v>
      </c>
      <c r="AC324" s="2" t="str">
        <f>CONCATENATE(+Contacts!A324)</f>
        <v>Arda</v>
      </c>
      <c r="AD324" s="3" t="str">
        <f>CONCATENATE(" ",+Contacts!B324)</f>
        <v xml:space="preserve"> </v>
      </c>
      <c r="AE324" s="2" t="str">
        <f t="shared" si="159"/>
        <v xml:space="preserve"> </v>
      </c>
      <c r="AF324" s="3" t="str">
        <f>CONCATENATE(+Contacts!D324)</f>
        <v/>
      </c>
      <c r="AG324" s="2" t="str">
        <f t="shared" si="160"/>
        <v xml:space="preserve"> </v>
      </c>
      <c r="AH324" t="str">
        <f>CONCATENATE(+Contacts!I324)</f>
        <v/>
      </c>
      <c r="AI324">
        <v>1500000010</v>
      </c>
      <c r="AJ324" s="5">
        <f t="shared" si="161"/>
        <v>1</v>
      </c>
    </row>
    <row r="325" spans="1:36" x14ac:dyDescent="0.35">
      <c r="A325" s="7" t="str">
        <f t="shared" si="136"/>
        <v>&lt;contact&gt;&lt;category&gt;0&lt;/category&gt;&lt;person&gt;&lt;realName&gt;Otto, Arda   &lt;/realName&gt;&lt;/person&gt;</v>
      </c>
      <c r="B325" s="7" t="str">
        <f t="shared" si="137"/>
        <v>&lt;telephony nid="1"&gt;&lt;number id="0" prio="1" type="mobile"&gt;(06) 18 92 59 94&lt;/number&gt;&lt;/telephony&gt;</v>
      </c>
      <c r="C325" s="7" t="str">
        <f t="shared" si="138"/>
        <v>&lt;services /&gt;&lt;setup /&gt;&lt;mod_time&gt;1500000010&lt;/mod_time&gt;&lt;uniqueid&gt;1&lt;/uniqueid&gt;&lt;/contact&gt;</v>
      </c>
      <c r="D325" t="str">
        <f t="shared" si="139"/>
        <v>&lt;contact&gt;&lt;category&gt;0&lt;/category&gt;&lt;person&gt;&lt;realName&gt;Otto, Arda   &lt;/realName&gt;&lt;/person&gt;</v>
      </c>
      <c r="E325" t="str">
        <f t="shared" si="140"/>
        <v>&lt;telephony nid="1"&gt;&lt;number id="0" prio="1" type="mobile"&gt;(06) 18 92 59 94&lt;/number&gt;&lt;/telephony&gt;</v>
      </c>
      <c r="F325" t="str">
        <f t="shared" si="141"/>
        <v>&lt;telephony nid="1"&gt;</v>
      </c>
      <c r="G325" t="str">
        <f t="shared" si="142"/>
        <v/>
      </c>
      <c r="H325" t="str">
        <f t="shared" si="143"/>
        <v>&lt;services nid="1"&gt;&lt;email id="0" classifier="private"&gt;&lt;/email&gt;&lt;/services&gt;&lt;setup /&gt;&lt;mod_time&gt;1500000010&lt;/mod_time&gt;&lt;uniqueid&gt;1&lt;/uniqueid&gt;&lt;/contact&gt;</v>
      </c>
      <c r="I325" t="str">
        <f t="shared" si="144"/>
        <v>&lt;services /&gt;&lt;setup /&gt;&lt;mod_time&gt;1500000010&lt;/mod_time&gt;&lt;uniqueid&gt;1&lt;/uniqueid&gt;&lt;/contact&gt;</v>
      </c>
      <c r="J325" t="str">
        <f t="shared" si="145"/>
        <v>&lt;services /&gt;&lt;setup /&gt;&lt;mod_time&gt;1500000010&lt;/mod_time&gt;&lt;uniqueid&gt;1&lt;/uniqueid&gt;&lt;/contact&gt;</v>
      </c>
      <c r="K325" s="5">
        <f t="shared" si="146"/>
        <v>0</v>
      </c>
      <c r="L325" s="5">
        <f t="shared" si="147"/>
        <v>0</v>
      </c>
      <c r="M325" s="5" t="str">
        <f>CONCATENATE(+Contacts!E325)</f>
        <v/>
      </c>
      <c r="N325" t="str">
        <f t="shared" si="148"/>
        <v/>
      </c>
      <c r="O325" s="5">
        <f t="shared" si="149"/>
        <v>0</v>
      </c>
      <c r="P325" s="5">
        <f t="shared" si="150"/>
        <v>0</v>
      </c>
      <c r="Q325" s="5" t="str">
        <f>CONCATENATE(+Contacts!G325)</f>
        <v/>
      </c>
      <c r="R325" t="str">
        <f t="shared" si="151"/>
        <v>&lt;number id="0" prio="1" type="mobile"&gt;(06) 18 92 59 94&lt;/number&gt;</v>
      </c>
      <c r="S325" s="5">
        <f t="shared" si="152"/>
        <v>1</v>
      </c>
      <c r="T325" s="5">
        <f t="shared" si="153"/>
        <v>1</v>
      </c>
      <c r="U325" s="5" t="str">
        <f>CONCATENATE(+Contacts!H325)</f>
        <v>(06) 18 92 59 94</v>
      </c>
      <c r="V325" t="str">
        <f t="shared" si="154"/>
        <v/>
      </c>
      <c r="W325" s="5">
        <f t="shared" si="155"/>
        <v>1</v>
      </c>
      <c r="X325" s="5">
        <f t="shared" si="156"/>
        <v>1</v>
      </c>
      <c r="Y325" s="5" t="str">
        <f>CONCATENATE(+Contacts!F325)</f>
        <v/>
      </c>
      <c r="Z325" s="2" t="str">
        <f t="shared" si="157"/>
        <v xml:space="preserve">Otto, Arda   </v>
      </c>
      <c r="AA325" s="2" t="str">
        <f>CONCATENATE(+Contacts!C325)</f>
        <v>Otto</v>
      </c>
      <c r="AB325" s="2" t="str">
        <f t="shared" si="158"/>
        <v xml:space="preserve">, </v>
      </c>
      <c r="AC325" s="2" t="str">
        <f>CONCATENATE(+Contacts!A325)</f>
        <v>Arda</v>
      </c>
      <c r="AD325" s="3" t="str">
        <f>CONCATENATE(" ",+Contacts!B325)</f>
        <v xml:space="preserve"> </v>
      </c>
      <c r="AE325" s="2" t="str">
        <f t="shared" si="159"/>
        <v xml:space="preserve"> </v>
      </c>
      <c r="AF325" s="3" t="str">
        <f>CONCATENATE(+Contacts!D325)</f>
        <v/>
      </c>
      <c r="AG325" s="2" t="str">
        <f t="shared" si="160"/>
        <v xml:space="preserve"> </v>
      </c>
      <c r="AH325" t="str">
        <f>CONCATENATE(+Contacts!I325)</f>
        <v/>
      </c>
      <c r="AI325">
        <v>1500000010</v>
      </c>
      <c r="AJ325" s="5">
        <f t="shared" si="161"/>
        <v>1</v>
      </c>
    </row>
    <row r="326" spans="1:36" x14ac:dyDescent="0.35">
      <c r="A326" s="7" t="str">
        <f t="shared" si="136"/>
        <v>&lt;contact&gt;&lt;category&gt;0&lt;/category&gt;&lt;person&gt;&lt;realName&gt;Otto, Bert   &lt;/realName&gt;&lt;/person&gt;</v>
      </c>
      <c r="B326" s="7" t="str">
        <f t="shared" si="137"/>
        <v>&lt;telephony nid="2"&gt;&lt;number id="0" prio="1" type="home"&gt;+31 186660768&lt;/number&gt;&lt;number id="1" prio="0" type="mobile"&gt;+31 618845010&lt;/number&gt;&lt;/telephony&gt;</v>
      </c>
      <c r="C326" s="7" t="str">
        <f t="shared" si="138"/>
        <v>&lt;services nid="1"&gt;&lt;email id="0" classifier="private"&gt;hajotto@hetnet.nl&lt;/email&gt;&lt;/services&gt;&lt;setup /&gt;&lt;mod_time&gt;1500000010&lt;/mod_time&gt;&lt;uniqueid&gt;1&lt;/uniqueid&gt;&lt;/contact&gt;</v>
      </c>
      <c r="D326" t="str">
        <f t="shared" si="139"/>
        <v>&lt;contact&gt;&lt;category&gt;0&lt;/category&gt;&lt;person&gt;&lt;realName&gt;Otto, Bert   &lt;/realName&gt;&lt;/person&gt;</v>
      </c>
      <c r="E326" t="str">
        <f t="shared" si="140"/>
        <v>&lt;telephony nid="2"&gt;&lt;number id="0" prio="1" type="home"&gt;+31 186660768&lt;/number&gt;&lt;number id="1" prio="0" type="mobile"&gt;+31 618845010&lt;/number&gt;&lt;/telephony&gt;</v>
      </c>
      <c r="F326" t="str">
        <f t="shared" si="141"/>
        <v>&lt;telephony nid="2"&gt;</v>
      </c>
      <c r="G326" t="str">
        <f t="shared" si="142"/>
        <v/>
      </c>
      <c r="H326" t="str">
        <f t="shared" si="143"/>
        <v>&lt;services nid="1"&gt;&lt;email id="0" classifier="private"&gt;hajotto@hetnet.nl&lt;/email&gt;&lt;/services&gt;&lt;setup /&gt;&lt;mod_time&gt;1500000010&lt;/mod_time&gt;&lt;uniqueid&gt;1&lt;/uniqueid&gt;&lt;/contact&gt;</v>
      </c>
      <c r="I326" t="str">
        <f t="shared" si="144"/>
        <v>&lt;services /&gt;&lt;setup /&gt;&lt;mod_time&gt;1500000010&lt;/mod_time&gt;&lt;uniqueid&gt;1&lt;/uniqueid&gt;&lt;/contact&gt;</v>
      </c>
      <c r="J326" t="str">
        <f t="shared" si="145"/>
        <v>&lt;services nid="1"&gt;&lt;email id="0" classifier="private"&gt;hajotto@hetnet.nl&lt;/email&gt;&lt;/services&gt;&lt;setup /&gt;&lt;mod_time&gt;1500000010&lt;/mod_time&gt;&lt;uniqueid&gt;1&lt;/uniqueid&gt;&lt;/contact&gt;</v>
      </c>
      <c r="K326" s="5">
        <f t="shared" si="146"/>
        <v>0</v>
      </c>
      <c r="L326" s="5">
        <f t="shared" si="147"/>
        <v>0</v>
      </c>
      <c r="M326" s="5" t="str">
        <f>CONCATENATE(+Contacts!E326)</f>
        <v/>
      </c>
      <c r="N326" t="str">
        <f t="shared" si="148"/>
        <v>&lt;number id="0" prio="1" type="home"&gt;+31 186660768&lt;/number&gt;</v>
      </c>
      <c r="O326" s="5">
        <f t="shared" si="149"/>
        <v>1</v>
      </c>
      <c r="P326" s="5">
        <f t="shared" si="150"/>
        <v>1</v>
      </c>
      <c r="Q326" s="5" t="str">
        <f>CONCATENATE(+Contacts!G326)</f>
        <v>+31 186660768</v>
      </c>
      <c r="R326" t="str">
        <f t="shared" si="151"/>
        <v>&lt;number id="1" prio="0" type="mobile"&gt;+31 618845010&lt;/number&gt;</v>
      </c>
      <c r="S326" s="5">
        <f t="shared" si="152"/>
        <v>2</v>
      </c>
      <c r="T326" s="5">
        <f t="shared" si="153"/>
        <v>0</v>
      </c>
      <c r="U326" s="5" t="str">
        <f>CONCATENATE(+Contacts!H326)</f>
        <v>+31 618845010</v>
      </c>
      <c r="V326" t="str">
        <f t="shared" si="154"/>
        <v/>
      </c>
      <c r="W326" s="5">
        <f t="shared" si="155"/>
        <v>2</v>
      </c>
      <c r="X326" s="5">
        <f t="shared" si="156"/>
        <v>0</v>
      </c>
      <c r="Y326" s="5" t="str">
        <f>CONCATENATE(+Contacts!F326)</f>
        <v/>
      </c>
      <c r="Z326" s="2" t="str">
        <f t="shared" si="157"/>
        <v xml:space="preserve">Otto, Bert   </v>
      </c>
      <c r="AA326" s="2" t="str">
        <f>CONCATENATE(+Contacts!C326)</f>
        <v>Otto</v>
      </c>
      <c r="AB326" s="2" t="str">
        <f t="shared" si="158"/>
        <v xml:space="preserve">, </v>
      </c>
      <c r="AC326" s="2" t="str">
        <f>CONCATENATE(+Contacts!A326)</f>
        <v>Bert</v>
      </c>
      <c r="AD326" s="3" t="str">
        <f>CONCATENATE(" ",+Contacts!B326)</f>
        <v xml:space="preserve"> </v>
      </c>
      <c r="AE326" s="2" t="str">
        <f t="shared" si="159"/>
        <v xml:space="preserve"> </v>
      </c>
      <c r="AF326" s="3" t="str">
        <f>CONCATENATE(+Contacts!D326)</f>
        <v/>
      </c>
      <c r="AG326" s="2" t="str">
        <f t="shared" si="160"/>
        <v xml:space="preserve"> </v>
      </c>
      <c r="AH326" t="str">
        <f>CONCATENATE(+Contacts!I326)</f>
        <v>hajotto@hetnet.nl</v>
      </c>
      <c r="AI326">
        <v>1500000010</v>
      </c>
      <c r="AJ326" s="5">
        <f t="shared" si="161"/>
        <v>1</v>
      </c>
    </row>
    <row r="327" spans="1:36" x14ac:dyDescent="0.35">
      <c r="A327" s="7" t="str">
        <f t="shared" si="136"/>
        <v>&lt;contact&gt;&lt;category&gt;0&lt;/category&gt;&lt;person&gt;&lt;realName&gt;Ouden-van der Kooy, Marius &amp;amp; Anke den  &lt;/realName&gt;&lt;/person&gt;</v>
      </c>
      <c r="B327" s="7" t="str">
        <f t="shared" si="137"/>
        <v>&lt;telephony nid="1"&gt;&lt;number id="0" prio="1" type="home"&gt;+31 492462505&lt;/number&gt;&lt;/telephony&gt;</v>
      </c>
      <c r="C327" s="7" t="str">
        <f t="shared" si="138"/>
        <v>&lt;services nid="1"&gt;&lt;email id="0" classifier="private"&gt;mariusdenouden@hotmail.com&lt;/email&gt;&lt;/services&gt;&lt;setup /&gt;&lt;mod_time&gt;1500000010&lt;/mod_time&gt;&lt;uniqueid&gt;1&lt;/uniqueid&gt;&lt;/contact&gt;</v>
      </c>
      <c r="D327" t="str">
        <f t="shared" si="139"/>
        <v>&lt;contact&gt;&lt;category&gt;0&lt;/category&gt;&lt;person&gt;&lt;realName&gt;Ouden-van der Kooy, Marius &amp;amp; Anke den  &lt;/realName&gt;&lt;/person&gt;</v>
      </c>
      <c r="E327" t="str">
        <f t="shared" si="140"/>
        <v>&lt;telephony nid="1"&gt;&lt;number id="0" prio="1" type="home"&gt;+31 492462505&lt;/number&gt;&lt;/telephony&gt;</v>
      </c>
      <c r="F327" t="str">
        <f t="shared" si="141"/>
        <v>&lt;telephony nid="1"&gt;</v>
      </c>
      <c r="G327" t="str">
        <f t="shared" si="142"/>
        <v/>
      </c>
      <c r="H327" t="str">
        <f t="shared" si="143"/>
        <v>&lt;services nid="1"&gt;&lt;email id="0" classifier="private"&gt;mariusdenouden@hotmail.com&lt;/email&gt;&lt;/services&gt;&lt;setup /&gt;&lt;mod_time&gt;1500000010&lt;/mod_time&gt;&lt;uniqueid&gt;1&lt;/uniqueid&gt;&lt;/contact&gt;</v>
      </c>
      <c r="I327" t="str">
        <f t="shared" si="144"/>
        <v>&lt;services /&gt;&lt;setup /&gt;&lt;mod_time&gt;1500000010&lt;/mod_time&gt;&lt;uniqueid&gt;1&lt;/uniqueid&gt;&lt;/contact&gt;</v>
      </c>
      <c r="J327" t="str">
        <f t="shared" si="145"/>
        <v>&lt;services nid="1"&gt;&lt;email id="0" classifier="private"&gt;mariusdenouden@hotmail.com&lt;/email&gt;&lt;/services&gt;&lt;setup /&gt;&lt;mod_time&gt;1500000010&lt;/mod_time&gt;&lt;uniqueid&gt;1&lt;/uniqueid&gt;&lt;/contact&gt;</v>
      </c>
      <c r="K327" s="5">
        <f t="shared" si="146"/>
        <v>0</v>
      </c>
      <c r="L327" s="5">
        <f t="shared" si="147"/>
        <v>0</v>
      </c>
      <c r="M327" s="5" t="str">
        <f>CONCATENATE(+Contacts!E327)</f>
        <v/>
      </c>
      <c r="N327" t="str">
        <f t="shared" si="148"/>
        <v>&lt;number id="0" prio="1" type="home"&gt;+31 492462505&lt;/number&gt;</v>
      </c>
      <c r="O327" s="5">
        <f t="shared" si="149"/>
        <v>1</v>
      </c>
      <c r="P327" s="5">
        <f t="shared" si="150"/>
        <v>1</v>
      </c>
      <c r="Q327" s="5" t="str">
        <f>CONCATENATE(+Contacts!G327)</f>
        <v>+31 492462505</v>
      </c>
      <c r="R327" t="str">
        <f t="shared" si="151"/>
        <v/>
      </c>
      <c r="S327" s="5">
        <f t="shared" si="152"/>
        <v>1</v>
      </c>
      <c r="T327" s="5">
        <f t="shared" si="153"/>
        <v>1</v>
      </c>
      <c r="U327" s="5" t="str">
        <f>CONCATENATE(+Contacts!H327)</f>
        <v/>
      </c>
      <c r="V327" t="str">
        <f t="shared" si="154"/>
        <v/>
      </c>
      <c r="W327" s="5">
        <f t="shared" si="155"/>
        <v>1</v>
      </c>
      <c r="X327" s="5">
        <f t="shared" si="156"/>
        <v>1</v>
      </c>
      <c r="Y327" s="5" t="str">
        <f>CONCATENATE(+Contacts!F327)</f>
        <v/>
      </c>
      <c r="Z327" s="2" t="str">
        <f t="shared" si="157"/>
        <v xml:space="preserve">Ouden-van der Kooy, Marius &amp;amp; Anke den  </v>
      </c>
      <c r="AA327" s="2" t="str">
        <f>CONCATENATE(+Contacts!C327)</f>
        <v>Ouden-van der Kooy</v>
      </c>
      <c r="AB327" s="2" t="str">
        <f t="shared" si="158"/>
        <v xml:space="preserve">, </v>
      </c>
      <c r="AC327" s="2" t="str">
        <f>CONCATENATE(+Contacts!A327)</f>
        <v>Marius &amp;amp; Anke</v>
      </c>
      <c r="AD327" s="3" t="str">
        <f>CONCATENATE(" ",+Contacts!B327)</f>
        <v xml:space="preserve"> den</v>
      </c>
      <c r="AE327" s="2" t="str">
        <f t="shared" si="159"/>
        <v xml:space="preserve"> </v>
      </c>
      <c r="AF327" s="3" t="str">
        <f>CONCATENATE(+Contacts!D327)</f>
        <v/>
      </c>
      <c r="AG327" s="2" t="str">
        <f t="shared" si="160"/>
        <v xml:space="preserve"> </v>
      </c>
      <c r="AH327" t="str">
        <f>CONCATENATE(+Contacts!I327)</f>
        <v>mariusdenouden@hotmail.com</v>
      </c>
      <c r="AI327">
        <v>1500000010</v>
      </c>
      <c r="AJ327" s="5">
        <f t="shared" si="161"/>
        <v>1</v>
      </c>
    </row>
    <row r="328" spans="1:36" x14ac:dyDescent="0.35">
      <c r="A328" s="7" t="str">
        <f t="shared" si="136"/>
        <v>&lt;contact&gt;&lt;category&gt;0&lt;/category&gt;&lt;person&gt;&lt;realName&gt;Palumbo, Claudio   &lt;/realName&gt;&lt;/person&gt;</v>
      </c>
      <c r="B328" s="7" t="str">
        <f t="shared" si="137"/>
        <v>&lt;telephony nid="1"&gt;&lt;number id="0" prio="1" type="mobile"&gt;+33 635327986&lt;/number&gt;&lt;/telephony&gt;</v>
      </c>
      <c r="C328" s="7" t="str">
        <f t="shared" si="138"/>
        <v>&lt;services /&gt;&lt;setup /&gt;&lt;mod_time&gt;1500000010&lt;/mod_time&gt;&lt;uniqueid&gt;1&lt;/uniqueid&gt;&lt;/contact&gt;</v>
      </c>
      <c r="D328" t="str">
        <f t="shared" si="139"/>
        <v>&lt;contact&gt;&lt;category&gt;0&lt;/category&gt;&lt;person&gt;&lt;realName&gt;Palumbo, Claudio   &lt;/realName&gt;&lt;/person&gt;</v>
      </c>
      <c r="E328" t="str">
        <f t="shared" si="140"/>
        <v>&lt;telephony nid="1"&gt;&lt;number id="0" prio="1" type="mobile"&gt;+33 635327986&lt;/number&gt;&lt;/telephony&gt;</v>
      </c>
      <c r="F328" t="str">
        <f t="shared" si="141"/>
        <v>&lt;telephony nid="1"&gt;</v>
      </c>
      <c r="G328" t="str">
        <f t="shared" si="142"/>
        <v/>
      </c>
      <c r="H328" t="str">
        <f t="shared" si="143"/>
        <v>&lt;services nid="1"&gt;&lt;email id="0" classifier="private"&gt;&lt;/email&gt;&lt;/services&gt;&lt;setup /&gt;&lt;mod_time&gt;1500000010&lt;/mod_time&gt;&lt;uniqueid&gt;1&lt;/uniqueid&gt;&lt;/contact&gt;</v>
      </c>
      <c r="I328" t="str">
        <f t="shared" si="144"/>
        <v>&lt;services /&gt;&lt;setup /&gt;&lt;mod_time&gt;1500000010&lt;/mod_time&gt;&lt;uniqueid&gt;1&lt;/uniqueid&gt;&lt;/contact&gt;</v>
      </c>
      <c r="J328" t="str">
        <f t="shared" si="145"/>
        <v>&lt;services /&gt;&lt;setup /&gt;&lt;mod_time&gt;1500000010&lt;/mod_time&gt;&lt;uniqueid&gt;1&lt;/uniqueid&gt;&lt;/contact&gt;</v>
      </c>
      <c r="K328" s="5">
        <f t="shared" si="146"/>
        <v>0</v>
      </c>
      <c r="L328" s="5">
        <f t="shared" si="147"/>
        <v>0</v>
      </c>
      <c r="M328" s="5" t="str">
        <f>CONCATENATE(+Contacts!E328)</f>
        <v/>
      </c>
      <c r="N328" t="str">
        <f t="shared" si="148"/>
        <v/>
      </c>
      <c r="O328" s="5">
        <f t="shared" si="149"/>
        <v>0</v>
      </c>
      <c r="P328" s="5">
        <f t="shared" si="150"/>
        <v>0</v>
      </c>
      <c r="Q328" s="5" t="str">
        <f>CONCATENATE(+Contacts!G328)</f>
        <v/>
      </c>
      <c r="R328" t="str">
        <f t="shared" si="151"/>
        <v>&lt;number id="0" prio="1" type="mobile"&gt;+33 635327986&lt;/number&gt;</v>
      </c>
      <c r="S328" s="5">
        <f t="shared" si="152"/>
        <v>1</v>
      </c>
      <c r="T328" s="5">
        <f t="shared" si="153"/>
        <v>1</v>
      </c>
      <c r="U328" s="5" t="str">
        <f>CONCATENATE(+Contacts!H328)</f>
        <v>+33 635327986</v>
      </c>
      <c r="V328" t="str">
        <f t="shared" si="154"/>
        <v/>
      </c>
      <c r="W328" s="5">
        <f t="shared" si="155"/>
        <v>1</v>
      </c>
      <c r="X328" s="5">
        <f t="shared" si="156"/>
        <v>1</v>
      </c>
      <c r="Y328" s="5" t="str">
        <f>CONCATENATE(+Contacts!F328)</f>
        <v/>
      </c>
      <c r="Z328" s="2" t="str">
        <f t="shared" si="157"/>
        <v xml:space="preserve">Palumbo, Claudio   </v>
      </c>
      <c r="AA328" s="2" t="str">
        <f>CONCATENATE(+Contacts!C328)</f>
        <v>Palumbo</v>
      </c>
      <c r="AB328" s="2" t="str">
        <f t="shared" si="158"/>
        <v xml:space="preserve">, </v>
      </c>
      <c r="AC328" s="2" t="str">
        <f>CONCATENATE(+Contacts!A328)</f>
        <v>Claudio</v>
      </c>
      <c r="AD328" s="3" t="str">
        <f>CONCATENATE(" ",+Contacts!B328)</f>
        <v xml:space="preserve"> </v>
      </c>
      <c r="AE328" s="2" t="str">
        <f t="shared" si="159"/>
        <v xml:space="preserve"> </v>
      </c>
      <c r="AF328" s="3" t="str">
        <f>CONCATENATE(+Contacts!D328)</f>
        <v/>
      </c>
      <c r="AG328" s="2" t="str">
        <f t="shared" si="160"/>
        <v xml:space="preserve"> </v>
      </c>
      <c r="AH328" t="str">
        <f>CONCATENATE(+Contacts!I328)</f>
        <v/>
      </c>
      <c r="AI328">
        <v>1500000010</v>
      </c>
      <c r="AJ328" s="5">
        <f t="shared" si="161"/>
        <v>1</v>
      </c>
    </row>
    <row r="329" spans="1:36" x14ac:dyDescent="0.35">
      <c r="A329" s="7" t="str">
        <f t="shared" si="136"/>
        <v>&lt;contact&gt;&lt;category&gt;0&lt;/category&gt;&lt;person&gt;&lt;realName&gt;Parkline, Park-Line (Park-Line)&lt;/realName&gt;&lt;/person&gt;</v>
      </c>
      <c r="B329" s="7" t="str">
        <f t="shared" si="137"/>
        <v>&lt;telephony nid="1"&gt;&lt;number id="0" prio="1" type="work"&gt;4111&lt;/number&gt;&lt;/telephony&gt;</v>
      </c>
      <c r="C329" s="7" t="str">
        <f t="shared" si="138"/>
        <v>&lt;services /&gt;&lt;setup /&gt;&lt;mod_time&gt;1500000010&lt;/mod_time&gt;&lt;uniqueid&gt;1&lt;/uniqueid&gt;&lt;/contact&gt;</v>
      </c>
      <c r="D329" t="str">
        <f t="shared" si="139"/>
        <v>&lt;contact&gt;&lt;category&gt;0&lt;/category&gt;&lt;person&gt;&lt;realName&gt;Parkline, Park-Line (Park-Line)&lt;/realName&gt;&lt;/person&gt;</v>
      </c>
      <c r="E329" t="str">
        <f t="shared" si="140"/>
        <v>&lt;telephony nid="1"&gt;&lt;number id="0" prio="1" type="work"&gt;4111&lt;/number&gt;&lt;/telephony&gt;</v>
      </c>
      <c r="F329" t="str">
        <f t="shared" si="141"/>
        <v>&lt;telephony nid="1"&gt;</v>
      </c>
      <c r="G329" t="str">
        <f t="shared" si="142"/>
        <v>&lt;number id="0" prio="1" type="work"&gt;4111&lt;/number&gt;</v>
      </c>
      <c r="H329" t="str">
        <f t="shared" si="143"/>
        <v>&lt;services nid="1"&gt;&lt;email id="0" classifier="private"&gt;&lt;/email&gt;&lt;/services&gt;&lt;setup /&gt;&lt;mod_time&gt;1500000010&lt;/mod_time&gt;&lt;uniqueid&gt;1&lt;/uniqueid&gt;&lt;/contact&gt;</v>
      </c>
      <c r="I329" t="str">
        <f t="shared" si="144"/>
        <v>&lt;services /&gt;&lt;setup /&gt;&lt;mod_time&gt;1500000010&lt;/mod_time&gt;&lt;uniqueid&gt;1&lt;/uniqueid&gt;&lt;/contact&gt;</v>
      </c>
      <c r="J329" t="str">
        <f t="shared" si="145"/>
        <v>&lt;services /&gt;&lt;setup /&gt;&lt;mod_time&gt;1500000010&lt;/mod_time&gt;&lt;uniqueid&gt;1&lt;/uniqueid&gt;&lt;/contact&gt;</v>
      </c>
      <c r="K329" s="5">
        <f t="shared" si="146"/>
        <v>1</v>
      </c>
      <c r="L329" s="5">
        <f t="shared" si="147"/>
        <v>1</v>
      </c>
      <c r="M329" s="5" t="str">
        <f>CONCATENATE(+Contacts!E329)</f>
        <v>4111</v>
      </c>
      <c r="N329" t="str">
        <f t="shared" si="148"/>
        <v/>
      </c>
      <c r="O329" s="5">
        <f t="shared" si="149"/>
        <v>1</v>
      </c>
      <c r="P329" s="5">
        <f t="shared" si="150"/>
        <v>1</v>
      </c>
      <c r="Q329" s="5" t="str">
        <f>CONCATENATE(+Contacts!G329)</f>
        <v/>
      </c>
      <c r="R329" t="str">
        <f t="shared" si="151"/>
        <v/>
      </c>
      <c r="S329" s="5">
        <f t="shared" si="152"/>
        <v>1</v>
      </c>
      <c r="T329" s="5">
        <f t="shared" si="153"/>
        <v>1</v>
      </c>
      <c r="U329" s="5" t="str">
        <f>CONCATENATE(+Contacts!H329)</f>
        <v/>
      </c>
      <c r="V329" t="str">
        <f t="shared" si="154"/>
        <v/>
      </c>
      <c r="W329" s="5">
        <f t="shared" si="155"/>
        <v>1</v>
      </c>
      <c r="X329" s="5">
        <f t="shared" si="156"/>
        <v>1</v>
      </c>
      <c r="Y329" s="5" t="str">
        <f>CONCATENATE(+Contacts!F329)</f>
        <v/>
      </c>
      <c r="Z329" s="2" t="str">
        <f t="shared" si="157"/>
        <v>Parkline, Park-Line (Park-Line)</v>
      </c>
      <c r="AA329" s="2" t="str">
        <f>CONCATENATE(+Contacts!C329)</f>
        <v>Parkline</v>
      </c>
      <c r="AB329" s="2" t="str">
        <f t="shared" si="158"/>
        <v xml:space="preserve">, </v>
      </c>
      <c r="AC329" s="2" t="str">
        <f>CONCATENATE(+Contacts!A329)</f>
        <v>Park-Line</v>
      </c>
      <c r="AD329" s="3" t="str">
        <f>CONCATENATE(" ",+Contacts!B329)</f>
        <v xml:space="preserve"> </v>
      </c>
      <c r="AE329" s="2" t="str">
        <f t="shared" si="159"/>
        <v>(</v>
      </c>
      <c r="AF329" s="3" t="str">
        <f>CONCATENATE(+Contacts!D329)</f>
        <v>Park-Line</v>
      </c>
      <c r="AG329" s="2" t="str">
        <f t="shared" si="160"/>
        <v>)</v>
      </c>
      <c r="AH329" t="str">
        <f>CONCATENATE(+Contacts!I329)</f>
        <v/>
      </c>
      <c r="AI329">
        <v>1500000010</v>
      </c>
      <c r="AJ329" s="5">
        <f t="shared" si="161"/>
        <v>1</v>
      </c>
    </row>
    <row r="330" spans="1:36" x14ac:dyDescent="0.35">
      <c r="A330" s="7" t="str">
        <f t="shared" si="136"/>
        <v>&lt;contact&gt;&lt;category&gt;0&lt;/category&gt;&lt;person&gt;&lt;realName&gt;Parker, Marion   &lt;/realName&gt;&lt;/person&gt;</v>
      </c>
      <c r="B330" s="7" t="str">
        <f t="shared" si="137"/>
        <v>&lt;telephony nid="1"&gt;&lt;number id="0" prio="1" type="home"&gt;+31 334806763&lt;/number&gt;&lt;/telephony&gt;</v>
      </c>
      <c r="C330" s="7" t="str">
        <f t="shared" si="138"/>
        <v>&lt;services /&gt;&lt;setup /&gt;&lt;mod_time&gt;1500000010&lt;/mod_time&gt;&lt;uniqueid&gt;1&lt;/uniqueid&gt;&lt;/contact&gt;</v>
      </c>
      <c r="D330" t="str">
        <f t="shared" si="139"/>
        <v>&lt;contact&gt;&lt;category&gt;0&lt;/category&gt;&lt;person&gt;&lt;realName&gt;Parker, Marion   &lt;/realName&gt;&lt;/person&gt;</v>
      </c>
      <c r="E330" t="str">
        <f t="shared" si="140"/>
        <v>&lt;telephony nid="1"&gt;&lt;number id="0" prio="1" type="home"&gt;+31 334806763&lt;/number&gt;&lt;/telephony&gt;</v>
      </c>
      <c r="F330" t="str">
        <f t="shared" si="141"/>
        <v>&lt;telephony nid="1"&gt;</v>
      </c>
      <c r="G330" t="str">
        <f t="shared" si="142"/>
        <v/>
      </c>
      <c r="H330" t="str">
        <f t="shared" si="143"/>
        <v>&lt;services nid="1"&gt;&lt;email id="0" classifier="private"&gt;&lt;/email&gt;&lt;/services&gt;&lt;setup /&gt;&lt;mod_time&gt;1500000010&lt;/mod_time&gt;&lt;uniqueid&gt;1&lt;/uniqueid&gt;&lt;/contact&gt;</v>
      </c>
      <c r="I330" t="str">
        <f t="shared" si="144"/>
        <v>&lt;services /&gt;&lt;setup /&gt;&lt;mod_time&gt;1500000010&lt;/mod_time&gt;&lt;uniqueid&gt;1&lt;/uniqueid&gt;&lt;/contact&gt;</v>
      </c>
      <c r="J330" t="str">
        <f t="shared" si="145"/>
        <v>&lt;services /&gt;&lt;setup /&gt;&lt;mod_time&gt;1500000010&lt;/mod_time&gt;&lt;uniqueid&gt;1&lt;/uniqueid&gt;&lt;/contact&gt;</v>
      </c>
      <c r="K330" s="5">
        <f t="shared" si="146"/>
        <v>0</v>
      </c>
      <c r="L330" s="5">
        <f t="shared" si="147"/>
        <v>0</v>
      </c>
      <c r="M330" s="5" t="str">
        <f>CONCATENATE(+Contacts!E330)</f>
        <v/>
      </c>
      <c r="N330" t="str">
        <f t="shared" si="148"/>
        <v>&lt;number id="0" prio="1" type="home"&gt;+31 334806763&lt;/number&gt;</v>
      </c>
      <c r="O330" s="5">
        <f t="shared" si="149"/>
        <v>1</v>
      </c>
      <c r="P330" s="5">
        <f t="shared" si="150"/>
        <v>1</v>
      </c>
      <c r="Q330" s="5" t="str">
        <f>CONCATENATE(+Contacts!G330)</f>
        <v>+31 334806763</v>
      </c>
      <c r="R330" t="str">
        <f t="shared" si="151"/>
        <v/>
      </c>
      <c r="S330" s="5">
        <f t="shared" si="152"/>
        <v>1</v>
      </c>
      <c r="T330" s="5">
        <f t="shared" si="153"/>
        <v>1</v>
      </c>
      <c r="U330" s="5" t="str">
        <f>CONCATENATE(+Contacts!H330)</f>
        <v/>
      </c>
      <c r="V330" t="str">
        <f t="shared" si="154"/>
        <v/>
      </c>
      <c r="W330" s="5">
        <f t="shared" si="155"/>
        <v>1</v>
      </c>
      <c r="X330" s="5">
        <f t="shared" si="156"/>
        <v>1</v>
      </c>
      <c r="Y330" s="5" t="str">
        <f>CONCATENATE(+Contacts!F330)</f>
        <v/>
      </c>
      <c r="Z330" s="2" t="str">
        <f t="shared" si="157"/>
        <v xml:space="preserve">Parker, Marion   </v>
      </c>
      <c r="AA330" s="2" t="str">
        <f>CONCATENATE(+Contacts!C330)</f>
        <v>Parker</v>
      </c>
      <c r="AB330" s="2" t="str">
        <f t="shared" si="158"/>
        <v xml:space="preserve">, </v>
      </c>
      <c r="AC330" s="2" t="str">
        <f>CONCATENATE(+Contacts!A330)</f>
        <v>Marion</v>
      </c>
      <c r="AD330" s="3" t="str">
        <f>CONCATENATE(" ",+Contacts!B330)</f>
        <v xml:space="preserve"> </v>
      </c>
      <c r="AE330" s="2" t="str">
        <f t="shared" si="159"/>
        <v xml:space="preserve"> </v>
      </c>
      <c r="AF330" s="3" t="str">
        <f>CONCATENATE(+Contacts!D330)</f>
        <v/>
      </c>
      <c r="AG330" s="2" t="str">
        <f t="shared" si="160"/>
        <v xml:space="preserve"> </v>
      </c>
      <c r="AH330" t="str">
        <f>CONCATENATE(+Contacts!I330)</f>
        <v/>
      </c>
      <c r="AI330">
        <v>1500000010</v>
      </c>
      <c r="AJ330" s="5">
        <f t="shared" si="161"/>
        <v>1</v>
      </c>
    </row>
    <row r="331" spans="1:36" x14ac:dyDescent="0.35">
      <c r="A331" s="7" t="str">
        <f t="shared" si="136"/>
        <v>&lt;contact&gt;&lt;category&gt;0&lt;/category&gt;&lt;person&gt;&lt;realName&gt;Peeters, Huub   &lt;/realName&gt;&lt;/person&gt;</v>
      </c>
      <c r="B331" s="7" t="str">
        <f t="shared" si="137"/>
        <v>&lt;telephony nid="2"&gt;&lt;number id="0" prio="1" type="home"&gt;+31 302627247&lt;/number&gt;&lt;number id="1" prio="0" type="mobile"&gt;+31 6 40261039&lt;/number&gt;&lt;/telephony&gt;</v>
      </c>
      <c r="C331" s="7" t="str">
        <f t="shared" si="138"/>
        <v>&lt;services nid="1"&gt;&lt;email id="0" classifier="private"&gt;Peete127@planet.nl&lt;/email&gt;&lt;/services&gt;&lt;setup /&gt;&lt;mod_time&gt;1500000010&lt;/mod_time&gt;&lt;uniqueid&gt;1&lt;/uniqueid&gt;&lt;/contact&gt;</v>
      </c>
      <c r="D331" t="str">
        <f t="shared" si="139"/>
        <v>&lt;contact&gt;&lt;category&gt;0&lt;/category&gt;&lt;person&gt;&lt;realName&gt;Peeters, Huub   &lt;/realName&gt;&lt;/person&gt;</v>
      </c>
      <c r="E331" t="str">
        <f t="shared" si="140"/>
        <v>&lt;telephony nid="2"&gt;&lt;number id="0" prio="1" type="home"&gt;+31 302627247&lt;/number&gt;&lt;number id="1" prio="0" type="mobile"&gt;+31 6 40261039&lt;/number&gt;&lt;/telephony&gt;</v>
      </c>
      <c r="F331" t="str">
        <f t="shared" si="141"/>
        <v>&lt;telephony nid="2"&gt;</v>
      </c>
      <c r="G331" t="str">
        <f t="shared" si="142"/>
        <v/>
      </c>
      <c r="H331" t="str">
        <f t="shared" si="143"/>
        <v>&lt;services nid="1"&gt;&lt;email id="0" classifier="private"&gt;Peete127@planet.nl&lt;/email&gt;&lt;/services&gt;&lt;setup /&gt;&lt;mod_time&gt;1500000010&lt;/mod_time&gt;&lt;uniqueid&gt;1&lt;/uniqueid&gt;&lt;/contact&gt;</v>
      </c>
      <c r="I331" t="str">
        <f t="shared" si="144"/>
        <v>&lt;services /&gt;&lt;setup /&gt;&lt;mod_time&gt;1500000010&lt;/mod_time&gt;&lt;uniqueid&gt;1&lt;/uniqueid&gt;&lt;/contact&gt;</v>
      </c>
      <c r="J331" t="str">
        <f t="shared" si="145"/>
        <v>&lt;services nid="1"&gt;&lt;email id="0" classifier="private"&gt;Peete127@planet.nl&lt;/email&gt;&lt;/services&gt;&lt;setup /&gt;&lt;mod_time&gt;1500000010&lt;/mod_time&gt;&lt;uniqueid&gt;1&lt;/uniqueid&gt;&lt;/contact&gt;</v>
      </c>
      <c r="K331" s="5">
        <f t="shared" si="146"/>
        <v>0</v>
      </c>
      <c r="L331" s="5">
        <f t="shared" si="147"/>
        <v>0</v>
      </c>
      <c r="M331" s="5" t="str">
        <f>CONCATENATE(+Contacts!E331)</f>
        <v/>
      </c>
      <c r="N331" t="str">
        <f t="shared" si="148"/>
        <v>&lt;number id="0" prio="1" type="home"&gt;+31 302627247&lt;/number&gt;</v>
      </c>
      <c r="O331" s="5">
        <f t="shared" si="149"/>
        <v>1</v>
      </c>
      <c r="P331" s="5">
        <f t="shared" si="150"/>
        <v>1</v>
      </c>
      <c r="Q331" s="5" t="str">
        <f>CONCATENATE(+Contacts!G331)</f>
        <v>+31 302627247</v>
      </c>
      <c r="R331" t="str">
        <f t="shared" si="151"/>
        <v>&lt;number id="1" prio="0" type="mobile"&gt;+31 6 40261039&lt;/number&gt;</v>
      </c>
      <c r="S331" s="5">
        <f t="shared" si="152"/>
        <v>2</v>
      </c>
      <c r="T331" s="5">
        <f t="shared" si="153"/>
        <v>0</v>
      </c>
      <c r="U331" s="5" t="str">
        <f>CONCATENATE(+Contacts!H331)</f>
        <v>+31 6 40261039</v>
      </c>
      <c r="V331" t="str">
        <f t="shared" si="154"/>
        <v/>
      </c>
      <c r="W331" s="5">
        <f t="shared" si="155"/>
        <v>2</v>
      </c>
      <c r="X331" s="5">
        <f t="shared" si="156"/>
        <v>0</v>
      </c>
      <c r="Y331" s="5" t="str">
        <f>CONCATENATE(+Contacts!F331)</f>
        <v/>
      </c>
      <c r="Z331" s="2" t="str">
        <f t="shared" si="157"/>
        <v xml:space="preserve">Peeters, Huub   </v>
      </c>
      <c r="AA331" s="2" t="str">
        <f>CONCATENATE(+Contacts!C331)</f>
        <v>Peeters</v>
      </c>
      <c r="AB331" s="2" t="str">
        <f t="shared" si="158"/>
        <v xml:space="preserve">, </v>
      </c>
      <c r="AC331" s="2" t="str">
        <f>CONCATENATE(+Contacts!A331)</f>
        <v>Huub</v>
      </c>
      <c r="AD331" s="3" t="str">
        <f>CONCATENATE(" ",+Contacts!B331)</f>
        <v xml:space="preserve"> </v>
      </c>
      <c r="AE331" s="2" t="str">
        <f t="shared" si="159"/>
        <v xml:space="preserve"> </v>
      </c>
      <c r="AF331" s="3" t="str">
        <f>CONCATENATE(+Contacts!D331)</f>
        <v/>
      </c>
      <c r="AG331" s="2" t="str">
        <f t="shared" si="160"/>
        <v xml:space="preserve"> </v>
      </c>
      <c r="AH331" t="str">
        <f>CONCATENATE(+Contacts!I331)</f>
        <v>Peete127@planet.nl</v>
      </c>
      <c r="AI331">
        <v>1500000010</v>
      </c>
      <c r="AJ331" s="5">
        <f t="shared" si="161"/>
        <v>1</v>
      </c>
    </row>
    <row r="332" spans="1:36" x14ac:dyDescent="0.35">
      <c r="A332" s="7" t="str">
        <f t="shared" si="136"/>
        <v>&lt;contact&gt;&lt;category&gt;0&lt;/category&gt;&lt;person&gt;&lt;realName&gt;Petra  (Dierenzorg)&lt;/realName&gt;&lt;/person&gt;</v>
      </c>
      <c r="B332" s="7" t="str">
        <f t="shared" si="137"/>
        <v>&lt;telephony nid="1"&gt;&lt;number id="0" prio="1" type="work"&gt;+31 704151680&lt;/number&gt;&lt;/telephony&gt;</v>
      </c>
      <c r="C332" s="7" t="str">
        <f t="shared" si="138"/>
        <v>&lt;services nid="1"&gt;&lt;email id="0" classifier="private"&gt;petra@dierenzorg-haaglanden.nl&lt;/email&gt;&lt;/services&gt;&lt;setup /&gt;&lt;mod_time&gt;1500000010&lt;/mod_time&gt;&lt;uniqueid&gt;1&lt;/uniqueid&gt;&lt;/contact&gt;</v>
      </c>
      <c r="D332" t="str">
        <f t="shared" si="139"/>
        <v>&lt;contact&gt;&lt;category&gt;0&lt;/category&gt;&lt;person&gt;&lt;realName&gt;Petra  (Dierenzorg)&lt;/realName&gt;&lt;/person&gt;</v>
      </c>
      <c r="E332" t="str">
        <f t="shared" si="140"/>
        <v>&lt;telephony nid="1"&gt;&lt;number id="0" prio="1" type="work"&gt;+31 704151680&lt;/number&gt;&lt;/telephony&gt;</v>
      </c>
      <c r="F332" t="str">
        <f t="shared" si="141"/>
        <v>&lt;telephony nid="1"&gt;</v>
      </c>
      <c r="G332" t="str">
        <f t="shared" si="142"/>
        <v>&lt;number id="0" prio="1" type="work"&gt;+31 704151680&lt;/number&gt;</v>
      </c>
      <c r="H332" t="str">
        <f t="shared" si="143"/>
        <v>&lt;services nid="1"&gt;&lt;email id="0" classifier="private"&gt;petra@dierenzorg-haaglanden.nl&lt;/email&gt;&lt;/services&gt;&lt;setup /&gt;&lt;mod_time&gt;1500000010&lt;/mod_time&gt;&lt;uniqueid&gt;1&lt;/uniqueid&gt;&lt;/contact&gt;</v>
      </c>
      <c r="I332" t="str">
        <f t="shared" si="144"/>
        <v>&lt;services /&gt;&lt;setup /&gt;&lt;mod_time&gt;1500000010&lt;/mod_time&gt;&lt;uniqueid&gt;1&lt;/uniqueid&gt;&lt;/contact&gt;</v>
      </c>
      <c r="J332" t="str">
        <f t="shared" si="145"/>
        <v>&lt;services nid="1"&gt;&lt;email id="0" classifier="private"&gt;petra@dierenzorg-haaglanden.nl&lt;/email&gt;&lt;/services&gt;&lt;setup /&gt;&lt;mod_time&gt;1500000010&lt;/mod_time&gt;&lt;uniqueid&gt;1&lt;/uniqueid&gt;&lt;/contact&gt;</v>
      </c>
      <c r="K332" s="5">
        <f t="shared" si="146"/>
        <v>1</v>
      </c>
      <c r="L332" s="5">
        <f t="shared" si="147"/>
        <v>1</v>
      </c>
      <c r="M332" s="5" t="str">
        <f>CONCATENATE(+Contacts!E332)</f>
        <v>+31 704151680</v>
      </c>
      <c r="N332" t="str">
        <f t="shared" si="148"/>
        <v/>
      </c>
      <c r="O332" s="5">
        <f t="shared" si="149"/>
        <v>1</v>
      </c>
      <c r="P332" s="5">
        <f t="shared" si="150"/>
        <v>1</v>
      </c>
      <c r="Q332" s="5" t="str">
        <f>CONCATENATE(+Contacts!G332)</f>
        <v/>
      </c>
      <c r="R332" t="str">
        <f t="shared" si="151"/>
        <v/>
      </c>
      <c r="S332" s="5">
        <f t="shared" si="152"/>
        <v>1</v>
      </c>
      <c r="T332" s="5">
        <f t="shared" si="153"/>
        <v>1</v>
      </c>
      <c r="U332" s="5" t="str">
        <f>CONCATENATE(+Contacts!H332)</f>
        <v/>
      </c>
      <c r="V332" t="str">
        <f t="shared" si="154"/>
        <v/>
      </c>
      <c r="W332" s="5">
        <f t="shared" si="155"/>
        <v>1</v>
      </c>
      <c r="X332" s="5">
        <f t="shared" si="156"/>
        <v>1</v>
      </c>
      <c r="Y332" s="5" t="str">
        <f>CONCATENATE(+Contacts!F332)</f>
        <v/>
      </c>
      <c r="Z332" s="2" t="str">
        <f t="shared" si="157"/>
        <v>Petra  (Dierenzorg)</v>
      </c>
      <c r="AA332" s="2" t="str">
        <f>CONCATENATE(+Contacts!C332)</f>
        <v>Petra</v>
      </c>
      <c r="AB332" s="2" t="str">
        <f t="shared" si="158"/>
        <v xml:space="preserve"> </v>
      </c>
      <c r="AC332" s="2" t="str">
        <f>CONCATENATE(+Contacts!A332)</f>
        <v/>
      </c>
      <c r="AD332" s="3" t="str">
        <f>CONCATENATE(" ",+Contacts!B332)</f>
        <v xml:space="preserve"> </v>
      </c>
      <c r="AE332" s="2" t="str">
        <f t="shared" si="159"/>
        <v>(</v>
      </c>
      <c r="AF332" s="3" t="str">
        <f>CONCATENATE(+Contacts!D332)</f>
        <v>Dierenzorg</v>
      </c>
      <c r="AG332" s="2" t="str">
        <f t="shared" si="160"/>
        <v>)</v>
      </c>
      <c r="AH332" t="str">
        <f>CONCATENATE(+Contacts!I332)</f>
        <v>petra@dierenzorg-haaglanden.nl</v>
      </c>
      <c r="AI332">
        <v>1500000010</v>
      </c>
      <c r="AJ332" s="5">
        <f t="shared" si="161"/>
        <v>1</v>
      </c>
    </row>
    <row r="333" spans="1:36" x14ac:dyDescent="0.35">
      <c r="A333" s="7" t="str">
        <f t="shared" si="136"/>
        <v>&lt;contact&gt;&lt;category&gt;0&lt;/category&gt;&lt;person&gt;&lt;realName&gt;Pinpas Vermissing  (ING)&lt;/realName&gt;&lt;/person&gt;</v>
      </c>
      <c r="B333" s="7" t="str">
        <f t="shared" si="137"/>
        <v>&lt;telephony nid="1"&gt;&lt;number id="0" prio="1" type="work"&gt;+31 202288800&lt;/number&gt;&lt;/telephony&gt;</v>
      </c>
      <c r="C333" s="7" t="str">
        <f t="shared" si="138"/>
        <v>&lt;services /&gt;&lt;setup /&gt;&lt;mod_time&gt;1500000010&lt;/mod_time&gt;&lt;uniqueid&gt;1&lt;/uniqueid&gt;&lt;/contact&gt;</v>
      </c>
      <c r="D333" t="str">
        <f t="shared" si="139"/>
        <v>&lt;contact&gt;&lt;category&gt;0&lt;/category&gt;&lt;person&gt;&lt;realName&gt;Pinpas Vermissing  (ING)&lt;/realName&gt;&lt;/person&gt;</v>
      </c>
      <c r="E333" t="str">
        <f t="shared" si="140"/>
        <v>&lt;telephony nid="1"&gt;&lt;number id="0" prio="1" type="work"&gt;+31 202288800&lt;/number&gt;&lt;/telephony&gt;</v>
      </c>
      <c r="F333" t="str">
        <f t="shared" si="141"/>
        <v>&lt;telephony nid="1"&gt;</v>
      </c>
      <c r="G333" t="str">
        <f t="shared" si="142"/>
        <v>&lt;number id="0" prio="1" type="work"&gt;+31 202288800&lt;/number&gt;</v>
      </c>
      <c r="H333" t="str">
        <f t="shared" si="143"/>
        <v>&lt;services nid="1"&gt;&lt;email id="0" classifier="private"&gt;&lt;/email&gt;&lt;/services&gt;&lt;setup /&gt;&lt;mod_time&gt;1500000010&lt;/mod_time&gt;&lt;uniqueid&gt;1&lt;/uniqueid&gt;&lt;/contact&gt;</v>
      </c>
      <c r="I333" t="str">
        <f t="shared" si="144"/>
        <v>&lt;services /&gt;&lt;setup /&gt;&lt;mod_time&gt;1500000010&lt;/mod_time&gt;&lt;uniqueid&gt;1&lt;/uniqueid&gt;&lt;/contact&gt;</v>
      </c>
      <c r="J333" t="str">
        <f t="shared" si="145"/>
        <v>&lt;services /&gt;&lt;setup /&gt;&lt;mod_time&gt;1500000010&lt;/mod_time&gt;&lt;uniqueid&gt;1&lt;/uniqueid&gt;&lt;/contact&gt;</v>
      </c>
      <c r="K333" s="5">
        <f t="shared" si="146"/>
        <v>1</v>
      </c>
      <c r="L333" s="5">
        <f t="shared" si="147"/>
        <v>1</v>
      </c>
      <c r="M333" s="5" t="str">
        <f>CONCATENATE(+Contacts!E333)</f>
        <v>+31 202288800</v>
      </c>
      <c r="N333" t="str">
        <f t="shared" si="148"/>
        <v/>
      </c>
      <c r="O333" s="5">
        <f t="shared" si="149"/>
        <v>1</v>
      </c>
      <c r="P333" s="5">
        <f t="shared" si="150"/>
        <v>1</v>
      </c>
      <c r="Q333" s="5" t="str">
        <f>CONCATENATE(+Contacts!G333)</f>
        <v/>
      </c>
      <c r="R333" t="str">
        <f t="shared" si="151"/>
        <v/>
      </c>
      <c r="S333" s="5">
        <f t="shared" si="152"/>
        <v>1</v>
      </c>
      <c r="T333" s="5">
        <f t="shared" si="153"/>
        <v>1</v>
      </c>
      <c r="U333" s="5" t="str">
        <f>CONCATENATE(+Contacts!H333)</f>
        <v/>
      </c>
      <c r="V333" t="str">
        <f t="shared" si="154"/>
        <v/>
      </c>
      <c r="W333" s="5">
        <f t="shared" si="155"/>
        <v>1</v>
      </c>
      <c r="X333" s="5">
        <f t="shared" si="156"/>
        <v>1</v>
      </c>
      <c r="Y333" s="5" t="str">
        <f>CONCATENATE(+Contacts!F333)</f>
        <v/>
      </c>
      <c r="Z333" s="2" t="str">
        <f t="shared" si="157"/>
        <v>Pinpas Vermissing  (ING)</v>
      </c>
      <c r="AA333" s="2" t="str">
        <f>CONCATENATE(+Contacts!C333)</f>
        <v>Pinpas Vermissing</v>
      </c>
      <c r="AB333" s="2" t="str">
        <f t="shared" si="158"/>
        <v xml:space="preserve"> </v>
      </c>
      <c r="AC333" s="2" t="str">
        <f>CONCATENATE(+Contacts!A333)</f>
        <v/>
      </c>
      <c r="AD333" s="3" t="str">
        <f>CONCATENATE(" ",+Contacts!B333)</f>
        <v xml:space="preserve"> </v>
      </c>
      <c r="AE333" s="2" t="str">
        <f t="shared" si="159"/>
        <v>(</v>
      </c>
      <c r="AF333" s="3" t="str">
        <f>CONCATENATE(+Contacts!D333)</f>
        <v>ING</v>
      </c>
      <c r="AG333" s="2" t="str">
        <f t="shared" si="160"/>
        <v>)</v>
      </c>
      <c r="AH333" t="str">
        <f>CONCATENATE(+Contacts!I333)</f>
        <v/>
      </c>
      <c r="AI333">
        <v>1500000010</v>
      </c>
      <c r="AJ333" s="5">
        <f t="shared" si="161"/>
        <v>1</v>
      </c>
    </row>
    <row r="334" spans="1:36" x14ac:dyDescent="0.35">
      <c r="A334" s="7" t="str">
        <f t="shared" si="136"/>
        <v/>
      </c>
      <c r="B334" s="7" t="str">
        <f t="shared" si="137"/>
        <v/>
      </c>
      <c r="C334" s="7" t="str">
        <f t="shared" si="138"/>
        <v/>
      </c>
      <c r="D334" t="str">
        <f t="shared" si="139"/>
        <v>&lt;contact&gt;&lt;category&gt;0&lt;/category&gt;&lt;person&gt;&lt;realName&gt;Plaisier, Marc   &lt;/realName&gt;&lt;/person&gt;</v>
      </c>
      <c r="E334" t="str">
        <f t="shared" si="140"/>
        <v>&lt;telephony nid="0"&gt;&lt;/telephony&gt;</v>
      </c>
      <c r="F334" t="str">
        <f t="shared" si="141"/>
        <v>&lt;telephony nid="0"&gt;</v>
      </c>
      <c r="G334" t="str">
        <f t="shared" si="142"/>
        <v/>
      </c>
      <c r="H334" t="str">
        <f t="shared" si="143"/>
        <v>&lt;services nid="1"&gt;&lt;email id="0" classifier="private"&gt;marc@isgeweldig.nl&lt;/email&gt;&lt;/services&gt;&lt;setup /&gt;&lt;mod_time&gt;1500000010&lt;/mod_time&gt;&lt;uniqueid&gt;0&lt;/uniqueid&gt;&lt;/contact&gt;</v>
      </c>
      <c r="I334" t="str">
        <f t="shared" si="144"/>
        <v>&lt;services /&gt;&lt;setup /&gt;&lt;mod_time&gt;1500000010&lt;/mod_time&gt;&lt;uniqueid&gt;0&lt;/uniqueid&gt;&lt;/contact&gt;</v>
      </c>
      <c r="J334" t="str">
        <f t="shared" si="145"/>
        <v>&lt;services nid="1"&gt;&lt;email id="0" classifier="private"&gt;marc@isgeweldig.nl&lt;/email&gt;&lt;/services&gt;&lt;setup /&gt;&lt;mod_time&gt;1500000010&lt;/mod_time&gt;&lt;uniqueid&gt;0&lt;/uniqueid&gt;&lt;/contact&gt;</v>
      </c>
      <c r="K334" s="5">
        <f t="shared" si="146"/>
        <v>0</v>
      </c>
      <c r="L334" s="5">
        <f t="shared" si="147"/>
        <v>0</v>
      </c>
      <c r="M334" s="5" t="str">
        <f>CONCATENATE(+Contacts!E334)</f>
        <v/>
      </c>
      <c r="N334" t="str">
        <f t="shared" si="148"/>
        <v/>
      </c>
      <c r="O334" s="5">
        <f t="shared" si="149"/>
        <v>0</v>
      </c>
      <c r="P334" s="5">
        <f t="shared" si="150"/>
        <v>0</v>
      </c>
      <c r="Q334" s="5" t="str">
        <f>CONCATENATE(+Contacts!G334)</f>
        <v/>
      </c>
      <c r="R334" t="str">
        <f t="shared" si="151"/>
        <v/>
      </c>
      <c r="S334" s="5">
        <f t="shared" si="152"/>
        <v>0</v>
      </c>
      <c r="T334" s="5">
        <f t="shared" si="153"/>
        <v>0</v>
      </c>
      <c r="U334" s="5" t="str">
        <f>CONCATENATE(+Contacts!H334)</f>
        <v/>
      </c>
      <c r="V334" t="str">
        <f t="shared" si="154"/>
        <v/>
      </c>
      <c r="W334" s="5">
        <f t="shared" si="155"/>
        <v>0</v>
      </c>
      <c r="X334" s="5">
        <f t="shared" si="156"/>
        <v>0</v>
      </c>
      <c r="Y334" s="5" t="str">
        <f>CONCATENATE(+Contacts!F334)</f>
        <v/>
      </c>
      <c r="Z334" s="2" t="str">
        <f t="shared" si="157"/>
        <v xml:space="preserve">Plaisier, Marc   </v>
      </c>
      <c r="AA334" s="2" t="str">
        <f>CONCATENATE(+Contacts!C334)</f>
        <v>Plaisier</v>
      </c>
      <c r="AB334" s="2" t="str">
        <f t="shared" si="158"/>
        <v xml:space="preserve">, </v>
      </c>
      <c r="AC334" s="2" t="str">
        <f>CONCATENATE(+Contacts!A334)</f>
        <v>Marc</v>
      </c>
      <c r="AD334" s="3" t="str">
        <f>CONCATENATE(" ",+Contacts!B334)</f>
        <v xml:space="preserve"> </v>
      </c>
      <c r="AE334" s="2" t="str">
        <f t="shared" si="159"/>
        <v xml:space="preserve"> </v>
      </c>
      <c r="AF334" s="3" t="str">
        <f>CONCATENATE(+Contacts!D334)</f>
        <v/>
      </c>
      <c r="AG334" s="2" t="str">
        <f t="shared" si="160"/>
        <v xml:space="preserve"> </v>
      </c>
      <c r="AH334" t="str">
        <f>CONCATENATE(+Contacts!I334)</f>
        <v>marc@isgeweldig.nl</v>
      </c>
      <c r="AI334">
        <v>1500000010</v>
      </c>
      <c r="AJ334" s="5">
        <f t="shared" si="161"/>
        <v>0</v>
      </c>
    </row>
    <row r="335" spans="1:36" x14ac:dyDescent="0.35">
      <c r="A335" s="7" t="str">
        <f t="shared" si="136"/>
        <v>&lt;contact&gt;&lt;category&gt;0&lt;/category&gt;&lt;person&gt;&lt;realName&gt;Ploeg, Hans van der  &lt;/realName&gt;&lt;/person&gt;</v>
      </c>
      <c r="B335" s="7" t="str">
        <f t="shared" si="137"/>
        <v>&lt;telephony nid="2"&gt;&lt;number id="0" prio="1" type="home"&gt;+31 172434950&lt;/number&gt;&lt;number id="1" prio="0" type="mobile"&gt;+31 625 017 984&lt;/number&gt;&lt;/telephony&gt;</v>
      </c>
      <c r="C335" s="7" t="str">
        <f t="shared" si="138"/>
        <v>&lt;services nid="1"&gt;&lt;email id="0" classifier="private"&gt;ploeg56@gmail.com&lt;/email&gt;&lt;/services&gt;&lt;setup /&gt;&lt;mod_time&gt;1500000010&lt;/mod_time&gt;&lt;uniqueid&gt;1&lt;/uniqueid&gt;&lt;/contact&gt;</v>
      </c>
      <c r="D335" t="str">
        <f t="shared" si="139"/>
        <v>&lt;contact&gt;&lt;category&gt;0&lt;/category&gt;&lt;person&gt;&lt;realName&gt;Ploeg, Hans van der  &lt;/realName&gt;&lt;/person&gt;</v>
      </c>
      <c r="E335" t="str">
        <f t="shared" si="140"/>
        <v>&lt;telephony nid="2"&gt;&lt;number id="0" prio="1" type="home"&gt;+31 172434950&lt;/number&gt;&lt;number id="1" prio="0" type="mobile"&gt;+31 625 017 984&lt;/number&gt;&lt;/telephony&gt;</v>
      </c>
      <c r="F335" t="str">
        <f t="shared" si="141"/>
        <v>&lt;telephony nid="2"&gt;</v>
      </c>
      <c r="G335" t="str">
        <f t="shared" si="142"/>
        <v/>
      </c>
      <c r="H335" t="str">
        <f t="shared" si="143"/>
        <v>&lt;services nid="1"&gt;&lt;email id="0" classifier="private"&gt;ploeg56@gmail.com&lt;/email&gt;&lt;/services&gt;&lt;setup /&gt;&lt;mod_time&gt;1500000010&lt;/mod_time&gt;&lt;uniqueid&gt;1&lt;/uniqueid&gt;&lt;/contact&gt;</v>
      </c>
      <c r="I335" t="str">
        <f t="shared" si="144"/>
        <v>&lt;services /&gt;&lt;setup /&gt;&lt;mod_time&gt;1500000010&lt;/mod_time&gt;&lt;uniqueid&gt;1&lt;/uniqueid&gt;&lt;/contact&gt;</v>
      </c>
      <c r="J335" t="str">
        <f t="shared" si="145"/>
        <v>&lt;services nid="1"&gt;&lt;email id="0" classifier="private"&gt;ploeg56@gmail.com&lt;/email&gt;&lt;/services&gt;&lt;setup /&gt;&lt;mod_time&gt;1500000010&lt;/mod_time&gt;&lt;uniqueid&gt;1&lt;/uniqueid&gt;&lt;/contact&gt;</v>
      </c>
      <c r="K335" s="5">
        <f t="shared" si="146"/>
        <v>0</v>
      </c>
      <c r="L335" s="5">
        <f t="shared" si="147"/>
        <v>0</v>
      </c>
      <c r="M335" s="5" t="str">
        <f>CONCATENATE(+Contacts!E335)</f>
        <v/>
      </c>
      <c r="N335" t="str">
        <f t="shared" si="148"/>
        <v>&lt;number id="0" prio="1" type="home"&gt;+31 172434950&lt;/number&gt;</v>
      </c>
      <c r="O335" s="5">
        <f t="shared" si="149"/>
        <v>1</v>
      </c>
      <c r="P335" s="5">
        <f t="shared" si="150"/>
        <v>1</v>
      </c>
      <c r="Q335" s="5" t="str">
        <f>CONCATENATE(+Contacts!G335)</f>
        <v>+31 172434950</v>
      </c>
      <c r="R335" t="str">
        <f t="shared" si="151"/>
        <v>&lt;number id="1" prio="0" type="mobile"&gt;+31 625 017 984&lt;/number&gt;</v>
      </c>
      <c r="S335" s="5">
        <f t="shared" si="152"/>
        <v>2</v>
      </c>
      <c r="T335" s="5">
        <f t="shared" si="153"/>
        <v>0</v>
      </c>
      <c r="U335" s="5" t="str">
        <f>CONCATENATE(+Contacts!H335)</f>
        <v>+31 625 017 984</v>
      </c>
      <c r="V335" t="str">
        <f t="shared" si="154"/>
        <v/>
      </c>
      <c r="W335" s="5">
        <f t="shared" si="155"/>
        <v>2</v>
      </c>
      <c r="X335" s="5">
        <f t="shared" si="156"/>
        <v>0</v>
      </c>
      <c r="Y335" s="5" t="str">
        <f>CONCATENATE(+Contacts!F335)</f>
        <v/>
      </c>
      <c r="Z335" s="2" t="str">
        <f t="shared" si="157"/>
        <v xml:space="preserve">Ploeg, Hans van der  </v>
      </c>
      <c r="AA335" s="2" t="str">
        <f>CONCATENATE(+Contacts!C335)</f>
        <v>Ploeg</v>
      </c>
      <c r="AB335" s="2" t="str">
        <f t="shared" si="158"/>
        <v xml:space="preserve">, </v>
      </c>
      <c r="AC335" s="2" t="str">
        <f>CONCATENATE(+Contacts!A335)</f>
        <v>Hans</v>
      </c>
      <c r="AD335" s="3" t="str">
        <f>CONCATENATE(" ",+Contacts!B335)</f>
        <v xml:space="preserve"> van der</v>
      </c>
      <c r="AE335" s="2" t="str">
        <f t="shared" si="159"/>
        <v xml:space="preserve"> </v>
      </c>
      <c r="AF335" s="3" t="str">
        <f>CONCATENATE(+Contacts!D335)</f>
        <v/>
      </c>
      <c r="AG335" s="2" t="str">
        <f t="shared" si="160"/>
        <v xml:space="preserve"> </v>
      </c>
      <c r="AH335" t="str">
        <f>CONCATENATE(+Contacts!I335)</f>
        <v>ploeg56@gmail.com</v>
      </c>
      <c r="AI335">
        <v>1500000010</v>
      </c>
      <c r="AJ335" s="5">
        <f t="shared" si="161"/>
        <v>1</v>
      </c>
    </row>
    <row r="336" spans="1:36" x14ac:dyDescent="0.35">
      <c r="A336" s="7" t="str">
        <f t="shared" si="136"/>
        <v>&lt;contact&gt;&lt;category&gt;0&lt;/category&gt;&lt;person&gt;&lt;realName&gt;Plugge, James   &lt;/realName&gt;&lt;/person&gt;</v>
      </c>
      <c r="B336" s="7" t="str">
        <f t="shared" si="137"/>
        <v>&lt;telephony nid="1"&gt;&lt;number id="0" prio="1" type="mobile"&gt;+31 641501523&lt;/number&gt;&lt;/telephony&gt;</v>
      </c>
      <c r="C336" s="7" t="str">
        <f t="shared" si="138"/>
        <v>&lt;services /&gt;&lt;setup /&gt;&lt;mod_time&gt;1500000010&lt;/mod_time&gt;&lt;uniqueid&gt;1&lt;/uniqueid&gt;&lt;/contact&gt;</v>
      </c>
      <c r="D336" t="str">
        <f t="shared" si="139"/>
        <v>&lt;contact&gt;&lt;category&gt;0&lt;/category&gt;&lt;person&gt;&lt;realName&gt;Plugge, James   &lt;/realName&gt;&lt;/person&gt;</v>
      </c>
      <c r="E336" t="str">
        <f t="shared" si="140"/>
        <v>&lt;telephony nid="1"&gt;&lt;number id="0" prio="1" type="mobile"&gt;+31 641501523&lt;/number&gt;&lt;/telephony&gt;</v>
      </c>
      <c r="F336" t="str">
        <f t="shared" si="141"/>
        <v>&lt;telephony nid="1"&gt;</v>
      </c>
      <c r="G336" t="str">
        <f t="shared" si="142"/>
        <v/>
      </c>
      <c r="H336" t="str">
        <f t="shared" si="143"/>
        <v>&lt;services nid="1"&gt;&lt;email id="0" classifier="private"&gt;&lt;/email&gt;&lt;/services&gt;&lt;setup /&gt;&lt;mod_time&gt;1500000010&lt;/mod_time&gt;&lt;uniqueid&gt;1&lt;/uniqueid&gt;&lt;/contact&gt;</v>
      </c>
      <c r="I336" t="str">
        <f t="shared" si="144"/>
        <v>&lt;services /&gt;&lt;setup /&gt;&lt;mod_time&gt;1500000010&lt;/mod_time&gt;&lt;uniqueid&gt;1&lt;/uniqueid&gt;&lt;/contact&gt;</v>
      </c>
      <c r="J336" t="str">
        <f t="shared" si="145"/>
        <v>&lt;services /&gt;&lt;setup /&gt;&lt;mod_time&gt;1500000010&lt;/mod_time&gt;&lt;uniqueid&gt;1&lt;/uniqueid&gt;&lt;/contact&gt;</v>
      </c>
      <c r="K336" s="5">
        <f t="shared" si="146"/>
        <v>0</v>
      </c>
      <c r="L336" s="5">
        <f t="shared" si="147"/>
        <v>0</v>
      </c>
      <c r="M336" s="5" t="str">
        <f>CONCATENATE(+Contacts!E336)</f>
        <v/>
      </c>
      <c r="N336" t="str">
        <f t="shared" si="148"/>
        <v/>
      </c>
      <c r="O336" s="5">
        <f t="shared" si="149"/>
        <v>0</v>
      </c>
      <c r="P336" s="5">
        <f t="shared" si="150"/>
        <v>0</v>
      </c>
      <c r="Q336" s="5" t="str">
        <f>CONCATENATE(+Contacts!G336)</f>
        <v/>
      </c>
      <c r="R336" t="str">
        <f t="shared" si="151"/>
        <v>&lt;number id="0" prio="1" type="mobile"&gt;+31 641501523&lt;/number&gt;</v>
      </c>
      <c r="S336" s="5">
        <f t="shared" si="152"/>
        <v>1</v>
      </c>
      <c r="T336" s="5">
        <f t="shared" si="153"/>
        <v>1</v>
      </c>
      <c r="U336" s="5" t="str">
        <f>CONCATENATE(+Contacts!H336)</f>
        <v>+31 641501523</v>
      </c>
      <c r="V336" t="str">
        <f t="shared" si="154"/>
        <v/>
      </c>
      <c r="W336" s="5">
        <f t="shared" si="155"/>
        <v>1</v>
      </c>
      <c r="X336" s="5">
        <f t="shared" si="156"/>
        <v>1</v>
      </c>
      <c r="Y336" s="5" t="str">
        <f>CONCATENATE(+Contacts!F336)</f>
        <v/>
      </c>
      <c r="Z336" s="2" t="str">
        <f t="shared" si="157"/>
        <v xml:space="preserve">Plugge, James   </v>
      </c>
      <c r="AA336" s="2" t="str">
        <f>CONCATENATE(+Contacts!C336)</f>
        <v>Plugge</v>
      </c>
      <c r="AB336" s="2" t="str">
        <f t="shared" si="158"/>
        <v xml:space="preserve">, </v>
      </c>
      <c r="AC336" s="2" t="str">
        <f>CONCATENATE(+Contacts!A336)</f>
        <v>James</v>
      </c>
      <c r="AD336" s="3" t="str">
        <f>CONCATENATE(" ",+Contacts!B336)</f>
        <v xml:space="preserve"> </v>
      </c>
      <c r="AE336" s="2" t="str">
        <f t="shared" si="159"/>
        <v xml:space="preserve"> </v>
      </c>
      <c r="AF336" s="3" t="str">
        <f>CONCATENATE(+Contacts!D336)</f>
        <v/>
      </c>
      <c r="AG336" s="2" t="str">
        <f t="shared" si="160"/>
        <v xml:space="preserve"> </v>
      </c>
      <c r="AH336" t="str">
        <f>CONCATENATE(+Contacts!I336)</f>
        <v/>
      </c>
      <c r="AI336">
        <v>1500000010</v>
      </c>
      <c r="AJ336" s="5">
        <f t="shared" si="161"/>
        <v>1</v>
      </c>
    </row>
    <row r="337" spans="1:36" x14ac:dyDescent="0.35">
      <c r="A337" s="7" t="str">
        <f t="shared" si="136"/>
        <v>&lt;contact&gt;&lt;category&gt;0&lt;/category&gt;&lt;person&gt;&lt;realName&gt;Politie  (Hulpdiensten)&lt;/realName&gt;&lt;/person&gt;</v>
      </c>
      <c r="B337" s="7" t="str">
        <f t="shared" si="137"/>
        <v>&lt;telephony nid="1"&gt;&lt;number id="0" prio="1" type="work"&gt;0900 8844&lt;/number&gt;&lt;/telephony&gt;</v>
      </c>
      <c r="C337" s="7" t="str">
        <f t="shared" si="138"/>
        <v>&lt;services /&gt;&lt;setup /&gt;&lt;mod_time&gt;1500000010&lt;/mod_time&gt;&lt;uniqueid&gt;1&lt;/uniqueid&gt;&lt;/contact&gt;</v>
      </c>
      <c r="D337" t="str">
        <f t="shared" si="139"/>
        <v>&lt;contact&gt;&lt;category&gt;0&lt;/category&gt;&lt;person&gt;&lt;realName&gt;Politie  (Hulpdiensten)&lt;/realName&gt;&lt;/person&gt;</v>
      </c>
      <c r="E337" t="str">
        <f t="shared" si="140"/>
        <v>&lt;telephony nid="1"&gt;&lt;number id="0" prio="1" type="work"&gt;0900 8844&lt;/number&gt;&lt;/telephony&gt;</v>
      </c>
      <c r="F337" t="str">
        <f t="shared" si="141"/>
        <v>&lt;telephony nid="1"&gt;</v>
      </c>
      <c r="G337" t="str">
        <f t="shared" si="142"/>
        <v>&lt;number id="0" prio="1" type="work"&gt;0900 8844&lt;/number&gt;</v>
      </c>
      <c r="H337" t="str">
        <f t="shared" si="143"/>
        <v>&lt;services nid="1"&gt;&lt;email id="0" classifier="private"&gt;&lt;/email&gt;&lt;/services&gt;&lt;setup /&gt;&lt;mod_time&gt;1500000010&lt;/mod_time&gt;&lt;uniqueid&gt;1&lt;/uniqueid&gt;&lt;/contact&gt;</v>
      </c>
      <c r="I337" t="str">
        <f t="shared" si="144"/>
        <v>&lt;services /&gt;&lt;setup /&gt;&lt;mod_time&gt;1500000010&lt;/mod_time&gt;&lt;uniqueid&gt;1&lt;/uniqueid&gt;&lt;/contact&gt;</v>
      </c>
      <c r="J337" t="str">
        <f t="shared" si="145"/>
        <v>&lt;services /&gt;&lt;setup /&gt;&lt;mod_time&gt;1500000010&lt;/mod_time&gt;&lt;uniqueid&gt;1&lt;/uniqueid&gt;&lt;/contact&gt;</v>
      </c>
      <c r="K337" s="5">
        <f t="shared" si="146"/>
        <v>1</v>
      </c>
      <c r="L337" s="5">
        <f t="shared" si="147"/>
        <v>1</v>
      </c>
      <c r="M337" s="5" t="str">
        <f>CONCATENATE(+Contacts!E337)</f>
        <v>0900 8844</v>
      </c>
      <c r="N337" t="str">
        <f t="shared" si="148"/>
        <v/>
      </c>
      <c r="O337" s="5">
        <f t="shared" si="149"/>
        <v>1</v>
      </c>
      <c r="P337" s="5">
        <f t="shared" si="150"/>
        <v>1</v>
      </c>
      <c r="Q337" s="5" t="str">
        <f>CONCATENATE(+Contacts!G337)</f>
        <v/>
      </c>
      <c r="R337" t="str">
        <f t="shared" si="151"/>
        <v/>
      </c>
      <c r="S337" s="5">
        <f t="shared" si="152"/>
        <v>1</v>
      </c>
      <c r="T337" s="5">
        <f t="shared" si="153"/>
        <v>1</v>
      </c>
      <c r="U337" s="5" t="str">
        <f>CONCATENATE(+Contacts!H337)</f>
        <v/>
      </c>
      <c r="V337" t="str">
        <f t="shared" si="154"/>
        <v/>
      </c>
      <c r="W337" s="5">
        <f t="shared" si="155"/>
        <v>1</v>
      </c>
      <c r="X337" s="5">
        <f t="shared" si="156"/>
        <v>1</v>
      </c>
      <c r="Y337" s="5" t="str">
        <f>CONCATENATE(+Contacts!F337)</f>
        <v/>
      </c>
      <c r="Z337" s="2" t="str">
        <f t="shared" si="157"/>
        <v>Politie  (Hulpdiensten)</v>
      </c>
      <c r="AA337" s="2" t="str">
        <f>CONCATENATE(+Contacts!C337)</f>
        <v>Politie</v>
      </c>
      <c r="AB337" s="2" t="str">
        <f t="shared" si="158"/>
        <v xml:space="preserve"> </v>
      </c>
      <c r="AC337" s="2" t="str">
        <f>CONCATENATE(+Contacts!A337)</f>
        <v/>
      </c>
      <c r="AD337" s="3" t="str">
        <f>CONCATENATE(" ",+Contacts!B337)</f>
        <v xml:space="preserve"> </v>
      </c>
      <c r="AE337" s="2" t="str">
        <f t="shared" si="159"/>
        <v>(</v>
      </c>
      <c r="AF337" s="3" t="str">
        <f>CONCATENATE(+Contacts!D337)</f>
        <v>Hulpdiensten</v>
      </c>
      <c r="AG337" s="2" t="str">
        <f t="shared" si="160"/>
        <v>)</v>
      </c>
      <c r="AH337" t="str">
        <f>CONCATENATE(+Contacts!I337)</f>
        <v/>
      </c>
      <c r="AI337">
        <v>1500000010</v>
      </c>
      <c r="AJ337" s="5">
        <f t="shared" si="161"/>
        <v>1</v>
      </c>
    </row>
    <row r="338" spans="1:36" x14ac:dyDescent="0.35">
      <c r="A338" s="7" t="str">
        <f t="shared" si="136"/>
        <v/>
      </c>
      <c r="B338" s="7" t="str">
        <f t="shared" si="137"/>
        <v/>
      </c>
      <c r="C338" s="7" t="str">
        <f t="shared" si="138"/>
        <v/>
      </c>
      <c r="D338" t="str">
        <f t="shared" si="139"/>
        <v>&lt;contact&gt;&lt;category&gt;0&lt;/category&gt;&lt;person&gt;&lt;realName&gt;Posthumus, Wim   &lt;/realName&gt;&lt;/person&gt;</v>
      </c>
      <c r="E338" t="str">
        <f t="shared" si="140"/>
        <v>&lt;telephony nid="0"&gt;&lt;/telephony&gt;</v>
      </c>
      <c r="F338" t="str">
        <f t="shared" si="141"/>
        <v>&lt;telephony nid="0"&gt;</v>
      </c>
      <c r="G338" t="str">
        <f t="shared" si="142"/>
        <v/>
      </c>
      <c r="H338" t="str">
        <f t="shared" si="143"/>
        <v>&lt;services nid="1"&gt;&lt;email id="0" classifier="private"&gt;w.posthumus@hetnet.nl&lt;/email&gt;&lt;/services&gt;&lt;setup /&gt;&lt;mod_time&gt;1500000010&lt;/mod_time&gt;&lt;uniqueid&gt;0&lt;/uniqueid&gt;&lt;/contact&gt;</v>
      </c>
      <c r="I338" t="str">
        <f t="shared" si="144"/>
        <v>&lt;services /&gt;&lt;setup /&gt;&lt;mod_time&gt;1500000010&lt;/mod_time&gt;&lt;uniqueid&gt;0&lt;/uniqueid&gt;&lt;/contact&gt;</v>
      </c>
      <c r="J338" t="str">
        <f t="shared" si="145"/>
        <v>&lt;services nid="1"&gt;&lt;email id="0" classifier="private"&gt;w.posthumus@hetnet.nl&lt;/email&gt;&lt;/services&gt;&lt;setup /&gt;&lt;mod_time&gt;1500000010&lt;/mod_time&gt;&lt;uniqueid&gt;0&lt;/uniqueid&gt;&lt;/contact&gt;</v>
      </c>
      <c r="K338" s="5">
        <f t="shared" si="146"/>
        <v>0</v>
      </c>
      <c r="L338" s="5">
        <f t="shared" si="147"/>
        <v>0</v>
      </c>
      <c r="M338" s="5" t="str">
        <f>CONCATENATE(+Contacts!E338)</f>
        <v/>
      </c>
      <c r="N338" t="str">
        <f t="shared" si="148"/>
        <v/>
      </c>
      <c r="O338" s="5">
        <f t="shared" si="149"/>
        <v>0</v>
      </c>
      <c r="P338" s="5">
        <f t="shared" si="150"/>
        <v>0</v>
      </c>
      <c r="Q338" s="5" t="str">
        <f>CONCATENATE(+Contacts!G338)</f>
        <v/>
      </c>
      <c r="R338" t="str">
        <f t="shared" si="151"/>
        <v/>
      </c>
      <c r="S338" s="5">
        <f t="shared" si="152"/>
        <v>0</v>
      </c>
      <c r="T338" s="5">
        <f t="shared" si="153"/>
        <v>0</v>
      </c>
      <c r="U338" s="5" t="str">
        <f>CONCATENATE(+Contacts!H338)</f>
        <v/>
      </c>
      <c r="V338" t="str">
        <f t="shared" si="154"/>
        <v/>
      </c>
      <c r="W338" s="5">
        <f t="shared" si="155"/>
        <v>0</v>
      </c>
      <c r="X338" s="5">
        <f t="shared" si="156"/>
        <v>0</v>
      </c>
      <c r="Y338" s="5" t="str">
        <f>CONCATENATE(+Contacts!F338)</f>
        <v/>
      </c>
      <c r="Z338" s="2" t="str">
        <f t="shared" si="157"/>
        <v xml:space="preserve">Posthumus, Wim   </v>
      </c>
      <c r="AA338" s="2" t="str">
        <f>CONCATENATE(+Contacts!C338)</f>
        <v>Posthumus</v>
      </c>
      <c r="AB338" s="2" t="str">
        <f t="shared" si="158"/>
        <v xml:space="preserve">, </v>
      </c>
      <c r="AC338" s="2" t="str">
        <f>CONCATENATE(+Contacts!A338)</f>
        <v>Wim</v>
      </c>
      <c r="AD338" s="3" t="str">
        <f>CONCATENATE(" ",+Contacts!B338)</f>
        <v xml:space="preserve"> </v>
      </c>
      <c r="AE338" s="2" t="str">
        <f t="shared" si="159"/>
        <v xml:space="preserve"> </v>
      </c>
      <c r="AF338" s="3" t="str">
        <f>CONCATENATE(+Contacts!D338)</f>
        <v/>
      </c>
      <c r="AG338" s="2" t="str">
        <f t="shared" si="160"/>
        <v xml:space="preserve"> </v>
      </c>
      <c r="AH338" t="str">
        <f>CONCATENATE(+Contacts!I338)</f>
        <v>w.posthumus@hetnet.nl</v>
      </c>
      <c r="AI338">
        <v>1500000010</v>
      </c>
      <c r="AJ338" s="5">
        <f t="shared" si="161"/>
        <v>0</v>
      </c>
    </row>
    <row r="339" spans="1:36" x14ac:dyDescent="0.35">
      <c r="A339" s="7" t="str">
        <f t="shared" si="136"/>
        <v>&lt;contact&gt;&lt;category&gt;0&lt;/category&gt;&lt;person&gt;&lt;realName&gt;Prol Pato, Anita   &lt;/realName&gt;&lt;/person&gt;</v>
      </c>
      <c r="B339" s="7" t="str">
        <f t="shared" si="137"/>
        <v>&lt;telephony nid="2"&gt;&lt;number id="0" prio="1" type="mobile"&gt;+31 644303743&lt;/number&gt;&lt;number id="1" prio="0" type="work"&gt;+31 102651037&lt;/number&gt;&lt;/telephony&gt;</v>
      </c>
      <c r="C339" s="7" t="str">
        <f t="shared" si="138"/>
        <v>&lt;services nid="1"&gt;&lt;email id="0" classifier="private"&gt;j.prolpato@upcmail.nl&lt;/email&gt;&lt;/services&gt;&lt;setup /&gt;&lt;mod_time&gt;1500000010&lt;/mod_time&gt;&lt;uniqueid&gt;1&lt;/uniqueid&gt;&lt;/contact&gt;</v>
      </c>
      <c r="D339" t="str">
        <f t="shared" si="139"/>
        <v>&lt;contact&gt;&lt;category&gt;0&lt;/category&gt;&lt;person&gt;&lt;realName&gt;Prol Pato, Anita   &lt;/realName&gt;&lt;/person&gt;</v>
      </c>
      <c r="E339" t="str">
        <f t="shared" si="140"/>
        <v>&lt;telephony nid="2"&gt;&lt;number id="0" prio="1" type="mobile"&gt;+31 644303743&lt;/number&gt;&lt;number id="1" prio="0" type="work"&gt;+31 102651037&lt;/number&gt;&lt;/telephony&gt;</v>
      </c>
      <c r="F339" t="str">
        <f t="shared" si="141"/>
        <v>&lt;telephony nid="2"&gt;</v>
      </c>
      <c r="G339" t="str">
        <f t="shared" si="142"/>
        <v/>
      </c>
      <c r="H339" t="str">
        <f t="shared" si="143"/>
        <v>&lt;services nid="1"&gt;&lt;email id="0" classifier="private"&gt;j.prolpato@upcmail.nl&lt;/email&gt;&lt;/services&gt;&lt;setup /&gt;&lt;mod_time&gt;1500000010&lt;/mod_time&gt;&lt;uniqueid&gt;1&lt;/uniqueid&gt;&lt;/contact&gt;</v>
      </c>
      <c r="I339" t="str">
        <f t="shared" si="144"/>
        <v>&lt;services /&gt;&lt;setup /&gt;&lt;mod_time&gt;1500000010&lt;/mod_time&gt;&lt;uniqueid&gt;1&lt;/uniqueid&gt;&lt;/contact&gt;</v>
      </c>
      <c r="J339" t="str">
        <f t="shared" si="145"/>
        <v>&lt;services nid="1"&gt;&lt;email id="0" classifier="private"&gt;j.prolpato@upcmail.nl&lt;/email&gt;&lt;/services&gt;&lt;setup /&gt;&lt;mod_time&gt;1500000010&lt;/mod_time&gt;&lt;uniqueid&gt;1&lt;/uniqueid&gt;&lt;/contact&gt;</v>
      </c>
      <c r="K339" s="5">
        <f t="shared" si="146"/>
        <v>0</v>
      </c>
      <c r="L339" s="5">
        <f t="shared" si="147"/>
        <v>0</v>
      </c>
      <c r="M339" s="5" t="str">
        <f>CONCATENATE(+Contacts!E339)</f>
        <v/>
      </c>
      <c r="N339" t="str">
        <f t="shared" si="148"/>
        <v/>
      </c>
      <c r="O339" s="5">
        <f t="shared" si="149"/>
        <v>0</v>
      </c>
      <c r="P339" s="5">
        <f t="shared" si="150"/>
        <v>0</v>
      </c>
      <c r="Q339" s="5" t="str">
        <f>CONCATENATE(+Contacts!G339)</f>
        <v/>
      </c>
      <c r="R339" t="str">
        <f t="shared" si="151"/>
        <v>&lt;number id="0" prio="1" type="mobile"&gt;+31 644303743&lt;/number&gt;</v>
      </c>
      <c r="S339" s="5">
        <f t="shared" si="152"/>
        <v>1</v>
      </c>
      <c r="T339" s="5">
        <f t="shared" si="153"/>
        <v>1</v>
      </c>
      <c r="U339" s="5" t="str">
        <f>CONCATENATE(+Contacts!H339)</f>
        <v>+31 644303743</v>
      </c>
      <c r="V339" t="str">
        <f t="shared" si="154"/>
        <v>&lt;number id="1" prio="0" type="work"&gt;+31 102651037&lt;/number&gt;</v>
      </c>
      <c r="W339" s="5">
        <f t="shared" si="155"/>
        <v>2</v>
      </c>
      <c r="X339" s="5">
        <f t="shared" si="156"/>
        <v>0</v>
      </c>
      <c r="Y339" s="5" t="str">
        <f>CONCATENATE(+Contacts!F339)</f>
        <v>+31 102651037</v>
      </c>
      <c r="Z339" s="2" t="str">
        <f t="shared" si="157"/>
        <v xml:space="preserve">Prol Pato, Anita   </v>
      </c>
      <c r="AA339" s="2" t="str">
        <f>CONCATENATE(+Contacts!C339)</f>
        <v>Prol Pato</v>
      </c>
      <c r="AB339" s="2" t="str">
        <f t="shared" si="158"/>
        <v xml:space="preserve">, </v>
      </c>
      <c r="AC339" s="2" t="str">
        <f>CONCATENATE(+Contacts!A339)</f>
        <v>Anita</v>
      </c>
      <c r="AD339" s="3" t="str">
        <f>CONCATENATE(" ",+Contacts!B339)</f>
        <v xml:space="preserve"> </v>
      </c>
      <c r="AE339" s="2" t="str">
        <f t="shared" si="159"/>
        <v xml:space="preserve"> </v>
      </c>
      <c r="AF339" s="3" t="str">
        <f>CONCATENATE(+Contacts!D339)</f>
        <v/>
      </c>
      <c r="AG339" s="2" t="str">
        <f t="shared" si="160"/>
        <v xml:space="preserve"> </v>
      </c>
      <c r="AH339" t="str">
        <f>CONCATENATE(+Contacts!I339)</f>
        <v>j.prolpato@upcmail.nl</v>
      </c>
      <c r="AI339">
        <v>1500000010</v>
      </c>
      <c r="AJ339" s="5">
        <f t="shared" si="161"/>
        <v>1</v>
      </c>
    </row>
    <row r="340" spans="1:36" x14ac:dyDescent="0.35">
      <c r="A340" s="7" t="str">
        <f t="shared" si="136"/>
        <v>&lt;contact&gt;&lt;category&gt;0&lt;/category&gt;&lt;person&gt;&lt;realName&gt;Prol Pato, Xossé   &lt;/realName&gt;&lt;/person&gt;</v>
      </c>
      <c r="B340" s="7" t="str">
        <f t="shared" si="137"/>
        <v>&lt;telephony nid="1"&gt;&lt;number id="0" prio="1" type="home"&gt;+31 102651037&lt;/number&gt;&lt;/telephony&gt;</v>
      </c>
      <c r="C340" s="7" t="str">
        <f t="shared" si="138"/>
        <v>&lt;services /&gt;&lt;setup /&gt;&lt;mod_time&gt;1500000010&lt;/mod_time&gt;&lt;uniqueid&gt;1&lt;/uniqueid&gt;&lt;/contact&gt;</v>
      </c>
      <c r="D340" t="str">
        <f t="shared" si="139"/>
        <v>&lt;contact&gt;&lt;category&gt;0&lt;/category&gt;&lt;person&gt;&lt;realName&gt;Prol Pato, Xossé   &lt;/realName&gt;&lt;/person&gt;</v>
      </c>
      <c r="E340" t="str">
        <f t="shared" si="140"/>
        <v>&lt;telephony nid="1"&gt;&lt;number id="0" prio="1" type="home"&gt;+31 102651037&lt;/number&gt;&lt;/telephony&gt;</v>
      </c>
      <c r="F340" t="str">
        <f t="shared" si="141"/>
        <v>&lt;telephony nid="1"&gt;</v>
      </c>
      <c r="G340" t="str">
        <f t="shared" si="142"/>
        <v/>
      </c>
      <c r="H340" t="str">
        <f t="shared" si="143"/>
        <v>&lt;services nid="1"&gt;&lt;email id="0" classifier="private"&gt;&lt;/email&gt;&lt;/services&gt;&lt;setup /&gt;&lt;mod_time&gt;1500000010&lt;/mod_time&gt;&lt;uniqueid&gt;1&lt;/uniqueid&gt;&lt;/contact&gt;</v>
      </c>
      <c r="I340" t="str">
        <f t="shared" si="144"/>
        <v>&lt;services /&gt;&lt;setup /&gt;&lt;mod_time&gt;1500000010&lt;/mod_time&gt;&lt;uniqueid&gt;1&lt;/uniqueid&gt;&lt;/contact&gt;</v>
      </c>
      <c r="J340" t="str">
        <f t="shared" si="145"/>
        <v>&lt;services /&gt;&lt;setup /&gt;&lt;mod_time&gt;1500000010&lt;/mod_time&gt;&lt;uniqueid&gt;1&lt;/uniqueid&gt;&lt;/contact&gt;</v>
      </c>
      <c r="K340" s="5">
        <f t="shared" si="146"/>
        <v>0</v>
      </c>
      <c r="L340" s="5">
        <f t="shared" si="147"/>
        <v>0</v>
      </c>
      <c r="M340" s="5" t="str">
        <f>CONCATENATE(+Contacts!E340)</f>
        <v/>
      </c>
      <c r="N340" t="str">
        <f t="shared" si="148"/>
        <v>&lt;number id="0" prio="1" type="home"&gt;+31 102651037&lt;/number&gt;</v>
      </c>
      <c r="O340" s="5">
        <f t="shared" si="149"/>
        <v>1</v>
      </c>
      <c r="P340" s="5">
        <f t="shared" si="150"/>
        <v>1</v>
      </c>
      <c r="Q340" s="5" t="str">
        <f>CONCATENATE(+Contacts!G340)</f>
        <v>+31 102651037</v>
      </c>
      <c r="R340" t="str">
        <f t="shared" si="151"/>
        <v/>
      </c>
      <c r="S340" s="5">
        <f t="shared" si="152"/>
        <v>1</v>
      </c>
      <c r="T340" s="5">
        <f t="shared" si="153"/>
        <v>1</v>
      </c>
      <c r="U340" s="5" t="str">
        <f>CONCATENATE(+Contacts!H340)</f>
        <v/>
      </c>
      <c r="V340" t="str">
        <f t="shared" si="154"/>
        <v/>
      </c>
      <c r="W340" s="5">
        <f t="shared" si="155"/>
        <v>1</v>
      </c>
      <c r="X340" s="5">
        <f t="shared" si="156"/>
        <v>1</v>
      </c>
      <c r="Y340" s="5" t="str">
        <f>CONCATENATE(+Contacts!F340)</f>
        <v/>
      </c>
      <c r="Z340" s="2" t="str">
        <f t="shared" si="157"/>
        <v xml:space="preserve">Prol Pato, Xossé   </v>
      </c>
      <c r="AA340" s="2" t="str">
        <f>CONCATENATE(+Contacts!C340)</f>
        <v>Prol Pato</v>
      </c>
      <c r="AB340" s="2" t="str">
        <f t="shared" si="158"/>
        <v xml:space="preserve">, </v>
      </c>
      <c r="AC340" s="2" t="str">
        <f>CONCATENATE(+Contacts!A340)</f>
        <v>Xossé</v>
      </c>
      <c r="AD340" s="3" t="str">
        <f>CONCATENATE(" ",+Contacts!B340)</f>
        <v xml:space="preserve"> </v>
      </c>
      <c r="AE340" s="2" t="str">
        <f t="shared" si="159"/>
        <v xml:space="preserve"> </v>
      </c>
      <c r="AF340" s="3" t="str">
        <f>CONCATENATE(+Contacts!D340)</f>
        <v/>
      </c>
      <c r="AG340" s="2" t="str">
        <f t="shared" si="160"/>
        <v xml:space="preserve"> </v>
      </c>
      <c r="AH340" t="str">
        <f>CONCATENATE(+Contacts!I340)</f>
        <v/>
      </c>
      <c r="AI340">
        <v>1500000010</v>
      </c>
      <c r="AJ340" s="5">
        <f t="shared" si="161"/>
        <v>1</v>
      </c>
    </row>
    <row r="341" spans="1:36" x14ac:dyDescent="0.35">
      <c r="A341" s="7" t="str">
        <f t="shared" si="136"/>
        <v>&lt;contact&gt;&lt;category&gt;0&lt;/category&gt;&lt;person&gt;&lt;realName&gt;PSO  (Popschool Ommoord)&lt;/realName&gt;&lt;/person&gt;</v>
      </c>
      <c r="B341" s="7" t="str">
        <f t="shared" si="137"/>
        <v>&lt;telephony nid="1"&gt;&lt;number id="0" prio="1" type="work"&gt;+31 104211440&lt;/number&gt;&lt;/telephony&gt;</v>
      </c>
      <c r="C341" s="7" t="str">
        <f t="shared" si="138"/>
        <v>&lt;services /&gt;&lt;setup /&gt;&lt;mod_time&gt;1500000010&lt;/mod_time&gt;&lt;uniqueid&gt;1&lt;/uniqueid&gt;&lt;/contact&gt;</v>
      </c>
      <c r="D341" t="str">
        <f t="shared" si="139"/>
        <v>&lt;contact&gt;&lt;category&gt;0&lt;/category&gt;&lt;person&gt;&lt;realName&gt;PSO  (Popschool Ommoord)&lt;/realName&gt;&lt;/person&gt;</v>
      </c>
      <c r="E341" t="str">
        <f t="shared" si="140"/>
        <v>&lt;telephony nid="1"&gt;&lt;number id="0" prio="1" type="work"&gt;+31 104211440&lt;/number&gt;&lt;/telephony&gt;</v>
      </c>
      <c r="F341" t="str">
        <f t="shared" si="141"/>
        <v>&lt;telephony nid="1"&gt;</v>
      </c>
      <c r="G341" t="str">
        <f t="shared" si="142"/>
        <v>&lt;number id="0" prio="1" type="work"&gt;+31 104211440&lt;/number&gt;</v>
      </c>
      <c r="H341" t="str">
        <f t="shared" si="143"/>
        <v>&lt;services nid="1"&gt;&lt;email id="0" classifier="private"&gt;&lt;/email&gt;&lt;/services&gt;&lt;setup /&gt;&lt;mod_time&gt;1500000010&lt;/mod_time&gt;&lt;uniqueid&gt;1&lt;/uniqueid&gt;&lt;/contact&gt;</v>
      </c>
      <c r="I341" t="str">
        <f t="shared" si="144"/>
        <v>&lt;services /&gt;&lt;setup /&gt;&lt;mod_time&gt;1500000010&lt;/mod_time&gt;&lt;uniqueid&gt;1&lt;/uniqueid&gt;&lt;/contact&gt;</v>
      </c>
      <c r="J341" t="str">
        <f t="shared" si="145"/>
        <v>&lt;services /&gt;&lt;setup /&gt;&lt;mod_time&gt;1500000010&lt;/mod_time&gt;&lt;uniqueid&gt;1&lt;/uniqueid&gt;&lt;/contact&gt;</v>
      </c>
      <c r="K341" s="5">
        <f t="shared" si="146"/>
        <v>1</v>
      </c>
      <c r="L341" s="5">
        <f t="shared" si="147"/>
        <v>1</v>
      </c>
      <c r="M341" s="5" t="str">
        <f>CONCATENATE(+Contacts!E341)</f>
        <v>+31 104211440</v>
      </c>
      <c r="N341" t="str">
        <f t="shared" si="148"/>
        <v/>
      </c>
      <c r="O341" s="5">
        <f t="shared" si="149"/>
        <v>1</v>
      </c>
      <c r="P341" s="5">
        <f t="shared" si="150"/>
        <v>1</v>
      </c>
      <c r="Q341" s="5" t="str">
        <f>CONCATENATE(+Contacts!G341)</f>
        <v/>
      </c>
      <c r="R341" t="str">
        <f t="shared" si="151"/>
        <v/>
      </c>
      <c r="S341" s="5">
        <f t="shared" si="152"/>
        <v>1</v>
      </c>
      <c r="T341" s="5">
        <f t="shared" si="153"/>
        <v>1</v>
      </c>
      <c r="U341" s="5" t="str">
        <f>CONCATENATE(+Contacts!H341)</f>
        <v/>
      </c>
      <c r="V341" t="str">
        <f t="shared" si="154"/>
        <v/>
      </c>
      <c r="W341" s="5">
        <f t="shared" si="155"/>
        <v>1</v>
      </c>
      <c r="X341" s="5">
        <f t="shared" si="156"/>
        <v>1</v>
      </c>
      <c r="Y341" s="5" t="str">
        <f>CONCATENATE(+Contacts!F341)</f>
        <v/>
      </c>
      <c r="Z341" s="2" t="str">
        <f t="shared" si="157"/>
        <v>PSO  (Popschool Ommoord)</v>
      </c>
      <c r="AA341" s="2" t="str">
        <f>CONCATENATE(+Contacts!C341)</f>
        <v>PSO</v>
      </c>
      <c r="AB341" s="2" t="str">
        <f t="shared" si="158"/>
        <v xml:space="preserve"> </v>
      </c>
      <c r="AC341" s="2" t="str">
        <f>CONCATENATE(+Contacts!A341)</f>
        <v/>
      </c>
      <c r="AD341" s="3" t="str">
        <f>CONCATENATE(" ",+Contacts!B341)</f>
        <v xml:space="preserve"> </v>
      </c>
      <c r="AE341" s="2" t="str">
        <f t="shared" si="159"/>
        <v>(</v>
      </c>
      <c r="AF341" s="3" t="str">
        <f>CONCATENATE(+Contacts!D341)</f>
        <v>Popschool Ommoord</v>
      </c>
      <c r="AG341" s="2" t="str">
        <f t="shared" si="160"/>
        <v>)</v>
      </c>
      <c r="AH341" t="str">
        <f>CONCATENATE(+Contacts!I341)</f>
        <v/>
      </c>
      <c r="AI341">
        <v>1500000010</v>
      </c>
      <c r="AJ341" s="5">
        <f t="shared" si="161"/>
        <v>1</v>
      </c>
    </row>
    <row r="342" spans="1:36" x14ac:dyDescent="0.35">
      <c r="A342" s="7" t="str">
        <f t="shared" si="136"/>
        <v>&lt;contact&gt;&lt;category&gt;0&lt;/category&gt;&lt;person&gt;&lt;realName&gt;Puit, Nelleke de  &lt;/realName&gt;&lt;/person&gt;</v>
      </c>
      <c r="B342" s="7" t="str">
        <f t="shared" si="137"/>
        <v>&lt;telephony nid="1"&gt;&lt;number id="0" prio="1" type="mobile"&gt;+31 6 10703531&lt;/number&gt;&lt;/telephony&gt;</v>
      </c>
      <c r="C342" s="7" t="str">
        <f t="shared" si="138"/>
        <v>&lt;services nid="1"&gt;&lt;email id="0" classifier="private"&gt;ndepuit@gmail.com&lt;/email&gt;&lt;/services&gt;&lt;setup /&gt;&lt;mod_time&gt;1500000010&lt;/mod_time&gt;&lt;uniqueid&gt;1&lt;/uniqueid&gt;&lt;/contact&gt;</v>
      </c>
      <c r="D342" t="str">
        <f t="shared" si="139"/>
        <v>&lt;contact&gt;&lt;category&gt;0&lt;/category&gt;&lt;person&gt;&lt;realName&gt;Puit, Nelleke de  &lt;/realName&gt;&lt;/person&gt;</v>
      </c>
      <c r="E342" t="str">
        <f t="shared" si="140"/>
        <v>&lt;telephony nid="1"&gt;&lt;number id="0" prio="1" type="mobile"&gt;+31 6 10703531&lt;/number&gt;&lt;/telephony&gt;</v>
      </c>
      <c r="F342" t="str">
        <f t="shared" si="141"/>
        <v>&lt;telephony nid="1"&gt;</v>
      </c>
      <c r="G342" t="str">
        <f t="shared" si="142"/>
        <v/>
      </c>
      <c r="H342" t="str">
        <f t="shared" si="143"/>
        <v>&lt;services nid="1"&gt;&lt;email id="0" classifier="private"&gt;ndepuit@gmail.com&lt;/email&gt;&lt;/services&gt;&lt;setup /&gt;&lt;mod_time&gt;1500000010&lt;/mod_time&gt;&lt;uniqueid&gt;1&lt;/uniqueid&gt;&lt;/contact&gt;</v>
      </c>
      <c r="I342" t="str">
        <f t="shared" si="144"/>
        <v>&lt;services /&gt;&lt;setup /&gt;&lt;mod_time&gt;1500000010&lt;/mod_time&gt;&lt;uniqueid&gt;1&lt;/uniqueid&gt;&lt;/contact&gt;</v>
      </c>
      <c r="J342" t="str">
        <f t="shared" si="145"/>
        <v>&lt;services nid="1"&gt;&lt;email id="0" classifier="private"&gt;ndepuit@gmail.com&lt;/email&gt;&lt;/services&gt;&lt;setup /&gt;&lt;mod_time&gt;1500000010&lt;/mod_time&gt;&lt;uniqueid&gt;1&lt;/uniqueid&gt;&lt;/contact&gt;</v>
      </c>
      <c r="K342" s="5">
        <f t="shared" si="146"/>
        <v>0</v>
      </c>
      <c r="L342" s="5">
        <f t="shared" si="147"/>
        <v>0</v>
      </c>
      <c r="M342" s="5" t="str">
        <f>CONCATENATE(+Contacts!E342)</f>
        <v/>
      </c>
      <c r="N342" t="str">
        <f t="shared" si="148"/>
        <v/>
      </c>
      <c r="O342" s="5">
        <f t="shared" si="149"/>
        <v>0</v>
      </c>
      <c r="P342" s="5">
        <f t="shared" si="150"/>
        <v>0</v>
      </c>
      <c r="Q342" s="5" t="str">
        <f>CONCATENATE(+Contacts!G342)</f>
        <v/>
      </c>
      <c r="R342" t="str">
        <f t="shared" si="151"/>
        <v>&lt;number id="0" prio="1" type="mobile"&gt;+31 6 10703531&lt;/number&gt;</v>
      </c>
      <c r="S342" s="5">
        <f t="shared" si="152"/>
        <v>1</v>
      </c>
      <c r="T342" s="5">
        <f t="shared" si="153"/>
        <v>1</v>
      </c>
      <c r="U342" s="5" t="str">
        <f>CONCATENATE(+Contacts!H342)</f>
        <v>+31 6 10703531</v>
      </c>
      <c r="V342" t="str">
        <f t="shared" si="154"/>
        <v/>
      </c>
      <c r="W342" s="5">
        <f t="shared" si="155"/>
        <v>1</v>
      </c>
      <c r="X342" s="5">
        <f t="shared" si="156"/>
        <v>1</v>
      </c>
      <c r="Y342" s="5" t="str">
        <f>CONCATENATE(+Contacts!F342)</f>
        <v/>
      </c>
      <c r="Z342" s="2" t="str">
        <f t="shared" si="157"/>
        <v xml:space="preserve">Puit, Nelleke de  </v>
      </c>
      <c r="AA342" s="2" t="str">
        <f>CONCATENATE(+Contacts!C342)</f>
        <v>Puit</v>
      </c>
      <c r="AB342" s="2" t="str">
        <f t="shared" si="158"/>
        <v xml:space="preserve">, </v>
      </c>
      <c r="AC342" s="2" t="str">
        <f>CONCATENATE(+Contacts!A342)</f>
        <v>Nelleke</v>
      </c>
      <c r="AD342" s="3" t="str">
        <f>CONCATENATE(" ",+Contacts!B342)</f>
        <v xml:space="preserve"> de</v>
      </c>
      <c r="AE342" s="2" t="str">
        <f t="shared" si="159"/>
        <v xml:space="preserve"> </v>
      </c>
      <c r="AF342" s="3" t="str">
        <f>CONCATENATE(+Contacts!D342)</f>
        <v/>
      </c>
      <c r="AG342" s="2" t="str">
        <f t="shared" si="160"/>
        <v xml:space="preserve"> </v>
      </c>
      <c r="AH342" t="str">
        <f>CONCATENATE(+Contacts!I342)</f>
        <v>ndepuit@gmail.com</v>
      </c>
      <c r="AI342">
        <v>1500000010</v>
      </c>
      <c r="AJ342" s="5">
        <f t="shared" si="161"/>
        <v>1</v>
      </c>
    </row>
    <row r="343" spans="1:36" x14ac:dyDescent="0.35">
      <c r="A343" s="7" t="str">
        <f t="shared" si="136"/>
        <v>&lt;contact&gt;&lt;category&gt;0&lt;/category&gt;&lt;person&gt;&lt;realName&gt;Put, Christa &amp;amp; Frans van de  &lt;/realName&gt;&lt;/person&gt;</v>
      </c>
      <c r="B343" s="7" t="str">
        <f t="shared" si="137"/>
        <v>&lt;telephony nid="1"&gt;&lt;number id="0" prio="1" type="mobile"&gt;+31 644958143&lt;/number&gt;&lt;/telephony&gt;</v>
      </c>
      <c r="C343" s="7" t="str">
        <f t="shared" si="138"/>
        <v>&lt;services nid="1"&gt;&lt;email id="0" classifier="private"&gt;put00322@planet.nl&lt;/email&gt;&lt;/services&gt;&lt;setup /&gt;&lt;mod_time&gt;1500000010&lt;/mod_time&gt;&lt;uniqueid&gt;1&lt;/uniqueid&gt;&lt;/contact&gt;</v>
      </c>
      <c r="D343" t="str">
        <f t="shared" si="139"/>
        <v>&lt;contact&gt;&lt;category&gt;0&lt;/category&gt;&lt;person&gt;&lt;realName&gt;Put, Christa &amp;amp; Frans van de  &lt;/realName&gt;&lt;/person&gt;</v>
      </c>
      <c r="E343" t="str">
        <f t="shared" si="140"/>
        <v>&lt;telephony nid="1"&gt;&lt;number id="0" prio="1" type="mobile"&gt;+31 644958143&lt;/number&gt;&lt;/telephony&gt;</v>
      </c>
      <c r="F343" t="str">
        <f t="shared" si="141"/>
        <v>&lt;telephony nid="1"&gt;</v>
      </c>
      <c r="G343" t="str">
        <f t="shared" si="142"/>
        <v/>
      </c>
      <c r="H343" t="str">
        <f t="shared" si="143"/>
        <v>&lt;services nid="1"&gt;&lt;email id="0" classifier="private"&gt;put00322@planet.nl&lt;/email&gt;&lt;/services&gt;&lt;setup /&gt;&lt;mod_time&gt;1500000010&lt;/mod_time&gt;&lt;uniqueid&gt;1&lt;/uniqueid&gt;&lt;/contact&gt;</v>
      </c>
      <c r="I343" t="str">
        <f t="shared" si="144"/>
        <v>&lt;services /&gt;&lt;setup /&gt;&lt;mod_time&gt;1500000010&lt;/mod_time&gt;&lt;uniqueid&gt;1&lt;/uniqueid&gt;&lt;/contact&gt;</v>
      </c>
      <c r="J343" t="str">
        <f t="shared" si="145"/>
        <v>&lt;services nid="1"&gt;&lt;email id="0" classifier="private"&gt;put00322@planet.nl&lt;/email&gt;&lt;/services&gt;&lt;setup /&gt;&lt;mod_time&gt;1500000010&lt;/mod_time&gt;&lt;uniqueid&gt;1&lt;/uniqueid&gt;&lt;/contact&gt;</v>
      </c>
      <c r="K343" s="5">
        <f t="shared" si="146"/>
        <v>0</v>
      </c>
      <c r="L343" s="5">
        <f t="shared" si="147"/>
        <v>0</v>
      </c>
      <c r="M343" s="5" t="str">
        <f>CONCATENATE(+Contacts!E343)</f>
        <v/>
      </c>
      <c r="N343" t="str">
        <f t="shared" si="148"/>
        <v/>
      </c>
      <c r="O343" s="5">
        <f t="shared" si="149"/>
        <v>0</v>
      </c>
      <c r="P343" s="5">
        <f t="shared" si="150"/>
        <v>0</v>
      </c>
      <c r="Q343" s="5" t="str">
        <f>CONCATENATE(+Contacts!G343)</f>
        <v/>
      </c>
      <c r="R343" t="str">
        <f t="shared" si="151"/>
        <v>&lt;number id="0" prio="1" type="mobile"&gt;+31 644958143&lt;/number&gt;</v>
      </c>
      <c r="S343" s="5">
        <f t="shared" si="152"/>
        <v>1</v>
      </c>
      <c r="T343" s="5">
        <f t="shared" si="153"/>
        <v>1</v>
      </c>
      <c r="U343" s="5" t="str">
        <f>CONCATENATE(+Contacts!H343)</f>
        <v>+31 644958143</v>
      </c>
      <c r="V343" t="str">
        <f t="shared" si="154"/>
        <v/>
      </c>
      <c r="W343" s="5">
        <f t="shared" si="155"/>
        <v>1</v>
      </c>
      <c r="X343" s="5">
        <f t="shared" si="156"/>
        <v>1</v>
      </c>
      <c r="Y343" s="5" t="str">
        <f>CONCATENATE(+Contacts!F343)</f>
        <v/>
      </c>
      <c r="Z343" s="2" t="str">
        <f t="shared" si="157"/>
        <v xml:space="preserve">Put, Christa &amp;amp; Frans van de  </v>
      </c>
      <c r="AA343" s="2" t="str">
        <f>CONCATENATE(+Contacts!C343)</f>
        <v>Put</v>
      </c>
      <c r="AB343" s="2" t="str">
        <f t="shared" si="158"/>
        <v xml:space="preserve">, </v>
      </c>
      <c r="AC343" s="2" t="str">
        <f>CONCATENATE(+Contacts!A343)</f>
        <v>Christa &amp;amp; Frans</v>
      </c>
      <c r="AD343" s="3" t="str">
        <f>CONCATENATE(" ",+Contacts!B343)</f>
        <v xml:space="preserve"> van de</v>
      </c>
      <c r="AE343" s="2" t="str">
        <f t="shared" si="159"/>
        <v xml:space="preserve"> </v>
      </c>
      <c r="AF343" s="3" t="str">
        <f>CONCATENATE(+Contacts!D343)</f>
        <v/>
      </c>
      <c r="AG343" s="2" t="str">
        <f t="shared" si="160"/>
        <v xml:space="preserve"> </v>
      </c>
      <c r="AH343" t="str">
        <f>CONCATENATE(+Contacts!I343)</f>
        <v>put00322@planet.nl</v>
      </c>
      <c r="AI343">
        <v>1500000010</v>
      </c>
      <c r="AJ343" s="5">
        <f t="shared" si="161"/>
        <v>1</v>
      </c>
    </row>
    <row r="344" spans="1:36" x14ac:dyDescent="0.35">
      <c r="A344" s="7" t="str">
        <f t="shared" si="136"/>
        <v>&lt;contact&gt;&lt;category&gt;0&lt;/category&gt;&lt;person&gt;&lt;realName&gt;Put Mode  (Kledingwinkel)&lt;/realName&gt;&lt;/person&gt;</v>
      </c>
      <c r="B344" s="7" t="str">
        <f t="shared" si="137"/>
        <v>&lt;telephony nid="1"&gt;&lt;number id="0" prio="1" type="work"&gt;+31 104565429&lt;/number&gt;&lt;/telephony&gt;</v>
      </c>
      <c r="C344" s="7" t="str">
        <f t="shared" si="138"/>
        <v>&lt;services /&gt;&lt;setup /&gt;&lt;mod_time&gt;1500000010&lt;/mod_time&gt;&lt;uniqueid&gt;1&lt;/uniqueid&gt;&lt;/contact&gt;</v>
      </c>
      <c r="D344" t="str">
        <f t="shared" si="139"/>
        <v>&lt;contact&gt;&lt;category&gt;0&lt;/category&gt;&lt;person&gt;&lt;realName&gt;Put Mode  (Kledingwinkel)&lt;/realName&gt;&lt;/person&gt;</v>
      </c>
      <c r="E344" t="str">
        <f t="shared" si="140"/>
        <v>&lt;telephony nid="1"&gt;&lt;number id="0" prio="1" type="work"&gt;+31 104565429&lt;/number&gt;&lt;/telephony&gt;</v>
      </c>
      <c r="F344" t="str">
        <f t="shared" si="141"/>
        <v>&lt;telephony nid="1"&gt;</v>
      </c>
      <c r="G344" t="str">
        <f t="shared" si="142"/>
        <v>&lt;number id="0" prio="1" type="work"&gt;+31 104565429&lt;/number&gt;</v>
      </c>
      <c r="H344" t="str">
        <f t="shared" si="143"/>
        <v>&lt;services nid="1"&gt;&lt;email id="0" classifier="private"&gt;&lt;/email&gt;&lt;/services&gt;&lt;setup /&gt;&lt;mod_time&gt;1500000010&lt;/mod_time&gt;&lt;uniqueid&gt;1&lt;/uniqueid&gt;&lt;/contact&gt;</v>
      </c>
      <c r="I344" t="str">
        <f t="shared" si="144"/>
        <v>&lt;services /&gt;&lt;setup /&gt;&lt;mod_time&gt;1500000010&lt;/mod_time&gt;&lt;uniqueid&gt;1&lt;/uniqueid&gt;&lt;/contact&gt;</v>
      </c>
      <c r="J344" t="str">
        <f t="shared" si="145"/>
        <v>&lt;services /&gt;&lt;setup /&gt;&lt;mod_time&gt;1500000010&lt;/mod_time&gt;&lt;uniqueid&gt;1&lt;/uniqueid&gt;&lt;/contact&gt;</v>
      </c>
      <c r="K344" s="5">
        <f t="shared" si="146"/>
        <v>1</v>
      </c>
      <c r="L344" s="5">
        <f t="shared" si="147"/>
        <v>1</v>
      </c>
      <c r="M344" s="5" t="str">
        <f>CONCATENATE(+Contacts!E344)</f>
        <v>+31 104565429</v>
      </c>
      <c r="N344" t="str">
        <f t="shared" si="148"/>
        <v/>
      </c>
      <c r="O344" s="5">
        <f t="shared" si="149"/>
        <v>1</v>
      </c>
      <c r="P344" s="5">
        <f t="shared" si="150"/>
        <v>1</v>
      </c>
      <c r="Q344" s="5" t="str">
        <f>CONCATENATE(+Contacts!G344)</f>
        <v/>
      </c>
      <c r="R344" t="str">
        <f t="shared" si="151"/>
        <v/>
      </c>
      <c r="S344" s="5">
        <f t="shared" si="152"/>
        <v>1</v>
      </c>
      <c r="T344" s="5">
        <f t="shared" si="153"/>
        <v>1</v>
      </c>
      <c r="U344" s="5" t="str">
        <f>CONCATENATE(+Contacts!H344)</f>
        <v/>
      </c>
      <c r="V344" t="str">
        <f t="shared" si="154"/>
        <v/>
      </c>
      <c r="W344" s="5">
        <f t="shared" si="155"/>
        <v>1</v>
      </c>
      <c r="X344" s="5">
        <f t="shared" si="156"/>
        <v>1</v>
      </c>
      <c r="Y344" s="5" t="str">
        <f>CONCATENATE(+Contacts!F344)</f>
        <v/>
      </c>
      <c r="Z344" s="2" t="str">
        <f t="shared" si="157"/>
        <v>Put Mode  (Kledingwinkel)</v>
      </c>
      <c r="AA344" s="2" t="str">
        <f>CONCATENATE(+Contacts!C344)</f>
        <v>Put Mode</v>
      </c>
      <c r="AB344" s="2" t="str">
        <f t="shared" si="158"/>
        <v xml:space="preserve"> </v>
      </c>
      <c r="AC344" s="2" t="str">
        <f>CONCATENATE(+Contacts!A344)</f>
        <v/>
      </c>
      <c r="AD344" s="3" t="str">
        <f>CONCATENATE(" ",+Contacts!B344)</f>
        <v xml:space="preserve"> </v>
      </c>
      <c r="AE344" s="2" t="str">
        <f t="shared" si="159"/>
        <v>(</v>
      </c>
      <c r="AF344" s="3" t="str">
        <f>CONCATENATE(+Contacts!D344)</f>
        <v>Kledingwinkel</v>
      </c>
      <c r="AG344" s="2" t="str">
        <f t="shared" si="160"/>
        <v>)</v>
      </c>
      <c r="AH344" t="str">
        <f>CONCATENATE(+Contacts!I344)</f>
        <v/>
      </c>
      <c r="AI344">
        <v>1500000010</v>
      </c>
      <c r="AJ344" s="5">
        <f t="shared" si="161"/>
        <v>1</v>
      </c>
    </row>
    <row r="345" spans="1:36" x14ac:dyDescent="0.35">
      <c r="A345" s="7" t="str">
        <f t="shared" si="136"/>
        <v>&lt;contact&gt;&lt;category&gt;0&lt;/category&gt;&lt;person&gt;&lt;realName&gt;Raaijmakers, Anneke   &lt;/realName&gt;&lt;/person&gt;</v>
      </c>
      <c r="B345" s="7" t="str">
        <f t="shared" si="137"/>
        <v>&lt;telephony nid="1"&gt;&lt;number id="0" prio="1" type="home"&gt;00 31 6 14 68 06 30&lt;/number&gt;&lt;/telephony&gt;</v>
      </c>
      <c r="C345" s="7" t="str">
        <f t="shared" si="138"/>
        <v>&lt;services nid="1"&gt;&lt;email id="0" classifier="private"&gt;amraaijmakers@tele2.nl&lt;/email&gt;&lt;/services&gt;&lt;setup /&gt;&lt;mod_time&gt;1500000010&lt;/mod_time&gt;&lt;uniqueid&gt;1&lt;/uniqueid&gt;&lt;/contact&gt;</v>
      </c>
      <c r="D345" t="str">
        <f t="shared" si="139"/>
        <v>&lt;contact&gt;&lt;category&gt;0&lt;/category&gt;&lt;person&gt;&lt;realName&gt;Raaijmakers, Anneke   &lt;/realName&gt;&lt;/person&gt;</v>
      </c>
      <c r="E345" t="str">
        <f t="shared" si="140"/>
        <v>&lt;telephony nid="1"&gt;&lt;number id="0" prio="1" type="home"&gt;00 31 6 14 68 06 30&lt;/number&gt;&lt;/telephony&gt;</v>
      </c>
      <c r="F345" t="str">
        <f t="shared" si="141"/>
        <v>&lt;telephony nid="1"&gt;</v>
      </c>
      <c r="G345" t="str">
        <f t="shared" si="142"/>
        <v/>
      </c>
      <c r="H345" t="str">
        <f t="shared" si="143"/>
        <v>&lt;services nid="1"&gt;&lt;email id="0" classifier="private"&gt;amraaijmakers@tele2.nl&lt;/email&gt;&lt;/services&gt;&lt;setup /&gt;&lt;mod_time&gt;1500000010&lt;/mod_time&gt;&lt;uniqueid&gt;1&lt;/uniqueid&gt;&lt;/contact&gt;</v>
      </c>
      <c r="I345" t="str">
        <f t="shared" si="144"/>
        <v>&lt;services /&gt;&lt;setup /&gt;&lt;mod_time&gt;1500000010&lt;/mod_time&gt;&lt;uniqueid&gt;1&lt;/uniqueid&gt;&lt;/contact&gt;</v>
      </c>
      <c r="J345" t="str">
        <f t="shared" si="145"/>
        <v>&lt;services nid="1"&gt;&lt;email id="0" classifier="private"&gt;amraaijmakers@tele2.nl&lt;/email&gt;&lt;/services&gt;&lt;setup /&gt;&lt;mod_time&gt;1500000010&lt;/mod_time&gt;&lt;uniqueid&gt;1&lt;/uniqueid&gt;&lt;/contact&gt;</v>
      </c>
      <c r="K345" s="5">
        <f t="shared" si="146"/>
        <v>0</v>
      </c>
      <c r="L345" s="5">
        <f t="shared" si="147"/>
        <v>0</v>
      </c>
      <c r="M345" s="5" t="str">
        <f>CONCATENATE(+Contacts!E345)</f>
        <v/>
      </c>
      <c r="N345" t="str">
        <f t="shared" si="148"/>
        <v>&lt;number id="0" prio="1" type="home"&gt;00 31 6 14 68 06 30&lt;/number&gt;</v>
      </c>
      <c r="O345" s="5">
        <f t="shared" si="149"/>
        <v>1</v>
      </c>
      <c r="P345" s="5">
        <f t="shared" si="150"/>
        <v>1</v>
      </c>
      <c r="Q345" s="5" t="str">
        <f>CONCATENATE(+Contacts!G345)</f>
        <v>00 31 6 14 68 06 30</v>
      </c>
      <c r="R345" t="str">
        <f t="shared" si="151"/>
        <v/>
      </c>
      <c r="S345" s="5">
        <f t="shared" si="152"/>
        <v>1</v>
      </c>
      <c r="T345" s="5">
        <f t="shared" si="153"/>
        <v>1</v>
      </c>
      <c r="U345" s="5" t="str">
        <f>CONCATENATE(+Contacts!H345)</f>
        <v/>
      </c>
      <c r="V345" t="str">
        <f t="shared" si="154"/>
        <v/>
      </c>
      <c r="W345" s="5">
        <f t="shared" si="155"/>
        <v>1</v>
      </c>
      <c r="X345" s="5">
        <f t="shared" si="156"/>
        <v>1</v>
      </c>
      <c r="Y345" s="5" t="str">
        <f>CONCATENATE(+Contacts!F345)</f>
        <v/>
      </c>
      <c r="Z345" s="2" t="str">
        <f t="shared" si="157"/>
        <v xml:space="preserve">Raaijmakers, Anneke   </v>
      </c>
      <c r="AA345" s="2" t="str">
        <f>CONCATENATE(+Contacts!C345)</f>
        <v>Raaijmakers</v>
      </c>
      <c r="AB345" s="2" t="str">
        <f t="shared" si="158"/>
        <v xml:space="preserve">, </v>
      </c>
      <c r="AC345" s="2" t="str">
        <f>CONCATENATE(+Contacts!A345)</f>
        <v>Anneke</v>
      </c>
      <c r="AD345" s="3" t="str">
        <f>CONCATENATE(" ",+Contacts!B345)</f>
        <v xml:space="preserve"> </v>
      </c>
      <c r="AE345" s="2" t="str">
        <f t="shared" si="159"/>
        <v xml:space="preserve"> </v>
      </c>
      <c r="AF345" s="3" t="str">
        <f>CONCATENATE(+Contacts!D345)</f>
        <v/>
      </c>
      <c r="AG345" s="2" t="str">
        <f t="shared" si="160"/>
        <v xml:space="preserve"> </v>
      </c>
      <c r="AH345" t="str">
        <f>CONCATENATE(+Contacts!I345)</f>
        <v>amraaijmakers@tele2.nl</v>
      </c>
      <c r="AI345">
        <v>1500000010</v>
      </c>
      <c r="AJ345" s="5">
        <f t="shared" si="161"/>
        <v>1</v>
      </c>
    </row>
    <row r="346" spans="1:36" x14ac:dyDescent="0.35">
      <c r="A346" s="7" t="str">
        <f t="shared" si="136"/>
        <v>&lt;contact&gt;&lt;category&gt;0&lt;/category&gt;&lt;person&gt;&lt;realName&gt;Rafiee, M. (Doktershuis Oude Noorden)&lt;/realName&gt;&lt;/person&gt;</v>
      </c>
      <c r="B346" s="7" t="str">
        <f t="shared" si="137"/>
        <v>&lt;telephony nid="1"&gt;&lt;number id="0" prio="1" type="work"&gt;+31 10 466 7548&lt;/number&gt;&lt;/telephony&gt;</v>
      </c>
      <c r="C346" s="7" t="str">
        <f t="shared" si="138"/>
        <v>&lt;services /&gt;&lt;setup /&gt;&lt;mod_time&gt;1500000010&lt;/mod_time&gt;&lt;uniqueid&gt;1&lt;/uniqueid&gt;&lt;/contact&gt;</v>
      </c>
      <c r="D346" t="str">
        <f t="shared" si="139"/>
        <v>&lt;contact&gt;&lt;category&gt;0&lt;/category&gt;&lt;person&gt;&lt;realName&gt;Rafiee, M. (Doktershuis Oude Noorden)&lt;/realName&gt;&lt;/person&gt;</v>
      </c>
      <c r="E346" t="str">
        <f t="shared" si="140"/>
        <v>&lt;telephony nid="1"&gt;&lt;number id="0" prio="1" type="work"&gt;+31 10 466 7548&lt;/number&gt;&lt;/telephony&gt;</v>
      </c>
      <c r="F346" t="str">
        <f t="shared" si="141"/>
        <v>&lt;telephony nid="1"&gt;</v>
      </c>
      <c r="G346" t="str">
        <f t="shared" si="142"/>
        <v>&lt;number id="0" prio="1" type="work"&gt;+31 10 466 7548&lt;/number&gt;</v>
      </c>
      <c r="H346" t="str">
        <f t="shared" si="143"/>
        <v>&lt;services nid="1"&gt;&lt;email id="0" classifier="private"&gt;&lt;/email&gt;&lt;/services&gt;&lt;setup /&gt;&lt;mod_time&gt;1500000010&lt;/mod_time&gt;&lt;uniqueid&gt;1&lt;/uniqueid&gt;&lt;/contact&gt;</v>
      </c>
      <c r="I346" t="str">
        <f t="shared" si="144"/>
        <v>&lt;services /&gt;&lt;setup /&gt;&lt;mod_time&gt;1500000010&lt;/mod_time&gt;&lt;uniqueid&gt;1&lt;/uniqueid&gt;&lt;/contact&gt;</v>
      </c>
      <c r="J346" t="str">
        <f t="shared" si="145"/>
        <v>&lt;services /&gt;&lt;setup /&gt;&lt;mod_time&gt;1500000010&lt;/mod_time&gt;&lt;uniqueid&gt;1&lt;/uniqueid&gt;&lt;/contact&gt;</v>
      </c>
      <c r="K346" s="5">
        <f t="shared" si="146"/>
        <v>1</v>
      </c>
      <c r="L346" s="5">
        <f t="shared" si="147"/>
        <v>1</v>
      </c>
      <c r="M346" s="5" t="str">
        <f>CONCATENATE(+Contacts!E346)</f>
        <v>+31 10 466 7548</v>
      </c>
      <c r="N346" t="str">
        <f t="shared" si="148"/>
        <v/>
      </c>
      <c r="O346" s="5">
        <f t="shared" si="149"/>
        <v>1</v>
      </c>
      <c r="P346" s="5">
        <f t="shared" si="150"/>
        <v>1</v>
      </c>
      <c r="Q346" s="5" t="str">
        <f>CONCATENATE(+Contacts!G346)</f>
        <v/>
      </c>
      <c r="R346" t="str">
        <f t="shared" si="151"/>
        <v/>
      </c>
      <c r="S346" s="5">
        <f t="shared" si="152"/>
        <v>1</v>
      </c>
      <c r="T346" s="5">
        <f t="shared" si="153"/>
        <v>1</v>
      </c>
      <c r="U346" s="5" t="str">
        <f>CONCATENATE(+Contacts!H346)</f>
        <v/>
      </c>
      <c r="V346" t="str">
        <f t="shared" si="154"/>
        <v/>
      </c>
      <c r="W346" s="5">
        <f t="shared" si="155"/>
        <v>1</v>
      </c>
      <c r="X346" s="5">
        <f t="shared" si="156"/>
        <v>1</v>
      </c>
      <c r="Y346" s="5" t="str">
        <f>CONCATENATE(+Contacts!F346)</f>
        <v/>
      </c>
      <c r="Z346" s="2" t="str">
        <f t="shared" si="157"/>
        <v>Rafiee, M. (Doktershuis Oude Noorden)</v>
      </c>
      <c r="AA346" s="2" t="str">
        <f>CONCATENATE(+Contacts!C346)</f>
        <v>Rafiee</v>
      </c>
      <c r="AB346" s="2" t="str">
        <f t="shared" si="158"/>
        <v xml:space="preserve">, </v>
      </c>
      <c r="AC346" s="2" t="str">
        <f>CONCATENATE(+Contacts!A346)</f>
        <v>M.</v>
      </c>
      <c r="AD346" s="3" t="str">
        <f>CONCATENATE(" ",+Contacts!B346)</f>
        <v xml:space="preserve"> </v>
      </c>
      <c r="AE346" s="2" t="str">
        <f t="shared" si="159"/>
        <v>(</v>
      </c>
      <c r="AF346" s="3" t="str">
        <f>CONCATENATE(+Contacts!D346)</f>
        <v>Doktershuis Oude Noorden</v>
      </c>
      <c r="AG346" s="2" t="str">
        <f t="shared" si="160"/>
        <v>)</v>
      </c>
      <c r="AH346" t="str">
        <f>CONCATENATE(+Contacts!I346)</f>
        <v/>
      </c>
      <c r="AI346">
        <v>1500000010</v>
      </c>
      <c r="AJ346" s="5">
        <f t="shared" si="161"/>
        <v>1</v>
      </c>
    </row>
    <row r="347" spans="1:36" x14ac:dyDescent="0.35">
      <c r="A347" s="7" t="str">
        <f t="shared" si="136"/>
        <v>&lt;contact&gt;&lt;category&gt;0&lt;/category&gt;&lt;person&gt;&lt;realName&gt;Ram, Marjan   &lt;/realName&gt;&lt;/person&gt;</v>
      </c>
      <c r="B347" s="7" t="str">
        <f t="shared" si="137"/>
        <v>&lt;telephony nid="1"&gt;&lt;number id="0" prio="1" type="mobile"&gt;+31 624815228&lt;/number&gt;&lt;/telephony&gt;</v>
      </c>
      <c r="C347" s="7" t="str">
        <f t="shared" si="138"/>
        <v>&lt;services nid="1"&gt;&lt;email id="0" classifier="private"&gt;marram456@gmail.com&lt;/email&gt;&lt;/services&gt;&lt;setup /&gt;&lt;mod_time&gt;1500000010&lt;/mod_time&gt;&lt;uniqueid&gt;1&lt;/uniqueid&gt;&lt;/contact&gt;</v>
      </c>
      <c r="D347" t="str">
        <f t="shared" si="139"/>
        <v>&lt;contact&gt;&lt;category&gt;0&lt;/category&gt;&lt;person&gt;&lt;realName&gt;Ram, Marjan   &lt;/realName&gt;&lt;/person&gt;</v>
      </c>
      <c r="E347" t="str">
        <f t="shared" si="140"/>
        <v>&lt;telephony nid="1"&gt;&lt;number id="0" prio="1" type="mobile"&gt;+31 624815228&lt;/number&gt;&lt;/telephony&gt;</v>
      </c>
      <c r="F347" t="str">
        <f t="shared" si="141"/>
        <v>&lt;telephony nid="1"&gt;</v>
      </c>
      <c r="G347" t="str">
        <f t="shared" si="142"/>
        <v/>
      </c>
      <c r="H347" t="str">
        <f t="shared" si="143"/>
        <v>&lt;services nid="1"&gt;&lt;email id="0" classifier="private"&gt;marram456@gmail.com&lt;/email&gt;&lt;/services&gt;&lt;setup /&gt;&lt;mod_time&gt;1500000010&lt;/mod_time&gt;&lt;uniqueid&gt;1&lt;/uniqueid&gt;&lt;/contact&gt;</v>
      </c>
      <c r="I347" t="str">
        <f t="shared" si="144"/>
        <v>&lt;services /&gt;&lt;setup /&gt;&lt;mod_time&gt;1500000010&lt;/mod_time&gt;&lt;uniqueid&gt;1&lt;/uniqueid&gt;&lt;/contact&gt;</v>
      </c>
      <c r="J347" t="str">
        <f t="shared" si="145"/>
        <v>&lt;services nid="1"&gt;&lt;email id="0" classifier="private"&gt;marram456@gmail.com&lt;/email&gt;&lt;/services&gt;&lt;setup /&gt;&lt;mod_time&gt;1500000010&lt;/mod_time&gt;&lt;uniqueid&gt;1&lt;/uniqueid&gt;&lt;/contact&gt;</v>
      </c>
      <c r="K347" s="5">
        <f t="shared" si="146"/>
        <v>0</v>
      </c>
      <c r="L347" s="5">
        <f t="shared" si="147"/>
        <v>0</v>
      </c>
      <c r="M347" s="5" t="str">
        <f>CONCATENATE(+Contacts!E347)</f>
        <v/>
      </c>
      <c r="N347" t="str">
        <f t="shared" si="148"/>
        <v/>
      </c>
      <c r="O347" s="5">
        <f t="shared" si="149"/>
        <v>0</v>
      </c>
      <c r="P347" s="5">
        <f t="shared" si="150"/>
        <v>0</v>
      </c>
      <c r="Q347" s="5" t="str">
        <f>CONCATENATE(+Contacts!G347)</f>
        <v/>
      </c>
      <c r="R347" t="str">
        <f t="shared" si="151"/>
        <v>&lt;number id="0" prio="1" type="mobile"&gt;+31 624815228&lt;/number&gt;</v>
      </c>
      <c r="S347" s="5">
        <f t="shared" si="152"/>
        <v>1</v>
      </c>
      <c r="T347" s="5">
        <f t="shared" si="153"/>
        <v>1</v>
      </c>
      <c r="U347" s="5" t="str">
        <f>CONCATENATE(+Contacts!H347)</f>
        <v>+31 624815228</v>
      </c>
      <c r="V347" t="str">
        <f t="shared" si="154"/>
        <v/>
      </c>
      <c r="W347" s="5">
        <f t="shared" si="155"/>
        <v>1</v>
      </c>
      <c r="X347" s="5">
        <f t="shared" si="156"/>
        <v>1</v>
      </c>
      <c r="Y347" s="5" t="str">
        <f>CONCATENATE(+Contacts!F347)</f>
        <v/>
      </c>
      <c r="Z347" s="2" t="str">
        <f t="shared" si="157"/>
        <v xml:space="preserve">Ram, Marjan   </v>
      </c>
      <c r="AA347" s="2" t="str">
        <f>CONCATENATE(+Contacts!C347)</f>
        <v>Ram</v>
      </c>
      <c r="AB347" s="2" t="str">
        <f t="shared" si="158"/>
        <v xml:space="preserve">, </v>
      </c>
      <c r="AC347" s="2" t="str">
        <f>CONCATENATE(+Contacts!A347)</f>
        <v>Marjan</v>
      </c>
      <c r="AD347" s="3" t="str">
        <f>CONCATENATE(" ",+Contacts!B347)</f>
        <v xml:space="preserve"> </v>
      </c>
      <c r="AE347" s="2" t="str">
        <f t="shared" si="159"/>
        <v xml:space="preserve"> </v>
      </c>
      <c r="AF347" s="3" t="str">
        <f>CONCATENATE(+Contacts!D347)</f>
        <v/>
      </c>
      <c r="AG347" s="2" t="str">
        <f t="shared" si="160"/>
        <v xml:space="preserve"> </v>
      </c>
      <c r="AH347" t="str">
        <f>CONCATENATE(+Contacts!I347)</f>
        <v>marram456@gmail.com</v>
      </c>
      <c r="AI347">
        <v>1500000010</v>
      </c>
      <c r="AJ347" s="5">
        <f t="shared" si="161"/>
        <v>1</v>
      </c>
    </row>
    <row r="348" spans="1:36" x14ac:dyDescent="0.35">
      <c r="A348" s="7" t="str">
        <f t="shared" si="136"/>
        <v/>
      </c>
      <c r="B348" s="7" t="str">
        <f t="shared" si="137"/>
        <v/>
      </c>
      <c r="C348" s="7" t="str">
        <f t="shared" si="138"/>
        <v/>
      </c>
      <c r="D348" t="str">
        <f t="shared" si="139"/>
        <v>&lt;contact&gt;&lt;category&gt;0&lt;/category&gt;&lt;person&gt;&lt;realName&gt;Ree, Bram van  &lt;/realName&gt;&lt;/person&gt;</v>
      </c>
      <c r="E348" t="str">
        <f t="shared" si="140"/>
        <v>&lt;telephony nid="0"&gt;&lt;/telephony&gt;</v>
      </c>
      <c r="F348" t="str">
        <f t="shared" si="141"/>
        <v>&lt;telephony nid="0"&gt;</v>
      </c>
      <c r="G348" t="str">
        <f t="shared" si="142"/>
        <v/>
      </c>
      <c r="H348" t="str">
        <f t="shared" si="143"/>
        <v>&lt;services nid="1"&gt;&lt;email id="0" classifier="private"&gt;&lt;/email&gt;&lt;/services&gt;&lt;setup /&gt;&lt;mod_time&gt;1500000010&lt;/mod_time&gt;&lt;uniqueid&gt;0&lt;/uniqueid&gt;&lt;/contact&gt;</v>
      </c>
      <c r="I348" t="str">
        <f t="shared" si="144"/>
        <v>&lt;services /&gt;&lt;setup /&gt;&lt;mod_time&gt;1500000010&lt;/mod_time&gt;&lt;uniqueid&gt;0&lt;/uniqueid&gt;&lt;/contact&gt;</v>
      </c>
      <c r="J348" t="str">
        <f t="shared" si="145"/>
        <v>&lt;services /&gt;&lt;setup /&gt;&lt;mod_time&gt;1500000010&lt;/mod_time&gt;&lt;uniqueid&gt;0&lt;/uniqueid&gt;&lt;/contact&gt;</v>
      </c>
      <c r="K348" s="5">
        <f t="shared" si="146"/>
        <v>0</v>
      </c>
      <c r="L348" s="5">
        <f t="shared" si="147"/>
        <v>0</v>
      </c>
      <c r="M348" s="5" t="str">
        <f>CONCATENATE(+Contacts!E348)</f>
        <v/>
      </c>
      <c r="N348" t="str">
        <f t="shared" si="148"/>
        <v/>
      </c>
      <c r="O348" s="5">
        <f t="shared" si="149"/>
        <v>0</v>
      </c>
      <c r="P348" s="5">
        <f t="shared" si="150"/>
        <v>0</v>
      </c>
      <c r="Q348" s="5" t="str">
        <f>CONCATENATE(+Contacts!G348)</f>
        <v/>
      </c>
      <c r="R348" t="str">
        <f t="shared" si="151"/>
        <v/>
      </c>
      <c r="S348" s="5">
        <f t="shared" si="152"/>
        <v>0</v>
      </c>
      <c r="T348" s="5">
        <f t="shared" si="153"/>
        <v>0</v>
      </c>
      <c r="U348" s="5" t="str">
        <f>CONCATENATE(+Contacts!H348)</f>
        <v/>
      </c>
      <c r="V348" t="str">
        <f t="shared" si="154"/>
        <v/>
      </c>
      <c r="W348" s="5">
        <f t="shared" si="155"/>
        <v>0</v>
      </c>
      <c r="X348" s="5">
        <f t="shared" si="156"/>
        <v>0</v>
      </c>
      <c r="Y348" s="5" t="str">
        <f>CONCATENATE(+Contacts!F348)</f>
        <v/>
      </c>
      <c r="Z348" s="2" t="str">
        <f t="shared" si="157"/>
        <v xml:space="preserve">Ree, Bram van  </v>
      </c>
      <c r="AA348" s="2" t="str">
        <f>CONCATENATE(+Contacts!C348)</f>
        <v>Ree</v>
      </c>
      <c r="AB348" s="2" t="str">
        <f t="shared" si="158"/>
        <v xml:space="preserve">, </v>
      </c>
      <c r="AC348" s="2" t="str">
        <f>CONCATENATE(+Contacts!A348)</f>
        <v>Bram</v>
      </c>
      <c r="AD348" s="3" t="str">
        <f>CONCATENATE(" ",+Contacts!B348)</f>
        <v xml:space="preserve"> van</v>
      </c>
      <c r="AE348" s="2" t="str">
        <f t="shared" si="159"/>
        <v xml:space="preserve"> </v>
      </c>
      <c r="AF348" s="3" t="str">
        <f>CONCATENATE(+Contacts!D348)</f>
        <v/>
      </c>
      <c r="AG348" s="2" t="str">
        <f t="shared" si="160"/>
        <v xml:space="preserve"> </v>
      </c>
      <c r="AH348" t="str">
        <f>CONCATENATE(+Contacts!I348)</f>
        <v/>
      </c>
      <c r="AI348">
        <v>1500000010</v>
      </c>
      <c r="AJ348" s="5">
        <f t="shared" si="161"/>
        <v>0</v>
      </c>
    </row>
    <row r="349" spans="1:36" x14ac:dyDescent="0.35">
      <c r="A349" s="7" t="str">
        <f t="shared" si="136"/>
        <v>&lt;contact&gt;&lt;category&gt;0&lt;/category&gt;&lt;person&gt;&lt;realName&gt;Ree, Wim van  &lt;/realName&gt;&lt;/person&gt;</v>
      </c>
      <c r="B349" s="7" t="str">
        <f t="shared" si="137"/>
        <v>&lt;telephony nid="1"&gt;&lt;number id="0" prio="1" type="home"&gt;+31 104565708&lt;/number&gt;&lt;/telephony&gt;</v>
      </c>
      <c r="C349" s="7" t="str">
        <f t="shared" si="138"/>
        <v>&lt;services /&gt;&lt;setup /&gt;&lt;mod_time&gt;1500000010&lt;/mod_time&gt;&lt;uniqueid&gt;1&lt;/uniqueid&gt;&lt;/contact&gt;</v>
      </c>
      <c r="D349" t="str">
        <f t="shared" si="139"/>
        <v>&lt;contact&gt;&lt;category&gt;0&lt;/category&gt;&lt;person&gt;&lt;realName&gt;Ree, Wim van  &lt;/realName&gt;&lt;/person&gt;</v>
      </c>
      <c r="E349" t="str">
        <f t="shared" si="140"/>
        <v>&lt;telephony nid="1"&gt;&lt;number id="0" prio="1" type="home"&gt;+31 104565708&lt;/number&gt;&lt;/telephony&gt;</v>
      </c>
      <c r="F349" t="str">
        <f t="shared" si="141"/>
        <v>&lt;telephony nid="1"&gt;</v>
      </c>
      <c r="G349" t="str">
        <f t="shared" si="142"/>
        <v/>
      </c>
      <c r="H349" t="str">
        <f t="shared" si="143"/>
        <v>&lt;services nid="1"&gt;&lt;email id="0" classifier="private"&gt;&lt;/email&gt;&lt;/services&gt;&lt;setup /&gt;&lt;mod_time&gt;1500000010&lt;/mod_time&gt;&lt;uniqueid&gt;1&lt;/uniqueid&gt;&lt;/contact&gt;</v>
      </c>
      <c r="I349" t="str">
        <f t="shared" si="144"/>
        <v>&lt;services /&gt;&lt;setup /&gt;&lt;mod_time&gt;1500000010&lt;/mod_time&gt;&lt;uniqueid&gt;1&lt;/uniqueid&gt;&lt;/contact&gt;</v>
      </c>
      <c r="J349" t="str">
        <f t="shared" si="145"/>
        <v>&lt;services /&gt;&lt;setup /&gt;&lt;mod_time&gt;1500000010&lt;/mod_time&gt;&lt;uniqueid&gt;1&lt;/uniqueid&gt;&lt;/contact&gt;</v>
      </c>
      <c r="K349" s="5">
        <f t="shared" si="146"/>
        <v>0</v>
      </c>
      <c r="L349" s="5">
        <f t="shared" si="147"/>
        <v>0</v>
      </c>
      <c r="M349" s="5" t="str">
        <f>CONCATENATE(+Contacts!E349)</f>
        <v/>
      </c>
      <c r="N349" t="str">
        <f t="shared" si="148"/>
        <v>&lt;number id="0" prio="1" type="home"&gt;+31 104565708&lt;/number&gt;</v>
      </c>
      <c r="O349" s="5">
        <f t="shared" si="149"/>
        <v>1</v>
      </c>
      <c r="P349" s="5">
        <f t="shared" si="150"/>
        <v>1</v>
      </c>
      <c r="Q349" s="5" t="str">
        <f>CONCATENATE(+Contacts!G349)</f>
        <v>+31 104565708</v>
      </c>
      <c r="R349" t="str">
        <f t="shared" si="151"/>
        <v/>
      </c>
      <c r="S349" s="5">
        <f t="shared" si="152"/>
        <v>1</v>
      </c>
      <c r="T349" s="5">
        <f t="shared" si="153"/>
        <v>1</v>
      </c>
      <c r="U349" s="5" t="str">
        <f>CONCATENATE(+Contacts!H349)</f>
        <v/>
      </c>
      <c r="V349" t="str">
        <f t="shared" si="154"/>
        <v/>
      </c>
      <c r="W349" s="5">
        <f t="shared" si="155"/>
        <v>1</v>
      </c>
      <c r="X349" s="5">
        <f t="shared" si="156"/>
        <v>1</v>
      </c>
      <c r="Y349" s="5" t="str">
        <f>CONCATENATE(+Contacts!F349)</f>
        <v/>
      </c>
      <c r="Z349" s="2" t="str">
        <f t="shared" si="157"/>
        <v xml:space="preserve">Ree, Wim van  </v>
      </c>
      <c r="AA349" s="2" t="str">
        <f>CONCATENATE(+Contacts!C349)</f>
        <v>Ree</v>
      </c>
      <c r="AB349" s="2" t="str">
        <f t="shared" si="158"/>
        <v xml:space="preserve">, </v>
      </c>
      <c r="AC349" s="2" t="str">
        <f>CONCATENATE(+Contacts!A349)</f>
        <v>Wim</v>
      </c>
      <c r="AD349" s="3" t="str">
        <f>CONCATENATE(" ",+Contacts!B349)</f>
        <v xml:space="preserve"> van</v>
      </c>
      <c r="AE349" s="2" t="str">
        <f t="shared" si="159"/>
        <v xml:space="preserve"> </v>
      </c>
      <c r="AF349" s="3" t="str">
        <f>CONCATENATE(+Contacts!D349)</f>
        <v/>
      </c>
      <c r="AG349" s="2" t="str">
        <f t="shared" si="160"/>
        <v xml:space="preserve"> </v>
      </c>
      <c r="AH349" t="str">
        <f>CONCATENATE(+Contacts!I349)</f>
        <v/>
      </c>
      <c r="AI349">
        <v>1500000010</v>
      </c>
      <c r="AJ349" s="5">
        <f t="shared" si="161"/>
        <v>1</v>
      </c>
    </row>
    <row r="350" spans="1:36" x14ac:dyDescent="0.35">
      <c r="A350" s="7" t="str">
        <f t="shared" si="136"/>
        <v>&lt;contact&gt;&lt;category&gt;0&lt;/category&gt;&lt;person&gt;&lt;realName&gt;Renes, Els   &lt;/realName&gt;&lt;/person&gt;</v>
      </c>
      <c r="B350" s="7" t="str">
        <f t="shared" si="137"/>
        <v>&lt;telephony nid="2"&gt;&lt;number id="0" prio="1" type="home"&gt;+31 104189086&lt;/number&gt;&lt;number id="1" prio="0" type="mobile"&gt;+31 650504431&lt;/number&gt;&lt;/telephony&gt;</v>
      </c>
      <c r="C350" s="7" t="str">
        <f t="shared" si="138"/>
        <v>&lt;services nid="1"&gt;&lt;email id="0" classifier="private"&gt;elsrenes@gmail.com&lt;/email&gt;&lt;/services&gt;&lt;setup /&gt;&lt;mod_time&gt;1500000010&lt;/mod_time&gt;&lt;uniqueid&gt;1&lt;/uniqueid&gt;&lt;/contact&gt;</v>
      </c>
      <c r="D350" t="str">
        <f t="shared" si="139"/>
        <v>&lt;contact&gt;&lt;category&gt;0&lt;/category&gt;&lt;person&gt;&lt;realName&gt;Renes, Els   &lt;/realName&gt;&lt;/person&gt;</v>
      </c>
      <c r="E350" t="str">
        <f t="shared" si="140"/>
        <v>&lt;telephony nid="2"&gt;&lt;number id="0" prio="1" type="home"&gt;+31 104189086&lt;/number&gt;&lt;number id="1" prio="0" type="mobile"&gt;+31 650504431&lt;/number&gt;&lt;/telephony&gt;</v>
      </c>
      <c r="F350" t="str">
        <f t="shared" si="141"/>
        <v>&lt;telephony nid="2"&gt;</v>
      </c>
      <c r="G350" t="str">
        <f t="shared" si="142"/>
        <v/>
      </c>
      <c r="H350" t="str">
        <f t="shared" si="143"/>
        <v>&lt;services nid="1"&gt;&lt;email id="0" classifier="private"&gt;elsrenes@gmail.com&lt;/email&gt;&lt;/services&gt;&lt;setup /&gt;&lt;mod_time&gt;1500000010&lt;/mod_time&gt;&lt;uniqueid&gt;1&lt;/uniqueid&gt;&lt;/contact&gt;</v>
      </c>
      <c r="I350" t="str">
        <f t="shared" si="144"/>
        <v>&lt;services /&gt;&lt;setup /&gt;&lt;mod_time&gt;1500000010&lt;/mod_time&gt;&lt;uniqueid&gt;1&lt;/uniqueid&gt;&lt;/contact&gt;</v>
      </c>
      <c r="J350" t="str">
        <f t="shared" si="145"/>
        <v>&lt;services nid="1"&gt;&lt;email id="0" classifier="private"&gt;elsrenes@gmail.com&lt;/email&gt;&lt;/services&gt;&lt;setup /&gt;&lt;mod_time&gt;1500000010&lt;/mod_time&gt;&lt;uniqueid&gt;1&lt;/uniqueid&gt;&lt;/contact&gt;</v>
      </c>
      <c r="K350" s="5">
        <f t="shared" si="146"/>
        <v>0</v>
      </c>
      <c r="L350" s="5">
        <f t="shared" si="147"/>
        <v>0</v>
      </c>
      <c r="M350" s="5" t="str">
        <f>CONCATENATE(+Contacts!E350)</f>
        <v/>
      </c>
      <c r="N350" t="str">
        <f t="shared" si="148"/>
        <v>&lt;number id="0" prio="1" type="home"&gt;+31 104189086&lt;/number&gt;</v>
      </c>
      <c r="O350" s="5">
        <f t="shared" si="149"/>
        <v>1</v>
      </c>
      <c r="P350" s="5">
        <f t="shared" si="150"/>
        <v>1</v>
      </c>
      <c r="Q350" s="5" t="str">
        <f>CONCATENATE(+Contacts!G350)</f>
        <v>+31 104189086</v>
      </c>
      <c r="R350" t="str">
        <f t="shared" si="151"/>
        <v>&lt;number id="1" prio="0" type="mobile"&gt;+31 650504431&lt;/number&gt;</v>
      </c>
      <c r="S350" s="5">
        <f t="shared" si="152"/>
        <v>2</v>
      </c>
      <c r="T350" s="5">
        <f t="shared" si="153"/>
        <v>0</v>
      </c>
      <c r="U350" s="5" t="str">
        <f>CONCATENATE(+Contacts!H350)</f>
        <v>+31 650504431</v>
      </c>
      <c r="V350" t="str">
        <f t="shared" si="154"/>
        <v/>
      </c>
      <c r="W350" s="5">
        <f t="shared" si="155"/>
        <v>2</v>
      </c>
      <c r="X350" s="5">
        <f t="shared" si="156"/>
        <v>0</v>
      </c>
      <c r="Y350" s="5" t="str">
        <f>CONCATENATE(+Contacts!F350)</f>
        <v/>
      </c>
      <c r="Z350" s="2" t="str">
        <f t="shared" si="157"/>
        <v xml:space="preserve">Renes, Els   </v>
      </c>
      <c r="AA350" s="2" t="str">
        <f>CONCATENATE(+Contacts!C350)</f>
        <v>Renes</v>
      </c>
      <c r="AB350" s="2" t="str">
        <f t="shared" si="158"/>
        <v xml:space="preserve">, </v>
      </c>
      <c r="AC350" s="2" t="str">
        <f>CONCATENATE(+Contacts!A350)</f>
        <v>Els</v>
      </c>
      <c r="AD350" s="3" t="str">
        <f>CONCATENATE(" ",+Contacts!B350)</f>
        <v xml:space="preserve"> </v>
      </c>
      <c r="AE350" s="2" t="str">
        <f t="shared" si="159"/>
        <v xml:space="preserve"> </v>
      </c>
      <c r="AF350" s="3" t="str">
        <f>CONCATENATE(+Contacts!D350)</f>
        <v/>
      </c>
      <c r="AG350" s="2" t="str">
        <f t="shared" si="160"/>
        <v xml:space="preserve"> </v>
      </c>
      <c r="AH350" t="str">
        <f>CONCATENATE(+Contacts!I350)</f>
        <v>elsrenes@gmail.com</v>
      </c>
      <c r="AI350">
        <v>1500000010</v>
      </c>
      <c r="AJ350" s="5">
        <f t="shared" si="161"/>
        <v>1</v>
      </c>
    </row>
    <row r="351" spans="1:36" x14ac:dyDescent="0.35">
      <c r="A351" s="7" t="str">
        <f t="shared" si="136"/>
        <v>&lt;contact&gt;&lt;category&gt;0&lt;/category&gt;&lt;person&gt;&lt;realName&gt;Renes, Frits   &lt;/realName&gt;&lt;/person&gt;</v>
      </c>
      <c r="B351" s="7" t="str">
        <f t="shared" si="137"/>
        <v>&lt;telephony nid="1"&gt;&lt;number id="0" prio="1" type="home"&gt;+31 104189086&lt;/number&gt;&lt;/telephony&gt;</v>
      </c>
      <c r="C351" s="7" t="str">
        <f t="shared" si="138"/>
        <v>&lt;services /&gt;&lt;setup /&gt;&lt;mod_time&gt;1500000010&lt;/mod_time&gt;&lt;uniqueid&gt;1&lt;/uniqueid&gt;&lt;/contact&gt;</v>
      </c>
      <c r="D351" t="str">
        <f t="shared" si="139"/>
        <v>&lt;contact&gt;&lt;category&gt;0&lt;/category&gt;&lt;person&gt;&lt;realName&gt;Renes, Frits   &lt;/realName&gt;&lt;/person&gt;</v>
      </c>
      <c r="E351" t="str">
        <f t="shared" si="140"/>
        <v>&lt;telephony nid="1"&gt;&lt;number id="0" prio="1" type="home"&gt;+31 104189086&lt;/number&gt;&lt;/telephony&gt;</v>
      </c>
      <c r="F351" t="str">
        <f t="shared" si="141"/>
        <v>&lt;telephony nid="1"&gt;</v>
      </c>
      <c r="G351" t="str">
        <f t="shared" si="142"/>
        <v/>
      </c>
      <c r="H351" t="str">
        <f t="shared" si="143"/>
        <v>&lt;services nid="1"&gt;&lt;email id="0" classifier="private"&gt;&lt;/email&gt;&lt;/services&gt;&lt;setup /&gt;&lt;mod_time&gt;1500000010&lt;/mod_time&gt;&lt;uniqueid&gt;1&lt;/uniqueid&gt;&lt;/contact&gt;</v>
      </c>
      <c r="I351" t="str">
        <f t="shared" si="144"/>
        <v>&lt;services /&gt;&lt;setup /&gt;&lt;mod_time&gt;1500000010&lt;/mod_time&gt;&lt;uniqueid&gt;1&lt;/uniqueid&gt;&lt;/contact&gt;</v>
      </c>
      <c r="J351" t="str">
        <f t="shared" si="145"/>
        <v>&lt;services /&gt;&lt;setup /&gt;&lt;mod_time&gt;1500000010&lt;/mod_time&gt;&lt;uniqueid&gt;1&lt;/uniqueid&gt;&lt;/contact&gt;</v>
      </c>
      <c r="K351" s="5">
        <f t="shared" si="146"/>
        <v>0</v>
      </c>
      <c r="L351" s="5">
        <f t="shared" si="147"/>
        <v>0</v>
      </c>
      <c r="M351" s="5" t="str">
        <f>CONCATENATE(+Contacts!E351)</f>
        <v/>
      </c>
      <c r="N351" t="str">
        <f t="shared" si="148"/>
        <v>&lt;number id="0" prio="1" type="home"&gt;+31 104189086&lt;/number&gt;</v>
      </c>
      <c r="O351" s="5">
        <f t="shared" si="149"/>
        <v>1</v>
      </c>
      <c r="P351" s="5">
        <f t="shared" si="150"/>
        <v>1</v>
      </c>
      <c r="Q351" s="5" t="str">
        <f>CONCATENATE(+Contacts!G351)</f>
        <v>+31 104189086</v>
      </c>
      <c r="R351" t="str">
        <f t="shared" si="151"/>
        <v/>
      </c>
      <c r="S351" s="5">
        <f t="shared" si="152"/>
        <v>1</v>
      </c>
      <c r="T351" s="5">
        <f t="shared" si="153"/>
        <v>1</v>
      </c>
      <c r="U351" s="5" t="str">
        <f>CONCATENATE(+Contacts!H351)</f>
        <v/>
      </c>
      <c r="V351" t="str">
        <f t="shared" si="154"/>
        <v/>
      </c>
      <c r="W351" s="5">
        <f t="shared" si="155"/>
        <v>1</v>
      </c>
      <c r="X351" s="5">
        <f t="shared" si="156"/>
        <v>1</v>
      </c>
      <c r="Y351" s="5" t="str">
        <f>CONCATENATE(+Contacts!F351)</f>
        <v/>
      </c>
      <c r="Z351" s="2" t="str">
        <f t="shared" si="157"/>
        <v xml:space="preserve">Renes, Frits   </v>
      </c>
      <c r="AA351" s="2" t="str">
        <f>CONCATENATE(+Contacts!C351)</f>
        <v>Renes</v>
      </c>
      <c r="AB351" s="2" t="str">
        <f t="shared" si="158"/>
        <v xml:space="preserve">, </v>
      </c>
      <c r="AC351" s="2" t="str">
        <f>CONCATENATE(+Contacts!A351)</f>
        <v>Frits</v>
      </c>
      <c r="AD351" s="3" t="str">
        <f>CONCATENATE(" ",+Contacts!B351)</f>
        <v xml:space="preserve"> </v>
      </c>
      <c r="AE351" s="2" t="str">
        <f t="shared" si="159"/>
        <v xml:space="preserve"> </v>
      </c>
      <c r="AF351" s="3" t="str">
        <f>CONCATENATE(+Contacts!D351)</f>
        <v/>
      </c>
      <c r="AG351" s="2" t="str">
        <f t="shared" si="160"/>
        <v xml:space="preserve"> </v>
      </c>
      <c r="AH351" t="str">
        <f>CONCATENATE(+Contacts!I351)</f>
        <v/>
      </c>
      <c r="AI351">
        <v>1500000010</v>
      </c>
      <c r="AJ351" s="5">
        <f t="shared" si="161"/>
        <v>1</v>
      </c>
    </row>
    <row r="352" spans="1:36" x14ac:dyDescent="0.35">
      <c r="A352" s="7" t="str">
        <f t="shared" si="136"/>
        <v>&lt;contact&gt;&lt;category&gt;0&lt;/category&gt;&lt;person&gt;&lt;realName&gt;Rhemrev, Ton &amp;amp; Tieneke   &lt;/realName&gt;&lt;/person&gt;</v>
      </c>
      <c r="B352" s="7" t="str">
        <f t="shared" si="137"/>
        <v>&lt;telephony nid="1"&gt;&lt;number id="0" prio="1" type="work"&gt;+31 10 4657758&lt;/number&gt;&lt;/telephony&gt;</v>
      </c>
      <c r="C352" s="7" t="str">
        <f t="shared" si="138"/>
        <v>&lt;services /&gt;&lt;setup /&gt;&lt;mod_time&gt;1500000010&lt;/mod_time&gt;&lt;uniqueid&gt;1&lt;/uniqueid&gt;&lt;/contact&gt;</v>
      </c>
      <c r="D352" t="str">
        <f t="shared" si="139"/>
        <v>&lt;contact&gt;&lt;category&gt;0&lt;/category&gt;&lt;person&gt;&lt;realName&gt;Rhemrev, Ton &amp;amp; Tieneke   &lt;/realName&gt;&lt;/person&gt;</v>
      </c>
      <c r="E352" t="str">
        <f t="shared" si="140"/>
        <v>&lt;telephony nid="1"&gt;&lt;number id="0" prio="1" type="work"&gt;+31 10 4657758&lt;/number&gt;&lt;/telephony&gt;</v>
      </c>
      <c r="F352" t="str">
        <f t="shared" si="141"/>
        <v>&lt;telephony nid="1"&gt;</v>
      </c>
      <c r="G352" t="str">
        <f t="shared" si="142"/>
        <v>&lt;number id="0" prio="1" type="work"&gt;+31 10 4657758&lt;/number&gt;</v>
      </c>
      <c r="H352" t="str">
        <f t="shared" si="143"/>
        <v>&lt;services nid="1"&gt;&lt;email id="0" classifier="private"&gt;&lt;/email&gt;&lt;/services&gt;&lt;setup /&gt;&lt;mod_time&gt;1500000010&lt;/mod_time&gt;&lt;uniqueid&gt;1&lt;/uniqueid&gt;&lt;/contact&gt;</v>
      </c>
      <c r="I352" t="str">
        <f t="shared" si="144"/>
        <v>&lt;services /&gt;&lt;setup /&gt;&lt;mod_time&gt;1500000010&lt;/mod_time&gt;&lt;uniqueid&gt;1&lt;/uniqueid&gt;&lt;/contact&gt;</v>
      </c>
      <c r="J352" t="str">
        <f t="shared" si="145"/>
        <v>&lt;services /&gt;&lt;setup /&gt;&lt;mod_time&gt;1500000010&lt;/mod_time&gt;&lt;uniqueid&gt;1&lt;/uniqueid&gt;&lt;/contact&gt;</v>
      </c>
      <c r="K352" s="5">
        <f t="shared" si="146"/>
        <v>1</v>
      </c>
      <c r="L352" s="5">
        <f t="shared" si="147"/>
        <v>1</v>
      </c>
      <c r="M352" s="5" t="str">
        <f>CONCATENATE(+Contacts!E352)</f>
        <v>+31 10 4657758</v>
      </c>
      <c r="N352" t="str">
        <f t="shared" si="148"/>
        <v/>
      </c>
      <c r="O352" s="5">
        <f t="shared" si="149"/>
        <v>1</v>
      </c>
      <c r="P352" s="5">
        <f t="shared" si="150"/>
        <v>1</v>
      </c>
      <c r="Q352" s="5" t="str">
        <f>CONCATENATE(+Contacts!G352)</f>
        <v/>
      </c>
      <c r="R352" t="str">
        <f t="shared" si="151"/>
        <v/>
      </c>
      <c r="S352" s="5">
        <f t="shared" si="152"/>
        <v>1</v>
      </c>
      <c r="T352" s="5">
        <f t="shared" si="153"/>
        <v>1</v>
      </c>
      <c r="U352" s="5" t="str">
        <f>CONCATENATE(+Contacts!H352)</f>
        <v/>
      </c>
      <c r="V352" t="str">
        <f t="shared" si="154"/>
        <v/>
      </c>
      <c r="W352" s="5">
        <f t="shared" si="155"/>
        <v>1</v>
      </c>
      <c r="X352" s="5">
        <f t="shared" si="156"/>
        <v>1</v>
      </c>
      <c r="Y352" s="5" t="str">
        <f>CONCATENATE(+Contacts!F352)</f>
        <v/>
      </c>
      <c r="Z352" s="2" t="str">
        <f t="shared" si="157"/>
        <v xml:space="preserve">Rhemrev, Ton &amp;amp; Tieneke   </v>
      </c>
      <c r="AA352" s="2" t="str">
        <f>CONCATENATE(+Contacts!C352)</f>
        <v>Rhemrev</v>
      </c>
      <c r="AB352" s="2" t="str">
        <f t="shared" si="158"/>
        <v xml:space="preserve">, </v>
      </c>
      <c r="AC352" s="2" t="str">
        <f>CONCATENATE(+Contacts!A352)</f>
        <v>Ton &amp;amp; Tieneke</v>
      </c>
      <c r="AD352" s="3" t="str">
        <f>CONCATENATE(" ",+Contacts!B352)</f>
        <v xml:space="preserve"> </v>
      </c>
      <c r="AE352" s="2" t="str">
        <f t="shared" si="159"/>
        <v xml:space="preserve"> </v>
      </c>
      <c r="AF352" s="3" t="str">
        <f>CONCATENATE(+Contacts!D352)</f>
        <v/>
      </c>
      <c r="AG352" s="2" t="str">
        <f t="shared" si="160"/>
        <v xml:space="preserve"> </v>
      </c>
      <c r="AH352" t="str">
        <f>CONCATENATE(+Contacts!I352)</f>
        <v/>
      </c>
      <c r="AI352">
        <v>1500000010</v>
      </c>
      <c r="AJ352" s="5">
        <f t="shared" si="161"/>
        <v>1</v>
      </c>
    </row>
    <row r="353" spans="1:36" x14ac:dyDescent="0.35">
      <c r="A353" s="7" t="str">
        <f t="shared" si="136"/>
        <v>&lt;contact&gt;&lt;category&gt;0&lt;/category&gt;&lt;person&gt;&lt;realName&gt;Ridder, Gerard de  &lt;/realName&gt;&lt;/person&gt;</v>
      </c>
      <c r="B353" s="7" t="str">
        <f t="shared" si="137"/>
        <v>&lt;telephony nid="1"&gt;&lt;number id="0" prio="1" type="home"&gt;+31 638913857&lt;/number&gt;&lt;/telephony&gt;</v>
      </c>
      <c r="C353" s="7" t="str">
        <f t="shared" si="138"/>
        <v>&lt;services nid="1"&gt;&lt;email id="0" classifier="private"&gt;geridder@xs4all.nl&lt;/email&gt;&lt;/services&gt;&lt;setup /&gt;&lt;mod_time&gt;1500000010&lt;/mod_time&gt;&lt;uniqueid&gt;1&lt;/uniqueid&gt;&lt;/contact&gt;</v>
      </c>
      <c r="D353" t="str">
        <f t="shared" si="139"/>
        <v>&lt;contact&gt;&lt;category&gt;0&lt;/category&gt;&lt;person&gt;&lt;realName&gt;Ridder, Gerard de  &lt;/realName&gt;&lt;/person&gt;</v>
      </c>
      <c r="E353" t="str">
        <f t="shared" si="140"/>
        <v>&lt;telephony nid="1"&gt;&lt;number id="0" prio="1" type="home"&gt;+31 638913857&lt;/number&gt;&lt;/telephony&gt;</v>
      </c>
      <c r="F353" t="str">
        <f t="shared" si="141"/>
        <v>&lt;telephony nid="1"&gt;</v>
      </c>
      <c r="G353" t="str">
        <f t="shared" si="142"/>
        <v/>
      </c>
      <c r="H353" t="str">
        <f t="shared" si="143"/>
        <v>&lt;services nid="1"&gt;&lt;email id="0" classifier="private"&gt;geridder@xs4all.nl&lt;/email&gt;&lt;/services&gt;&lt;setup /&gt;&lt;mod_time&gt;1500000010&lt;/mod_time&gt;&lt;uniqueid&gt;1&lt;/uniqueid&gt;&lt;/contact&gt;</v>
      </c>
      <c r="I353" t="str">
        <f t="shared" si="144"/>
        <v>&lt;services /&gt;&lt;setup /&gt;&lt;mod_time&gt;1500000010&lt;/mod_time&gt;&lt;uniqueid&gt;1&lt;/uniqueid&gt;&lt;/contact&gt;</v>
      </c>
      <c r="J353" t="str">
        <f t="shared" si="145"/>
        <v>&lt;services nid="1"&gt;&lt;email id="0" classifier="private"&gt;geridder@xs4all.nl&lt;/email&gt;&lt;/services&gt;&lt;setup /&gt;&lt;mod_time&gt;1500000010&lt;/mod_time&gt;&lt;uniqueid&gt;1&lt;/uniqueid&gt;&lt;/contact&gt;</v>
      </c>
      <c r="K353" s="5">
        <f t="shared" si="146"/>
        <v>0</v>
      </c>
      <c r="L353" s="5">
        <f t="shared" si="147"/>
        <v>0</v>
      </c>
      <c r="M353" s="5" t="str">
        <f>CONCATENATE(+Contacts!E353)</f>
        <v/>
      </c>
      <c r="N353" t="str">
        <f t="shared" si="148"/>
        <v>&lt;number id="0" prio="1" type="home"&gt;+31 638913857&lt;/number&gt;</v>
      </c>
      <c r="O353" s="5">
        <f t="shared" si="149"/>
        <v>1</v>
      </c>
      <c r="P353" s="5">
        <f t="shared" si="150"/>
        <v>1</v>
      </c>
      <c r="Q353" s="5" t="str">
        <f>CONCATENATE(+Contacts!G353)</f>
        <v>+31 638913857</v>
      </c>
      <c r="R353" t="str">
        <f t="shared" si="151"/>
        <v/>
      </c>
      <c r="S353" s="5">
        <f t="shared" si="152"/>
        <v>1</v>
      </c>
      <c r="T353" s="5">
        <f t="shared" si="153"/>
        <v>1</v>
      </c>
      <c r="U353" s="5" t="str">
        <f>CONCATENATE(+Contacts!H353)</f>
        <v/>
      </c>
      <c r="V353" t="str">
        <f t="shared" si="154"/>
        <v/>
      </c>
      <c r="W353" s="5">
        <f t="shared" si="155"/>
        <v>1</v>
      </c>
      <c r="X353" s="5">
        <f t="shared" si="156"/>
        <v>1</v>
      </c>
      <c r="Y353" s="5" t="str">
        <f>CONCATENATE(+Contacts!F353)</f>
        <v/>
      </c>
      <c r="Z353" s="2" t="str">
        <f t="shared" si="157"/>
        <v xml:space="preserve">Ridder, Gerard de  </v>
      </c>
      <c r="AA353" s="2" t="str">
        <f>CONCATENATE(+Contacts!C353)</f>
        <v>Ridder</v>
      </c>
      <c r="AB353" s="2" t="str">
        <f t="shared" si="158"/>
        <v xml:space="preserve">, </v>
      </c>
      <c r="AC353" s="2" t="str">
        <f>CONCATENATE(+Contacts!A353)</f>
        <v>Gerard</v>
      </c>
      <c r="AD353" s="3" t="str">
        <f>CONCATENATE(" ",+Contacts!B353)</f>
        <v xml:space="preserve"> de</v>
      </c>
      <c r="AE353" s="2" t="str">
        <f t="shared" si="159"/>
        <v xml:space="preserve"> </v>
      </c>
      <c r="AF353" s="3" t="str">
        <f>CONCATENATE(+Contacts!D353)</f>
        <v/>
      </c>
      <c r="AG353" s="2" t="str">
        <f t="shared" si="160"/>
        <v xml:space="preserve"> </v>
      </c>
      <c r="AH353" t="str">
        <f>CONCATENATE(+Contacts!I353)</f>
        <v>geridder@xs4all.nl</v>
      </c>
      <c r="AI353">
        <v>1500000010</v>
      </c>
      <c r="AJ353" s="5">
        <f t="shared" si="161"/>
        <v>1</v>
      </c>
    </row>
    <row r="354" spans="1:36" x14ac:dyDescent="0.35">
      <c r="A354" s="7" t="str">
        <f t="shared" si="136"/>
        <v>&lt;contact&gt;&lt;category&gt;0&lt;/category&gt;&lt;person&gt;&lt;realName&gt;Riet, Coen van  &lt;/realName&gt;&lt;/person&gt;</v>
      </c>
      <c r="B354" s="7" t="str">
        <f t="shared" si="137"/>
        <v>&lt;telephony nid="2"&gt;&lt;number id="0" prio="1" type="home"&gt;+31 715215801&lt;/number&gt;&lt;number id="1" prio="0" type="mobile"&gt;+31 655340359&lt;/number&gt;&lt;/telephony&gt;</v>
      </c>
      <c r="C354" s="7" t="str">
        <f t="shared" si="138"/>
        <v>&lt;services nid="1"&gt;&lt;email id="0" classifier="private"&gt;co.riet@wxs.nl&lt;/email&gt;&lt;/services&gt;&lt;setup /&gt;&lt;mod_time&gt;1500000010&lt;/mod_time&gt;&lt;uniqueid&gt;1&lt;/uniqueid&gt;&lt;/contact&gt;</v>
      </c>
      <c r="D354" t="str">
        <f t="shared" si="139"/>
        <v>&lt;contact&gt;&lt;category&gt;0&lt;/category&gt;&lt;person&gt;&lt;realName&gt;Riet, Coen van  &lt;/realName&gt;&lt;/person&gt;</v>
      </c>
      <c r="E354" t="str">
        <f t="shared" si="140"/>
        <v>&lt;telephony nid="2"&gt;&lt;number id="0" prio="1" type="home"&gt;+31 715215801&lt;/number&gt;&lt;number id="1" prio="0" type="mobile"&gt;+31 655340359&lt;/number&gt;&lt;/telephony&gt;</v>
      </c>
      <c r="F354" t="str">
        <f t="shared" si="141"/>
        <v>&lt;telephony nid="2"&gt;</v>
      </c>
      <c r="G354" t="str">
        <f t="shared" si="142"/>
        <v/>
      </c>
      <c r="H354" t="str">
        <f t="shared" si="143"/>
        <v>&lt;services nid="1"&gt;&lt;email id="0" classifier="private"&gt;co.riet@wxs.nl&lt;/email&gt;&lt;/services&gt;&lt;setup /&gt;&lt;mod_time&gt;1500000010&lt;/mod_time&gt;&lt;uniqueid&gt;1&lt;/uniqueid&gt;&lt;/contact&gt;</v>
      </c>
      <c r="I354" t="str">
        <f t="shared" si="144"/>
        <v>&lt;services /&gt;&lt;setup /&gt;&lt;mod_time&gt;1500000010&lt;/mod_time&gt;&lt;uniqueid&gt;1&lt;/uniqueid&gt;&lt;/contact&gt;</v>
      </c>
      <c r="J354" t="str">
        <f t="shared" si="145"/>
        <v>&lt;services nid="1"&gt;&lt;email id="0" classifier="private"&gt;co.riet@wxs.nl&lt;/email&gt;&lt;/services&gt;&lt;setup /&gt;&lt;mod_time&gt;1500000010&lt;/mod_time&gt;&lt;uniqueid&gt;1&lt;/uniqueid&gt;&lt;/contact&gt;</v>
      </c>
      <c r="K354" s="5">
        <f t="shared" si="146"/>
        <v>0</v>
      </c>
      <c r="L354" s="5">
        <f t="shared" si="147"/>
        <v>0</v>
      </c>
      <c r="M354" s="5" t="str">
        <f>CONCATENATE(+Contacts!E354)</f>
        <v/>
      </c>
      <c r="N354" t="str">
        <f t="shared" si="148"/>
        <v>&lt;number id="0" prio="1" type="home"&gt;+31 715215801&lt;/number&gt;</v>
      </c>
      <c r="O354" s="5">
        <f t="shared" si="149"/>
        <v>1</v>
      </c>
      <c r="P354" s="5">
        <f t="shared" si="150"/>
        <v>1</v>
      </c>
      <c r="Q354" s="5" t="str">
        <f>CONCATENATE(+Contacts!G354)</f>
        <v>+31 715215801</v>
      </c>
      <c r="R354" t="str">
        <f t="shared" si="151"/>
        <v>&lt;number id="1" prio="0" type="mobile"&gt;+31 655340359&lt;/number&gt;</v>
      </c>
      <c r="S354" s="5">
        <f t="shared" si="152"/>
        <v>2</v>
      </c>
      <c r="T354" s="5">
        <f t="shared" si="153"/>
        <v>0</v>
      </c>
      <c r="U354" s="5" t="str">
        <f>CONCATENATE(+Contacts!H354)</f>
        <v>+31 655340359</v>
      </c>
      <c r="V354" t="str">
        <f t="shared" si="154"/>
        <v/>
      </c>
      <c r="W354" s="5">
        <f t="shared" si="155"/>
        <v>2</v>
      </c>
      <c r="X354" s="5">
        <f t="shared" si="156"/>
        <v>0</v>
      </c>
      <c r="Y354" s="5" t="str">
        <f>CONCATENATE(+Contacts!F354)</f>
        <v/>
      </c>
      <c r="Z354" s="2" t="str">
        <f t="shared" si="157"/>
        <v xml:space="preserve">Riet, Coen van  </v>
      </c>
      <c r="AA354" s="2" t="str">
        <f>CONCATENATE(+Contacts!C354)</f>
        <v>Riet</v>
      </c>
      <c r="AB354" s="2" t="str">
        <f t="shared" si="158"/>
        <v xml:space="preserve">, </v>
      </c>
      <c r="AC354" s="2" t="str">
        <f>CONCATENATE(+Contacts!A354)</f>
        <v>Coen</v>
      </c>
      <c r="AD354" s="3" t="str">
        <f>CONCATENATE(" ",+Contacts!B354)</f>
        <v xml:space="preserve"> van</v>
      </c>
      <c r="AE354" s="2" t="str">
        <f t="shared" si="159"/>
        <v xml:space="preserve"> </v>
      </c>
      <c r="AF354" s="3" t="str">
        <f>CONCATENATE(+Contacts!D354)</f>
        <v/>
      </c>
      <c r="AG354" s="2" t="str">
        <f t="shared" si="160"/>
        <v xml:space="preserve"> </v>
      </c>
      <c r="AH354" t="str">
        <f>CONCATENATE(+Contacts!I354)</f>
        <v>co.riet@wxs.nl</v>
      </c>
      <c r="AI354">
        <v>1500000010</v>
      </c>
      <c r="AJ354" s="5">
        <f t="shared" si="161"/>
        <v>1</v>
      </c>
    </row>
    <row r="355" spans="1:36" x14ac:dyDescent="0.35">
      <c r="A355" s="7" t="str">
        <f t="shared" si="136"/>
        <v>&lt;contact&gt;&lt;category&gt;0&lt;/category&gt;&lt;person&gt;&lt;realName&gt;Riezebos, Jessica   &lt;/realName&gt;&lt;/person&gt;</v>
      </c>
      <c r="B355" s="7" t="str">
        <f t="shared" si="137"/>
        <v>&lt;telephony nid="1"&gt;&lt;number id="0" prio="1" type="mobile"&gt;+33 683098984&lt;/number&gt;&lt;/telephony&gt;</v>
      </c>
      <c r="C355" s="7" t="str">
        <f t="shared" si="138"/>
        <v>&lt;services /&gt;&lt;setup /&gt;&lt;mod_time&gt;1500000010&lt;/mod_time&gt;&lt;uniqueid&gt;1&lt;/uniqueid&gt;&lt;/contact&gt;</v>
      </c>
      <c r="D355" t="str">
        <f t="shared" si="139"/>
        <v>&lt;contact&gt;&lt;category&gt;0&lt;/category&gt;&lt;person&gt;&lt;realName&gt;Riezebos, Jessica   &lt;/realName&gt;&lt;/person&gt;</v>
      </c>
      <c r="E355" t="str">
        <f t="shared" si="140"/>
        <v>&lt;telephony nid="1"&gt;&lt;number id="0" prio="1" type="mobile"&gt;+33 683098984&lt;/number&gt;&lt;/telephony&gt;</v>
      </c>
      <c r="F355" t="str">
        <f t="shared" si="141"/>
        <v>&lt;telephony nid="1"&gt;</v>
      </c>
      <c r="G355" t="str">
        <f t="shared" si="142"/>
        <v/>
      </c>
      <c r="H355" t="str">
        <f t="shared" si="143"/>
        <v>&lt;services nid="1"&gt;&lt;email id="0" classifier="private"&gt;&lt;/email&gt;&lt;/services&gt;&lt;setup /&gt;&lt;mod_time&gt;1500000010&lt;/mod_time&gt;&lt;uniqueid&gt;1&lt;/uniqueid&gt;&lt;/contact&gt;</v>
      </c>
      <c r="I355" t="str">
        <f t="shared" si="144"/>
        <v>&lt;services /&gt;&lt;setup /&gt;&lt;mod_time&gt;1500000010&lt;/mod_time&gt;&lt;uniqueid&gt;1&lt;/uniqueid&gt;&lt;/contact&gt;</v>
      </c>
      <c r="J355" t="str">
        <f t="shared" si="145"/>
        <v>&lt;services /&gt;&lt;setup /&gt;&lt;mod_time&gt;1500000010&lt;/mod_time&gt;&lt;uniqueid&gt;1&lt;/uniqueid&gt;&lt;/contact&gt;</v>
      </c>
      <c r="K355" s="5">
        <f t="shared" si="146"/>
        <v>0</v>
      </c>
      <c r="L355" s="5">
        <f t="shared" si="147"/>
        <v>0</v>
      </c>
      <c r="M355" s="5" t="str">
        <f>CONCATENATE(+Contacts!E355)</f>
        <v/>
      </c>
      <c r="N355" t="str">
        <f t="shared" si="148"/>
        <v/>
      </c>
      <c r="O355" s="5">
        <f t="shared" si="149"/>
        <v>0</v>
      </c>
      <c r="P355" s="5">
        <f t="shared" si="150"/>
        <v>0</v>
      </c>
      <c r="Q355" s="5" t="str">
        <f>CONCATENATE(+Contacts!G355)</f>
        <v/>
      </c>
      <c r="R355" t="str">
        <f t="shared" si="151"/>
        <v>&lt;number id="0" prio="1" type="mobile"&gt;+33 683098984&lt;/number&gt;</v>
      </c>
      <c r="S355" s="5">
        <f t="shared" si="152"/>
        <v>1</v>
      </c>
      <c r="T355" s="5">
        <f t="shared" si="153"/>
        <v>1</v>
      </c>
      <c r="U355" s="5" t="str">
        <f>CONCATENATE(+Contacts!H355)</f>
        <v>+33 683098984</v>
      </c>
      <c r="V355" t="str">
        <f t="shared" si="154"/>
        <v/>
      </c>
      <c r="W355" s="5">
        <f t="shared" si="155"/>
        <v>1</v>
      </c>
      <c r="X355" s="5">
        <f t="shared" si="156"/>
        <v>1</v>
      </c>
      <c r="Y355" s="5" t="str">
        <f>CONCATENATE(+Contacts!F355)</f>
        <v/>
      </c>
      <c r="Z355" s="2" t="str">
        <f t="shared" si="157"/>
        <v xml:space="preserve">Riezebos, Jessica   </v>
      </c>
      <c r="AA355" s="2" t="str">
        <f>CONCATENATE(+Contacts!C355)</f>
        <v>Riezebos</v>
      </c>
      <c r="AB355" s="2" t="str">
        <f t="shared" si="158"/>
        <v xml:space="preserve">, </v>
      </c>
      <c r="AC355" s="2" t="str">
        <f>CONCATENATE(+Contacts!A355)</f>
        <v>Jessica</v>
      </c>
      <c r="AD355" s="3" t="str">
        <f>CONCATENATE(" ",+Contacts!B355)</f>
        <v xml:space="preserve"> </v>
      </c>
      <c r="AE355" s="2" t="str">
        <f t="shared" si="159"/>
        <v xml:space="preserve"> </v>
      </c>
      <c r="AF355" s="3" t="str">
        <f>CONCATENATE(+Contacts!D355)</f>
        <v/>
      </c>
      <c r="AG355" s="2" t="str">
        <f t="shared" si="160"/>
        <v xml:space="preserve"> </v>
      </c>
      <c r="AH355" t="str">
        <f>CONCATENATE(+Contacts!I355)</f>
        <v/>
      </c>
      <c r="AI355">
        <v>1500000010</v>
      </c>
      <c r="AJ355" s="5">
        <f t="shared" si="161"/>
        <v>1</v>
      </c>
    </row>
    <row r="356" spans="1:36" x14ac:dyDescent="0.35">
      <c r="A356" s="7" t="str">
        <f t="shared" si="136"/>
        <v/>
      </c>
      <c r="B356" s="7" t="str">
        <f t="shared" si="137"/>
        <v/>
      </c>
      <c r="C356" s="7" t="str">
        <f t="shared" si="138"/>
        <v/>
      </c>
      <c r="D356" t="str">
        <f t="shared" si="139"/>
        <v>&lt;contact&gt;&lt;category&gt;0&lt;/category&gt;&lt;person&gt;&lt;realName&gt;Roelants, Ingrid   &lt;/realName&gt;&lt;/person&gt;</v>
      </c>
      <c r="E356" t="str">
        <f t="shared" si="140"/>
        <v>&lt;telephony nid="0"&gt;&lt;/telephony&gt;</v>
      </c>
      <c r="F356" t="str">
        <f t="shared" si="141"/>
        <v>&lt;telephony nid="0"&gt;</v>
      </c>
      <c r="G356" t="str">
        <f t="shared" si="142"/>
        <v/>
      </c>
      <c r="H356" t="str">
        <f t="shared" si="143"/>
        <v>&lt;services nid="1"&gt;&lt;email id="0" classifier="private"&gt;icmroelants@hetnet.nl&lt;/email&gt;&lt;/services&gt;&lt;setup /&gt;&lt;mod_time&gt;1500000010&lt;/mod_time&gt;&lt;uniqueid&gt;0&lt;/uniqueid&gt;&lt;/contact&gt;</v>
      </c>
      <c r="I356" t="str">
        <f t="shared" si="144"/>
        <v>&lt;services /&gt;&lt;setup /&gt;&lt;mod_time&gt;1500000010&lt;/mod_time&gt;&lt;uniqueid&gt;0&lt;/uniqueid&gt;&lt;/contact&gt;</v>
      </c>
      <c r="J356" t="str">
        <f t="shared" si="145"/>
        <v>&lt;services nid="1"&gt;&lt;email id="0" classifier="private"&gt;icmroelants@hetnet.nl&lt;/email&gt;&lt;/services&gt;&lt;setup /&gt;&lt;mod_time&gt;1500000010&lt;/mod_time&gt;&lt;uniqueid&gt;0&lt;/uniqueid&gt;&lt;/contact&gt;</v>
      </c>
      <c r="K356" s="5">
        <f t="shared" si="146"/>
        <v>0</v>
      </c>
      <c r="L356" s="5">
        <f t="shared" si="147"/>
        <v>0</v>
      </c>
      <c r="M356" s="5" t="str">
        <f>CONCATENATE(+Contacts!E356)</f>
        <v/>
      </c>
      <c r="N356" t="str">
        <f t="shared" si="148"/>
        <v/>
      </c>
      <c r="O356" s="5">
        <f t="shared" si="149"/>
        <v>0</v>
      </c>
      <c r="P356" s="5">
        <f t="shared" si="150"/>
        <v>0</v>
      </c>
      <c r="Q356" s="5" t="str">
        <f>CONCATENATE(+Contacts!G356)</f>
        <v/>
      </c>
      <c r="R356" t="str">
        <f t="shared" si="151"/>
        <v/>
      </c>
      <c r="S356" s="5">
        <f t="shared" si="152"/>
        <v>0</v>
      </c>
      <c r="T356" s="5">
        <f t="shared" si="153"/>
        <v>0</v>
      </c>
      <c r="U356" s="5" t="str">
        <f>CONCATENATE(+Contacts!H356)</f>
        <v/>
      </c>
      <c r="V356" t="str">
        <f t="shared" si="154"/>
        <v/>
      </c>
      <c r="W356" s="5">
        <f t="shared" si="155"/>
        <v>0</v>
      </c>
      <c r="X356" s="5">
        <f t="shared" si="156"/>
        <v>0</v>
      </c>
      <c r="Y356" s="5" t="str">
        <f>CONCATENATE(+Contacts!F356)</f>
        <v/>
      </c>
      <c r="Z356" s="2" t="str">
        <f t="shared" si="157"/>
        <v xml:space="preserve">Roelants, Ingrid   </v>
      </c>
      <c r="AA356" s="2" t="str">
        <f>CONCATENATE(+Contacts!C356)</f>
        <v>Roelants</v>
      </c>
      <c r="AB356" s="2" t="str">
        <f t="shared" si="158"/>
        <v xml:space="preserve">, </v>
      </c>
      <c r="AC356" s="2" t="str">
        <f>CONCATENATE(+Contacts!A356)</f>
        <v>Ingrid</v>
      </c>
      <c r="AD356" s="3" t="str">
        <f>CONCATENATE(" ",+Contacts!B356)</f>
        <v xml:space="preserve"> </v>
      </c>
      <c r="AE356" s="2" t="str">
        <f t="shared" si="159"/>
        <v xml:space="preserve"> </v>
      </c>
      <c r="AF356" s="3" t="str">
        <f>CONCATENATE(+Contacts!D356)</f>
        <v/>
      </c>
      <c r="AG356" s="2" t="str">
        <f t="shared" si="160"/>
        <v xml:space="preserve"> </v>
      </c>
      <c r="AH356" t="str">
        <f>CONCATENATE(+Contacts!I356)</f>
        <v>icmroelants@hetnet.nl</v>
      </c>
      <c r="AI356">
        <v>1500000010</v>
      </c>
      <c r="AJ356" s="5">
        <f t="shared" si="161"/>
        <v>0</v>
      </c>
    </row>
    <row r="357" spans="1:36" x14ac:dyDescent="0.35">
      <c r="A357" s="7" t="str">
        <f t="shared" si="136"/>
        <v>&lt;contact&gt;&lt;category&gt;0&lt;/category&gt;&lt;person&gt;&lt;realName&gt;Roerade  (Fietsenhandel)&lt;/realName&gt;&lt;/person&gt;</v>
      </c>
      <c r="B357" s="7" t="str">
        <f t="shared" si="137"/>
        <v>&lt;telephony nid="1"&gt;&lt;number id="0" prio="1" type="work"&gt;+31 104559757&lt;/number&gt;&lt;/telephony&gt;</v>
      </c>
      <c r="C357" s="7" t="str">
        <f t="shared" si="138"/>
        <v>&lt;services /&gt;&lt;setup /&gt;&lt;mod_time&gt;1500000010&lt;/mod_time&gt;&lt;uniqueid&gt;1&lt;/uniqueid&gt;&lt;/contact&gt;</v>
      </c>
      <c r="D357" t="str">
        <f t="shared" si="139"/>
        <v>&lt;contact&gt;&lt;category&gt;0&lt;/category&gt;&lt;person&gt;&lt;realName&gt;Roerade  (Fietsenhandel)&lt;/realName&gt;&lt;/person&gt;</v>
      </c>
      <c r="E357" t="str">
        <f t="shared" si="140"/>
        <v>&lt;telephony nid="1"&gt;&lt;number id="0" prio="1" type="work"&gt;+31 104559757&lt;/number&gt;&lt;/telephony&gt;</v>
      </c>
      <c r="F357" t="str">
        <f t="shared" si="141"/>
        <v>&lt;telephony nid="1"&gt;</v>
      </c>
      <c r="G357" t="str">
        <f t="shared" si="142"/>
        <v>&lt;number id="0" prio="1" type="work"&gt;+31 104559757&lt;/number&gt;</v>
      </c>
      <c r="H357" t="str">
        <f t="shared" si="143"/>
        <v>&lt;services nid="1"&gt;&lt;email id="0" classifier="private"&gt;&lt;/email&gt;&lt;/services&gt;&lt;setup /&gt;&lt;mod_time&gt;1500000010&lt;/mod_time&gt;&lt;uniqueid&gt;1&lt;/uniqueid&gt;&lt;/contact&gt;</v>
      </c>
      <c r="I357" t="str">
        <f t="shared" si="144"/>
        <v>&lt;services /&gt;&lt;setup /&gt;&lt;mod_time&gt;1500000010&lt;/mod_time&gt;&lt;uniqueid&gt;1&lt;/uniqueid&gt;&lt;/contact&gt;</v>
      </c>
      <c r="J357" t="str">
        <f t="shared" si="145"/>
        <v>&lt;services /&gt;&lt;setup /&gt;&lt;mod_time&gt;1500000010&lt;/mod_time&gt;&lt;uniqueid&gt;1&lt;/uniqueid&gt;&lt;/contact&gt;</v>
      </c>
      <c r="K357" s="5">
        <f t="shared" si="146"/>
        <v>1</v>
      </c>
      <c r="L357" s="5">
        <f t="shared" si="147"/>
        <v>1</v>
      </c>
      <c r="M357" s="5" t="str">
        <f>CONCATENATE(+Contacts!E357)</f>
        <v>+31 104559757</v>
      </c>
      <c r="N357" t="str">
        <f t="shared" si="148"/>
        <v/>
      </c>
      <c r="O357" s="5">
        <f t="shared" si="149"/>
        <v>1</v>
      </c>
      <c r="P357" s="5">
        <f t="shared" si="150"/>
        <v>1</v>
      </c>
      <c r="Q357" s="5" t="str">
        <f>CONCATENATE(+Contacts!G357)</f>
        <v/>
      </c>
      <c r="R357" t="str">
        <f t="shared" si="151"/>
        <v/>
      </c>
      <c r="S357" s="5">
        <f t="shared" si="152"/>
        <v>1</v>
      </c>
      <c r="T357" s="5">
        <f t="shared" si="153"/>
        <v>1</v>
      </c>
      <c r="U357" s="5" t="str">
        <f>CONCATENATE(+Contacts!H357)</f>
        <v/>
      </c>
      <c r="V357" t="str">
        <f t="shared" si="154"/>
        <v/>
      </c>
      <c r="W357" s="5">
        <f t="shared" si="155"/>
        <v>1</v>
      </c>
      <c r="X357" s="5">
        <f t="shared" si="156"/>
        <v>1</v>
      </c>
      <c r="Y357" s="5" t="str">
        <f>CONCATENATE(+Contacts!F357)</f>
        <v/>
      </c>
      <c r="Z357" s="2" t="str">
        <f t="shared" si="157"/>
        <v>Roerade  (Fietsenhandel)</v>
      </c>
      <c r="AA357" s="2" t="str">
        <f>CONCATENATE(+Contacts!C357)</f>
        <v>Roerade</v>
      </c>
      <c r="AB357" s="2" t="str">
        <f t="shared" si="158"/>
        <v xml:space="preserve"> </v>
      </c>
      <c r="AC357" s="2" t="str">
        <f>CONCATENATE(+Contacts!A357)</f>
        <v/>
      </c>
      <c r="AD357" s="3" t="str">
        <f>CONCATENATE(" ",+Contacts!B357)</f>
        <v xml:space="preserve"> </v>
      </c>
      <c r="AE357" s="2" t="str">
        <f t="shared" si="159"/>
        <v>(</v>
      </c>
      <c r="AF357" s="3" t="str">
        <f>CONCATENATE(+Contacts!D357)</f>
        <v>Fietsenhandel</v>
      </c>
      <c r="AG357" s="2" t="str">
        <f t="shared" si="160"/>
        <v>)</v>
      </c>
      <c r="AH357" t="str">
        <f>CONCATENATE(+Contacts!I357)</f>
        <v/>
      </c>
      <c r="AI357">
        <v>1500000010</v>
      </c>
      <c r="AJ357" s="5">
        <f t="shared" si="161"/>
        <v>1</v>
      </c>
    </row>
    <row r="358" spans="1:36" x14ac:dyDescent="0.35">
      <c r="A358" s="7" t="str">
        <f t="shared" si="136"/>
        <v/>
      </c>
      <c r="B358" s="7" t="str">
        <f t="shared" si="137"/>
        <v/>
      </c>
      <c r="C358" s="7" t="str">
        <f t="shared" si="138"/>
        <v/>
      </c>
      <c r="D358" t="str">
        <f t="shared" si="139"/>
        <v>&lt;contact&gt;&lt;category&gt;0&lt;/category&gt;&lt;person&gt;&lt;realName&gt;Rolloos, Walter   &lt;/realName&gt;&lt;/person&gt;</v>
      </c>
      <c r="E358" t="str">
        <f t="shared" si="140"/>
        <v>&lt;telephony nid="0"&gt;&lt;/telephony&gt;</v>
      </c>
      <c r="F358" t="str">
        <f t="shared" si="141"/>
        <v>&lt;telephony nid="0"&gt;</v>
      </c>
      <c r="G358" t="str">
        <f t="shared" si="142"/>
        <v/>
      </c>
      <c r="H358" t="str">
        <f t="shared" si="143"/>
        <v>&lt;services nid="1"&gt;&lt;email id="0" classifier="private"&gt;wrolloos@melanchthon.nl&lt;/email&gt;&lt;/services&gt;&lt;setup /&gt;&lt;mod_time&gt;1500000010&lt;/mod_time&gt;&lt;uniqueid&gt;0&lt;/uniqueid&gt;&lt;/contact&gt;</v>
      </c>
      <c r="I358" t="str">
        <f t="shared" si="144"/>
        <v>&lt;services /&gt;&lt;setup /&gt;&lt;mod_time&gt;1500000010&lt;/mod_time&gt;&lt;uniqueid&gt;0&lt;/uniqueid&gt;&lt;/contact&gt;</v>
      </c>
      <c r="J358" t="str">
        <f t="shared" si="145"/>
        <v>&lt;services nid="1"&gt;&lt;email id="0" classifier="private"&gt;wrolloos@melanchthon.nl&lt;/email&gt;&lt;/services&gt;&lt;setup /&gt;&lt;mod_time&gt;1500000010&lt;/mod_time&gt;&lt;uniqueid&gt;0&lt;/uniqueid&gt;&lt;/contact&gt;</v>
      </c>
      <c r="K358" s="5">
        <f t="shared" si="146"/>
        <v>0</v>
      </c>
      <c r="L358" s="5">
        <f t="shared" si="147"/>
        <v>0</v>
      </c>
      <c r="M358" s="5" t="str">
        <f>CONCATENATE(+Contacts!E358)</f>
        <v/>
      </c>
      <c r="N358" t="str">
        <f t="shared" si="148"/>
        <v/>
      </c>
      <c r="O358" s="5">
        <f t="shared" si="149"/>
        <v>0</v>
      </c>
      <c r="P358" s="5">
        <f t="shared" si="150"/>
        <v>0</v>
      </c>
      <c r="Q358" s="5" t="str">
        <f>CONCATENATE(+Contacts!G358)</f>
        <v/>
      </c>
      <c r="R358" t="str">
        <f t="shared" si="151"/>
        <v/>
      </c>
      <c r="S358" s="5">
        <f t="shared" si="152"/>
        <v>0</v>
      </c>
      <c r="T358" s="5">
        <f t="shared" si="153"/>
        <v>0</v>
      </c>
      <c r="U358" s="5" t="str">
        <f>CONCATENATE(+Contacts!H358)</f>
        <v/>
      </c>
      <c r="V358" t="str">
        <f t="shared" si="154"/>
        <v/>
      </c>
      <c r="W358" s="5">
        <f t="shared" si="155"/>
        <v>0</v>
      </c>
      <c r="X358" s="5">
        <f t="shared" si="156"/>
        <v>0</v>
      </c>
      <c r="Y358" s="5" t="str">
        <f>CONCATENATE(+Contacts!F358)</f>
        <v/>
      </c>
      <c r="Z358" s="2" t="str">
        <f t="shared" si="157"/>
        <v xml:space="preserve">Rolloos, Walter   </v>
      </c>
      <c r="AA358" s="2" t="str">
        <f>CONCATENATE(+Contacts!C358)</f>
        <v>Rolloos</v>
      </c>
      <c r="AB358" s="2" t="str">
        <f t="shared" si="158"/>
        <v xml:space="preserve">, </v>
      </c>
      <c r="AC358" s="2" t="str">
        <f>CONCATENATE(+Contacts!A358)</f>
        <v>Walter</v>
      </c>
      <c r="AD358" s="3" t="str">
        <f>CONCATENATE(" ",+Contacts!B358)</f>
        <v xml:space="preserve"> </v>
      </c>
      <c r="AE358" s="2" t="str">
        <f t="shared" si="159"/>
        <v xml:space="preserve"> </v>
      </c>
      <c r="AF358" s="3" t="str">
        <f>CONCATENATE(+Contacts!D358)</f>
        <v/>
      </c>
      <c r="AG358" s="2" t="str">
        <f t="shared" si="160"/>
        <v xml:space="preserve"> </v>
      </c>
      <c r="AH358" t="str">
        <f>CONCATENATE(+Contacts!I358)</f>
        <v>wrolloos@melanchthon.nl</v>
      </c>
      <c r="AI358">
        <v>1500000010</v>
      </c>
      <c r="AJ358" s="5">
        <f t="shared" si="161"/>
        <v>0</v>
      </c>
    </row>
    <row r="359" spans="1:36" x14ac:dyDescent="0.35">
      <c r="A359" s="7" t="str">
        <f t="shared" si="136"/>
        <v>&lt;contact&gt;&lt;category&gt;0&lt;/category&gt;&lt;person&gt;&lt;realName&gt;Roo, Hannie de  &lt;/realName&gt;&lt;/person&gt;</v>
      </c>
      <c r="B359" s="7" t="str">
        <f t="shared" si="137"/>
        <v>&lt;telephony nid="2"&gt;&lt;number id="0" prio="1" type="home"&gt;+31 111642185&lt;/number&gt;&lt;number id="1" prio="0" type="mobile"&gt;+31 620476741&lt;/number&gt;&lt;/telephony&gt;</v>
      </c>
      <c r="C359" s="7" t="str">
        <f t="shared" si="138"/>
        <v>&lt;services /&gt;&lt;setup /&gt;&lt;mod_time&gt;1500000010&lt;/mod_time&gt;&lt;uniqueid&gt;1&lt;/uniqueid&gt;&lt;/contact&gt;</v>
      </c>
      <c r="D359" t="str">
        <f t="shared" si="139"/>
        <v>&lt;contact&gt;&lt;category&gt;0&lt;/category&gt;&lt;person&gt;&lt;realName&gt;Roo, Hannie de  &lt;/realName&gt;&lt;/person&gt;</v>
      </c>
      <c r="E359" t="str">
        <f t="shared" si="140"/>
        <v>&lt;telephony nid="2"&gt;&lt;number id="0" prio="1" type="home"&gt;+31 111642185&lt;/number&gt;&lt;number id="1" prio="0" type="mobile"&gt;+31 620476741&lt;/number&gt;&lt;/telephony&gt;</v>
      </c>
      <c r="F359" t="str">
        <f t="shared" si="141"/>
        <v>&lt;telephony nid="2"&gt;</v>
      </c>
      <c r="G359" t="str">
        <f t="shared" si="142"/>
        <v/>
      </c>
      <c r="H359" t="str">
        <f t="shared" si="143"/>
        <v>&lt;services nid="1"&gt;&lt;email id="0" classifier="private"&gt;&lt;/email&gt;&lt;/services&gt;&lt;setup /&gt;&lt;mod_time&gt;1500000010&lt;/mod_time&gt;&lt;uniqueid&gt;1&lt;/uniqueid&gt;&lt;/contact&gt;</v>
      </c>
      <c r="I359" t="str">
        <f t="shared" si="144"/>
        <v>&lt;services /&gt;&lt;setup /&gt;&lt;mod_time&gt;1500000010&lt;/mod_time&gt;&lt;uniqueid&gt;1&lt;/uniqueid&gt;&lt;/contact&gt;</v>
      </c>
      <c r="J359" t="str">
        <f t="shared" si="145"/>
        <v>&lt;services /&gt;&lt;setup /&gt;&lt;mod_time&gt;1500000010&lt;/mod_time&gt;&lt;uniqueid&gt;1&lt;/uniqueid&gt;&lt;/contact&gt;</v>
      </c>
      <c r="K359" s="5">
        <f t="shared" si="146"/>
        <v>0</v>
      </c>
      <c r="L359" s="5">
        <f t="shared" si="147"/>
        <v>0</v>
      </c>
      <c r="M359" s="5" t="str">
        <f>CONCATENATE(+Contacts!E359)</f>
        <v/>
      </c>
      <c r="N359" t="str">
        <f t="shared" si="148"/>
        <v>&lt;number id="0" prio="1" type="home"&gt;+31 111642185&lt;/number&gt;</v>
      </c>
      <c r="O359" s="5">
        <f t="shared" si="149"/>
        <v>1</v>
      </c>
      <c r="P359" s="5">
        <f t="shared" si="150"/>
        <v>1</v>
      </c>
      <c r="Q359" s="5" t="str">
        <f>CONCATENATE(+Contacts!G359)</f>
        <v>+31 111642185</v>
      </c>
      <c r="R359" t="str">
        <f t="shared" si="151"/>
        <v>&lt;number id="1" prio="0" type="mobile"&gt;+31 620476741&lt;/number&gt;</v>
      </c>
      <c r="S359" s="5">
        <f t="shared" si="152"/>
        <v>2</v>
      </c>
      <c r="T359" s="5">
        <f t="shared" si="153"/>
        <v>0</v>
      </c>
      <c r="U359" s="5" t="str">
        <f>CONCATENATE(+Contacts!H359)</f>
        <v>+31 620476741</v>
      </c>
      <c r="V359" t="str">
        <f t="shared" si="154"/>
        <v/>
      </c>
      <c r="W359" s="5">
        <f t="shared" si="155"/>
        <v>2</v>
      </c>
      <c r="X359" s="5">
        <f t="shared" si="156"/>
        <v>0</v>
      </c>
      <c r="Y359" s="5" t="str">
        <f>CONCATENATE(+Contacts!F359)</f>
        <v/>
      </c>
      <c r="Z359" s="2" t="str">
        <f t="shared" si="157"/>
        <v xml:space="preserve">Roo, Hannie de  </v>
      </c>
      <c r="AA359" s="2" t="str">
        <f>CONCATENATE(+Contacts!C359)</f>
        <v>Roo</v>
      </c>
      <c r="AB359" s="2" t="str">
        <f t="shared" si="158"/>
        <v xml:space="preserve">, </v>
      </c>
      <c r="AC359" s="2" t="str">
        <f>CONCATENATE(+Contacts!A359)</f>
        <v>Hannie</v>
      </c>
      <c r="AD359" s="3" t="str">
        <f>CONCATENATE(" ",+Contacts!B359)</f>
        <v xml:space="preserve"> de</v>
      </c>
      <c r="AE359" s="2" t="str">
        <f t="shared" si="159"/>
        <v xml:space="preserve"> </v>
      </c>
      <c r="AF359" s="3" t="str">
        <f>CONCATENATE(+Contacts!D359)</f>
        <v/>
      </c>
      <c r="AG359" s="2" t="str">
        <f t="shared" si="160"/>
        <v xml:space="preserve"> </v>
      </c>
      <c r="AH359" t="str">
        <f>CONCATENATE(+Contacts!I359)</f>
        <v/>
      </c>
      <c r="AI359">
        <v>1500000010</v>
      </c>
      <c r="AJ359" s="5">
        <f t="shared" si="161"/>
        <v>1</v>
      </c>
    </row>
    <row r="360" spans="1:36" x14ac:dyDescent="0.35">
      <c r="A360" s="7" t="str">
        <f t="shared" si="136"/>
        <v>&lt;contact&gt;&lt;category&gt;0&lt;/category&gt;&lt;person&gt;&lt;realName&gt;Roth, Marianne   &lt;/realName&gt;&lt;/person&gt;</v>
      </c>
      <c r="B360" s="7" t="str">
        <f t="shared" si="137"/>
        <v>&lt;telephony nid="1"&gt;&lt;number id="0" prio="1" type="home"&gt;+31 6 12 84 61 87&lt;/number&gt;&lt;/telephony&gt;</v>
      </c>
      <c r="C360" s="7" t="str">
        <f t="shared" si="138"/>
        <v>&lt;services nid="1"&gt;&lt;email id="0" classifier="private"&gt;marianne@creamare.nl&lt;/email&gt;&lt;/services&gt;&lt;setup /&gt;&lt;mod_time&gt;1500000010&lt;/mod_time&gt;&lt;uniqueid&gt;1&lt;/uniqueid&gt;&lt;/contact&gt;</v>
      </c>
      <c r="D360" t="str">
        <f t="shared" si="139"/>
        <v>&lt;contact&gt;&lt;category&gt;0&lt;/category&gt;&lt;person&gt;&lt;realName&gt;Roth, Marianne   &lt;/realName&gt;&lt;/person&gt;</v>
      </c>
      <c r="E360" t="str">
        <f t="shared" si="140"/>
        <v>&lt;telephony nid="1"&gt;&lt;number id="0" prio="1" type="home"&gt;+31 6 12 84 61 87&lt;/number&gt;&lt;/telephony&gt;</v>
      </c>
      <c r="F360" t="str">
        <f t="shared" si="141"/>
        <v>&lt;telephony nid="1"&gt;</v>
      </c>
      <c r="G360" t="str">
        <f t="shared" si="142"/>
        <v/>
      </c>
      <c r="H360" t="str">
        <f t="shared" si="143"/>
        <v>&lt;services nid="1"&gt;&lt;email id="0" classifier="private"&gt;marianne@creamare.nl&lt;/email&gt;&lt;/services&gt;&lt;setup /&gt;&lt;mod_time&gt;1500000010&lt;/mod_time&gt;&lt;uniqueid&gt;1&lt;/uniqueid&gt;&lt;/contact&gt;</v>
      </c>
      <c r="I360" t="str">
        <f t="shared" si="144"/>
        <v>&lt;services /&gt;&lt;setup /&gt;&lt;mod_time&gt;1500000010&lt;/mod_time&gt;&lt;uniqueid&gt;1&lt;/uniqueid&gt;&lt;/contact&gt;</v>
      </c>
      <c r="J360" t="str">
        <f t="shared" si="145"/>
        <v>&lt;services nid="1"&gt;&lt;email id="0" classifier="private"&gt;marianne@creamare.nl&lt;/email&gt;&lt;/services&gt;&lt;setup /&gt;&lt;mod_time&gt;1500000010&lt;/mod_time&gt;&lt;uniqueid&gt;1&lt;/uniqueid&gt;&lt;/contact&gt;</v>
      </c>
      <c r="K360" s="5">
        <f t="shared" si="146"/>
        <v>0</v>
      </c>
      <c r="L360" s="5">
        <f t="shared" si="147"/>
        <v>0</v>
      </c>
      <c r="M360" s="5" t="str">
        <f>CONCATENATE(+Contacts!E360)</f>
        <v/>
      </c>
      <c r="N360" t="str">
        <f t="shared" si="148"/>
        <v>&lt;number id="0" prio="1" type="home"&gt;+31 6 12 84 61 87&lt;/number&gt;</v>
      </c>
      <c r="O360" s="5">
        <f t="shared" si="149"/>
        <v>1</v>
      </c>
      <c r="P360" s="5">
        <f t="shared" si="150"/>
        <v>1</v>
      </c>
      <c r="Q360" s="5" t="str">
        <f>CONCATENATE(+Contacts!G360)</f>
        <v>+31 6 12 84 61 87</v>
      </c>
      <c r="R360" t="str">
        <f t="shared" si="151"/>
        <v/>
      </c>
      <c r="S360" s="5">
        <f t="shared" si="152"/>
        <v>1</v>
      </c>
      <c r="T360" s="5">
        <f t="shared" si="153"/>
        <v>1</v>
      </c>
      <c r="U360" s="5" t="str">
        <f>CONCATENATE(+Contacts!H360)</f>
        <v/>
      </c>
      <c r="V360" t="str">
        <f t="shared" si="154"/>
        <v/>
      </c>
      <c r="W360" s="5">
        <f t="shared" si="155"/>
        <v>1</v>
      </c>
      <c r="X360" s="5">
        <f t="shared" si="156"/>
        <v>1</v>
      </c>
      <c r="Y360" s="5" t="str">
        <f>CONCATENATE(+Contacts!F360)</f>
        <v/>
      </c>
      <c r="Z360" s="2" t="str">
        <f t="shared" si="157"/>
        <v xml:space="preserve">Roth, Marianne   </v>
      </c>
      <c r="AA360" s="2" t="str">
        <f>CONCATENATE(+Contacts!C360)</f>
        <v>Roth</v>
      </c>
      <c r="AB360" s="2" t="str">
        <f t="shared" si="158"/>
        <v xml:space="preserve">, </v>
      </c>
      <c r="AC360" s="2" t="str">
        <f>CONCATENATE(+Contacts!A360)</f>
        <v>Marianne</v>
      </c>
      <c r="AD360" s="3" t="str">
        <f>CONCATENATE(" ",+Contacts!B360)</f>
        <v xml:space="preserve"> </v>
      </c>
      <c r="AE360" s="2" t="str">
        <f t="shared" si="159"/>
        <v xml:space="preserve"> </v>
      </c>
      <c r="AF360" s="3" t="str">
        <f>CONCATENATE(+Contacts!D360)</f>
        <v/>
      </c>
      <c r="AG360" s="2" t="str">
        <f t="shared" si="160"/>
        <v xml:space="preserve"> </v>
      </c>
      <c r="AH360" t="str">
        <f>CONCATENATE(+Contacts!I360)</f>
        <v>marianne@creamare.nl</v>
      </c>
      <c r="AI360">
        <v>1500000010</v>
      </c>
      <c r="AJ360" s="5">
        <f t="shared" si="161"/>
        <v>1</v>
      </c>
    </row>
    <row r="361" spans="1:36" x14ac:dyDescent="0.35">
      <c r="A361" s="7" t="str">
        <f t="shared" si="136"/>
        <v>&lt;contact&gt;&lt;category&gt;0&lt;/category&gt;&lt;person&gt;&lt;realName&gt;Rotterdam, HEMA (HEMA)&lt;/realName&gt;&lt;/person&gt;</v>
      </c>
      <c r="B361" s="7" t="str">
        <f t="shared" si="137"/>
        <v>&lt;telephony nid="1"&gt;&lt;number id="0" prio="1" type="work"&gt;+31 104213788&lt;/number&gt;&lt;/telephony&gt;</v>
      </c>
      <c r="C361" s="7" t="str">
        <f t="shared" si="138"/>
        <v>&lt;services /&gt;&lt;setup /&gt;&lt;mod_time&gt;1500000010&lt;/mod_time&gt;&lt;uniqueid&gt;1&lt;/uniqueid&gt;&lt;/contact&gt;</v>
      </c>
      <c r="D361" t="str">
        <f t="shared" si="139"/>
        <v>&lt;contact&gt;&lt;category&gt;0&lt;/category&gt;&lt;person&gt;&lt;realName&gt;Rotterdam, HEMA (HEMA)&lt;/realName&gt;&lt;/person&gt;</v>
      </c>
      <c r="E361" t="str">
        <f t="shared" si="140"/>
        <v>&lt;telephony nid="1"&gt;&lt;number id="0" prio="1" type="work"&gt;+31 104213788&lt;/number&gt;&lt;/telephony&gt;</v>
      </c>
      <c r="F361" t="str">
        <f t="shared" si="141"/>
        <v>&lt;telephony nid="1"&gt;</v>
      </c>
      <c r="G361" t="str">
        <f t="shared" si="142"/>
        <v>&lt;number id="0" prio="1" type="work"&gt;+31 104213788&lt;/number&gt;</v>
      </c>
      <c r="H361" t="str">
        <f t="shared" si="143"/>
        <v>&lt;services nid="1"&gt;&lt;email id="0" classifier="private"&gt;&lt;/email&gt;&lt;/services&gt;&lt;setup /&gt;&lt;mod_time&gt;1500000010&lt;/mod_time&gt;&lt;uniqueid&gt;1&lt;/uniqueid&gt;&lt;/contact&gt;</v>
      </c>
      <c r="I361" t="str">
        <f t="shared" si="144"/>
        <v>&lt;services /&gt;&lt;setup /&gt;&lt;mod_time&gt;1500000010&lt;/mod_time&gt;&lt;uniqueid&gt;1&lt;/uniqueid&gt;&lt;/contact&gt;</v>
      </c>
      <c r="J361" t="str">
        <f t="shared" si="145"/>
        <v>&lt;services /&gt;&lt;setup /&gt;&lt;mod_time&gt;1500000010&lt;/mod_time&gt;&lt;uniqueid&gt;1&lt;/uniqueid&gt;&lt;/contact&gt;</v>
      </c>
      <c r="K361" s="5">
        <f t="shared" si="146"/>
        <v>1</v>
      </c>
      <c r="L361" s="5">
        <f t="shared" si="147"/>
        <v>1</v>
      </c>
      <c r="M361" s="5" t="str">
        <f>CONCATENATE(+Contacts!E361)</f>
        <v>+31 104213788</v>
      </c>
      <c r="N361" t="str">
        <f t="shared" si="148"/>
        <v/>
      </c>
      <c r="O361" s="5">
        <f t="shared" si="149"/>
        <v>1</v>
      </c>
      <c r="P361" s="5">
        <f t="shared" si="150"/>
        <v>1</v>
      </c>
      <c r="Q361" s="5" t="str">
        <f>CONCATENATE(+Contacts!G361)</f>
        <v/>
      </c>
      <c r="R361" t="str">
        <f t="shared" si="151"/>
        <v/>
      </c>
      <c r="S361" s="5">
        <f t="shared" si="152"/>
        <v>1</v>
      </c>
      <c r="T361" s="5">
        <f t="shared" si="153"/>
        <v>1</v>
      </c>
      <c r="U361" s="5" t="str">
        <f>CONCATENATE(+Contacts!H361)</f>
        <v/>
      </c>
      <c r="V361" t="str">
        <f t="shared" si="154"/>
        <v/>
      </c>
      <c r="W361" s="5">
        <f t="shared" si="155"/>
        <v>1</v>
      </c>
      <c r="X361" s="5">
        <f t="shared" si="156"/>
        <v>1</v>
      </c>
      <c r="Y361" s="5" t="str">
        <f>CONCATENATE(+Contacts!F361)</f>
        <v/>
      </c>
      <c r="Z361" s="2" t="str">
        <f t="shared" si="157"/>
        <v>Rotterdam, HEMA (HEMA)</v>
      </c>
      <c r="AA361" s="2" t="str">
        <f>CONCATENATE(+Contacts!C361)</f>
        <v>Rotterdam</v>
      </c>
      <c r="AB361" s="2" t="str">
        <f t="shared" si="158"/>
        <v xml:space="preserve">, </v>
      </c>
      <c r="AC361" s="2" t="str">
        <f>CONCATENATE(+Contacts!A361)</f>
        <v>HEMA</v>
      </c>
      <c r="AD361" s="3" t="str">
        <f>CONCATENATE(" ",+Contacts!B361)</f>
        <v xml:space="preserve"> </v>
      </c>
      <c r="AE361" s="2" t="str">
        <f t="shared" si="159"/>
        <v>(</v>
      </c>
      <c r="AF361" s="3" t="str">
        <f>CONCATENATE(+Contacts!D361)</f>
        <v>HEMA</v>
      </c>
      <c r="AG361" s="2" t="str">
        <f t="shared" si="160"/>
        <v>)</v>
      </c>
      <c r="AH361" t="str">
        <f>CONCATENATE(+Contacts!I361)</f>
        <v/>
      </c>
      <c r="AI361">
        <v>1500000010</v>
      </c>
      <c r="AJ361" s="5">
        <f t="shared" si="161"/>
        <v>1</v>
      </c>
    </row>
    <row r="362" spans="1:36" x14ac:dyDescent="0.35">
      <c r="A362" s="7" t="str">
        <f t="shared" si="136"/>
        <v>&lt;contact&gt;&lt;category&gt;0&lt;/category&gt;&lt;person&gt;&lt;realName&gt;Rotterdam, Jeska van  &lt;/realName&gt;&lt;/person&gt;</v>
      </c>
      <c r="B362" s="7" t="str">
        <f t="shared" si="137"/>
        <v>&lt;telephony nid="2"&gt;&lt;number id="0" prio="1" type="home"&gt;+31 104558371&lt;/number&gt;&lt;number id="1" prio="0" type="work"&gt;+31 6 45 95 34 58&lt;/number&gt;&lt;/telephony&gt;</v>
      </c>
      <c r="C362" s="7" t="str">
        <f t="shared" si="138"/>
        <v>&lt;services nid="1"&gt;&lt;email id="0" classifier="private"&gt;jeskavanrotterdam@gmail.com&lt;/email&gt;&lt;/services&gt;&lt;setup /&gt;&lt;mod_time&gt;1500000010&lt;/mod_time&gt;&lt;uniqueid&gt;1&lt;/uniqueid&gt;&lt;/contact&gt;</v>
      </c>
      <c r="D362" t="str">
        <f t="shared" si="139"/>
        <v>&lt;contact&gt;&lt;category&gt;0&lt;/category&gt;&lt;person&gt;&lt;realName&gt;Rotterdam, Jeska van  &lt;/realName&gt;&lt;/person&gt;</v>
      </c>
      <c r="E362" t="str">
        <f t="shared" si="140"/>
        <v>&lt;telephony nid="2"&gt;&lt;number id="0" prio="1" type="home"&gt;+31 104558371&lt;/number&gt;&lt;number id="1" prio="0" type="work"&gt;+31 6 45 95 34 58&lt;/number&gt;&lt;/telephony&gt;</v>
      </c>
      <c r="F362" t="str">
        <f t="shared" si="141"/>
        <v>&lt;telephony nid="2"&gt;</v>
      </c>
      <c r="G362" t="str">
        <f t="shared" si="142"/>
        <v/>
      </c>
      <c r="H362" t="str">
        <f t="shared" si="143"/>
        <v>&lt;services nid="1"&gt;&lt;email id="0" classifier="private"&gt;jeskavanrotterdam@gmail.com&lt;/email&gt;&lt;/services&gt;&lt;setup /&gt;&lt;mod_time&gt;1500000010&lt;/mod_time&gt;&lt;uniqueid&gt;1&lt;/uniqueid&gt;&lt;/contact&gt;</v>
      </c>
      <c r="I362" t="str">
        <f t="shared" si="144"/>
        <v>&lt;services /&gt;&lt;setup /&gt;&lt;mod_time&gt;1500000010&lt;/mod_time&gt;&lt;uniqueid&gt;1&lt;/uniqueid&gt;&lt;/contact&gt;</v>
      </c>
      <c r="J362" t="str">
        <f t="shared" si="145"/>
        <v>&lt;services nid="1"&gt;&lt;email id="0" classifier="private"&gt;jeskavanrotterdam@gmail.com&lt;/email&gt;&lt;/services&gt;&lt;setup /&gt;&lt;mod_time&gt;1500000010&lt;/mod_time&gt;&lt;uniqueid&gt;1&lt;/uniqueid&gt;&lt;/contact&gt;</v>
      </c>
      <c r="K362" s="5">
        <f t="shared" si="146"/>
        <v>0</v>
      </c>
      <c r="L362" s="5">
        <f t="shared" si="147"/>
        <v>0</v>
      </c>
      <c r="M362" s="5" t="str">
        <f>CONCATENATE(+Contacts!E362)</f>
        <v/>
      </c>
      <c r="N362" t="str">
        <f t="shared" si="148"/>
        <v>&lt;number id="0" prio="1" type="home"&gt;+31 104558371&lt;/number&gt;</v>
      </c>
      <c r="O362" s="5">
        <f t="shared" si="149"/>
        <v>1</v>
      </c>
      <c r="P362" s="5">
        <f t="shared" si="150"/>
        <v>1</v>
      </c>
      <c r="Q362" s="5" t="str">
        <f>CONCATENATE(+Contacts!G362)</f>
        <v>+31 104558371</v>
      </c>
      <c r="R362" t="str">
        <f t="shared" si="151"/>
        <v/>
      </c>
      <c r="S362" s="5">
        <f t="shared" si="152"/>
        <v>1</v>
      </c>
      <c r="T362" s="5">
        <f t="shared" si="153"/>
        <v>1</v>
      </c>
      <c r="U362" s="5" t="str">
        <f>CONCATENATE(+Contacts!H362)</f>
        <v/>
      </c>
      <c r="V362" t="str">
        <f t="shared" si="154"/>
        <v>&lt;number id="1" prio="0" type="work"&gt;+31 6 45 95 34 58&lt;/number&gt;</v>
      </c>
      <c r="W362" s="5">
        <f t="shared" si="155"/>
        <v>2</v>
      </c>
      <c r="X362" s="5">
        <f t="shared" si="156"/>
        <v>0</v>
      </c>
      <c r="Y362" s="5" t="str">
        <f>CONCATENATE(+Contacts!F362)</f>
        <v>+31 6 45 95 34 58</v>
      </c>
      <c r="Z362" s="2" t="str">
        <f t="shared" si="157"/>
        <v xml:space="preserve">Rotterdam, Jeska van  </v>
      </c>
      <c r="AA362" s="2" t="str">
        <f>CONCATENATE(+Contacts!C362)</f>
        <v>Rotterdam</v>
      </c>
      <c r="AB362" s="2" t="str">
        <f t="shared" si="158"/>
        <v xml:space="preserve">, </v>
      </c>
      <c r="AC362" s="2" t="str">
        <f>CONCATENATE(+Contacts!A362)</f>
        <v>Jeska</v>
      </c>
      <c r="AD362" s="3" t="str">
        <f>CONCATENATE(" ",+Contacts!B362)</f>
        <v xml:space="preserve"> van</v>
      </c>
      <c r="AE362" s="2" t="str">
        <f t="shared" si="159"/>
        <v xml:space="preserve"> </v>
      </c>
      <c r="AF362" s="3" t="str">
        <f>CONCATENATE(+Contacts!D362)</f>
        <v/>
      </c>
      <c r="AG362" s="2" t="str">
        <f t="shared" si="160"/>
        <v xml:space="preserve"> </v>
      </c>
      <c r="AH362" t="str">
        <f>CONCATENATE(+Contacts!I362)</f>
        <v>jeskavanrotterdam@gmail.com</v>
      </c>
      <c r="AI362">
        <v>1500000010</v>
      </c>
      <c r="AJ362" s="5">
        <f t="shared" si="161"/>
        <v>1</v>
      </c>
    </row>
    <row r="363" spans="1:36" x14ac:dyDescent="0.35">
      <c r="A363" s="7" t="str">
        <f t="shared" si="136"/>
        <v>&lt;contact&gt;&lt;category&gt;0&lt;/category&gt;&lt;person&gt;&lt;realName&gt;Ruigrok en Van der Pad  (Aannemer)&lt;/realName&gt;&lt;/person&gt;</v>
      </c>
      <c r="B363" s="7" t="str">
        <f t="shared" si="137"/>
        <v>&lt;telephony nid="2"&gt;&lt;number id="0" prio="1" type="work"&gt;+31 105216491&lt;/number&gt;&lt;number id="1" prio="0" type="mobile"&gt;+31 653155079&lt;/number&gt;&lt;/telephony&gt;</v>
      </c>
      <c r="C363" s="7" t="str">
        <f t="shared" si="138"/>
        <v>&lt;services nid="1"&gt;&lt;email id="0" classifier="private"&gt;info@ruigrokenvanderpad.nl&lt;/email&gt;&lt;/services&gt;&lt;setup /&gt;&lt;mod_time&gt;1500000010&lt;/mod_time&gt;&lt;uniqueid&gt;1&lt;/uniqueid&gt;&lt;/contact&gt;</v>
      </c>
      <c r="D363" t="str">
        <f t="shared" si="139"/>
        <v>&lt;contact&gt;&lt;category&gt;0&lt;/category&gt;&lt;person&gt;&lt;realName&gt;Ruigrok en Van der Pad  (Aannemer)&lt;/realName&gt;&lt;/person&gt;</v>
      </c>
      <c r="E363" t="str">
        <f t="shared" si="140"/>
        <v>&lt;telephony nid="2"&gt;&lt;number id="0" prio="1" type="work"&gt;+31 105216491&lt;/number&gt;&lt;number id="1" prio="0" type="mobile"&gt;+31 653155079&lt;/number&gt;&lt;/telephony&gt;</v>
      </c>
      <c r="F363" t="str">
        <f t="shared" si="141"/>
        <v>&lt;telephony nid="2"&gt;</v>
      </c>
      <c r="G363" t="str">
        <f t="shared" si="142"/>
        <v>&lt;number id="0" prio="1" type="work"&gt;+31 105216491&lt;/number&gt;</v>
      </c>
      <c r="H363" t="str">
        <f t="shared" si="143"/>
        <v>&lt;services nid="1"&gt;&lt;email id="0" classifier="private"&gt;info@ruigrokenvanderpad.nl&lt;/email&gt;&lt;/services&gt;&lt;setup /&gt;&lt;mod_time&gt;1500000010&lt;/mod_time&gt;&lt;uniqueid&gt;1&lt;/uniqueid&gt;&lt;/contact&gt;</v>
      </c>
      <c r="I363" t="str">
        <f t="shared" si="144"/>
        <v>&lt;services /&gt;&lt;setup /&gt;&lt;mod_time&gt;1500000010&lt;/mod_time&gt;&lt;uniqueid&gt;1&lt;/uniqueid&gt;&lt;/contact&gt;</v>
      </c>
      <c r="J363" t="str">
        <f t="shared" si="145"/>
        <v>&lt;services nid="1"&gt;&lt;email id="0" classifier="private"&gt;info@ruigrokenvanderpad.nl&lt;/email&gt;&lt;/services&gt;&lt;setup /&gt;&lt;mod_time&gt;1500000010&lt;/mod_time&gt;&lt;uniqueid&gt;1&lt;/uniqueid&gt;&lt;/contact&gt;</v>
      </c>
      <c r="K363" s="5">
        <f t="shared" si="146"/>
        <v>1</v>
      </c>
      <c r="L363" s="5">
        <f t="shared" si="147"/>
        <v>1</v>
      </c>
      <c r="M363" s="5" t="str">
        <f>CONCATENATE(+Contacts!E363)</f>
        <v>+31 105216491</v>
      </c>
      <c r="N363" t="str">
        <f t="shared" si="148"/>
        <v/>
      </c>
      <c r="O363" s="5">
        <f t="shared" si="149"/>
        <v>1</v>
      </c>
      <c r="P363" s="5">
        <f t="shared" si="150"/>
        <v>1</v>
      </c>
      <c r="Q363" s="5" t="str">
        <f>CONCATENATE(+Contacts!G363)</f>
        <v/>
      </c>
      <c r="R363" t="str">
        <f t="shared" si="151"/>
        <v>&lt;number id="1" prio="0" type="mobile"&gt;+31 653155079&lt;/number&gt;</v>
      </c>
      <c r="S363" s="5">
        <f t="shared" si="152"/>
        <v>2</v>
      </c>
      <c r="T363" s="5">
        <f t="shared" si="153"/>
        <v>0</v>
      </c>
      <c r="U363" s="5" t="str">
        <f>CONCATENATE(+Contacts!H363)</f>
        <v>+31 653155079</v>
      </c>
      <c r="V363" t="str">
        <f t="shared" si="154"/>
        <v/>
      </c>
      <c r="W363" s="5">
        <f t="shared" si="155"/>
        <v>2</v>
      </c>
      <c r="X363" s="5">
        <f t="shared" si="156"/>
        <v>0</v>
      </c>
      <c r="Y363" s="5" t="str">
        <f>CONCATENATE(+Contacts!F363)</f>
        <v/>
      </c>
      <c r="Z363" s="2" t="str">
        <f t="shared" si="157"/>
        <v>Ruigrok en Van der Pad  (Aannemer)</v>
      </c>
      <c r="AA363" s="2" t="str">
        <f>CONCATENATE(+Contacts!C363)</f>
        <v>Ruigrok en Van der Pad</v>
      </c>
      <c r="AB363" s="2" t="str">
        <f t="shared" si="158"/>
        <v xml:space="preserve"> </v>
      </c>
      <c r="AC363" s="2" t="str">
        <f>CONCATENATE(+Contacts!A363)</f>
        <v/>
      </c>
      <c r="AD363" s="3" t="str">
        <f>CONCATENATE(" ",+Contacts!B363)</f>
        <v xml:space="preserve"> </v>
      </c>
      <c r="AE363" s="2" t="str">
        <f t="shared" si="159"/>
        <v>(</v>
      </c>
      <c r="AF363" s="3" t="str">
        <f>CONCATENATE(+Contacts!D363)</f>
        <v>Aannemer</v>
      </c>
      <c r="AG363" s="2" t="str">
        <f t="shared" si="160"/>
        <v>)</v>
      </c>
      <c r="AH363" t="str">
        <f>CONCATENATE(+Contacts!I363)</f>
        <v>info@ruigrokenvanderpad.nl</v>
      </c>
      <c r="AI363">
        <v>1500000010</v>
      </c>
      <c r="AJ363" s="5">
        <f t="shared" si="161"/>
        <v>1</v>
      </c>
    </row>
    <row r="364" spans="1:36" x14ac:dyDescent="0.35">
      <c r="A364" s="7" t="str">
        <f t="shared" si="136"/>
        <v>&lt;contact&gt;&lt;category&gt;0&lt;/category&gt;&lt;person&gt;&lt;realName&gt;Ruiter, Joke de  &lt;/realName&gt;&lt;/person&gt;</v>
      </c>
      <c r="B364" s="7" t="str">
        <f t="shared" si="137"/>
        <v>&lt;telephony nid="2"&gt;&lt;number id="0" prio="1" type="home"&gt;+31 104185035&lt;/number&gt;&lt;number id="1" prio="0" type="mobile"&gt;+31 6 29043772&lt;/number&gt;&lt;/telephony&gt;</v>
      </c>
      <c r="C364" s="7" t="str">
        <f t="shared" si="138"/>
        <v>&lt;services nid="1"&gt;&lt;email id="0" classifier="private"&gt;Joke.deRuiter@hotmail.com&lt;/email&gt;&lt;/services&gt;&lt;setup /&gt;&lt;mod_time&gt;1500000010&lt;/mod_time&gt;&lt;uniqueid&gt;1&lt;/uniqueid&gt;&lt;/contact&gt;</v>
      </c>
      <c r="D364" t="str">
        <f t="shared" si="139"/>
        <v>&lt;contact&gt;&lt;category&gt;0&lt;/category&gt;&lt;person&gt;&lt;realName&gt;Ruiter, Joke de  &lt;/realName&gt;&lt;/person&gt;</v>
      </c>
      <c r="E364" t="str">
        <f t="shared" si="140"/>
        <v>&lt;telephony nid="2"&gt;&lt;number id="0" prio="1" type="home"&gt;+31 104185035&lt;/number&gt;&lt;number id="1" prio="0" type="mobile"&gt;+31 6 29043772&lt;/number&gt;&lt;/telephony&gt;</v>
      </c>
      <c r="F364" t="str">
        <f t="shared" si="141"/>
        <v>&lt;telephony nid="2"&gt;</v>
      </c>
      <c r="G364" t="str">
        <f t="shared" si="142"/>
        <v/>
      </c>
      <c r="H364" t="str">
        <f t="shared" si="143"/>
        <v>&lt;services nid="1"&gt;&lt;email id="0" classifier="private"&gt;Joke.deRuiter@hotmail.com&lt;/email&gt;&lt;/services&gt;&lt;setup /&gt;&lt;mod_time&gt;1500000010&lt;/mod_time&gt;&lt;uniqueid&gt;1&lt;/uniqueid&gt;&lt;/contact&gt;</v>
      </c>
      <c r="I364" t="str">
        <f t="shared" si="144"/>
        <v>&lt;services /&gt;&lt;setup /&gt;&lt;mod_time&gt;1500000010&lt;/mod_time&gt;&lt;uniqueid&gt;1&lt;/uniqueid&gt;&lt;/contact&gt;</v>
      </c>
      <c r="J364" t="str">
        <f t="shared" si="145"/>
        <v>&lt;services nid="1"&gt;&lt;email id="0" classifier="private"&gt;Joke.deRuiter@hotmail.com&lt;/email&gt;&lt;/services&gt;&lt;setup /&gt;&lt;mod_time&gt;1500000010&lt;/mod_time&gt;&lt;uniqueid&gt;1&lt;/uniqueid&gt;&lt;/contact&gt;</v>
      </c>
      <c r="K364" s="5">
        <f t="shared" si="146"/>
        <v>0</v>
      </c>
      <c r="L364" s="5">
        <f t="shared" si="147"/>
        <v>0</v>
      </c>
      <c r="M364" s="5" t="str">
        <f>CONCATENATE(+Contacts!E364)</f>
        <v/>
      </c>
      <c r="N364" t="str">
        <f t="shared" si="148"/>
        <v>&lt;number id="0" prio="1" type="home"&gt;+31 104185035&lt;/number&gt;</v>
      </c>
      <c r="O364" s="5">
        <f t="shared" si="149"/>
        <v>1</v>
      </c>
      <c r="P364" s="5">
        <f t="shared" si="150"/>
        <v>1</v>
      </c>
      <c r="Q364" s="5" t="str">
        <f>CONCATENATE(+Contacts!G364)</f>
        <v>+31 104185035</v>
      </c>
      <c r="R364" t="str">
        <f t="shared" si="151"/>
        <v>&lt;number id="1" prio="0" type="mobile"&gt;+31 6 29043772&lt;/number&gt;</v>
      </c>
      <c r="S364" s="5">
        <f t="shared" si="152"/>
        <v>2</v>
      </c>
      <c r="T364" s="5">
        <f t="shared" si="153"/>
        <v>0</v>
      </c>
      <c r="U364" s="5" t="str">
        <f>CONCATENATE(+Contacts!H364)</f>
        <v>+31 6 29043772</v>
      </c>
      <c r="V364" t="str">
        <f t="shared" si="154"/>
        <v/>
      </c>
      <c r="W364" s="5">
        <f t="shared" si="155"/>
        <v>2</v>
      </c>
      <c r="X364" s="5">
        <f t="shared" si="156"/>
        <v>0</v>
      </c>
      <c r="Y364" s="5" t="str">
        <f>CONCATENATE(+Contacts!F364)</f>
        <v/>
      </c>
      <c r="Z364" s="2" t="str">
        <f t="shared" si="157"/>
        <v xml:space="preserve">Ruiter, Joke de  </v>
      </c>
      <c r="AA364" s="2" t="str">
        <f>CONCATENATE(+Contacts!C364)</f>
        <v>Ruiter</v>
      </c>
      <c r="AB364" s="2" t="str">
        <f t="shared" si="158"/>
        <v xml:space="preserve">, </v>
      </c>
      <c r="AC364" s="2" t="str">
        <f>CONCATENATE(+Contacts!A364)</f>
        <v>Joke</v>
      </c>
      <c r="AD364" s="3" t="str">
        <f>CONCATENATE(" ",+Contacts!B364)</f>
        <v xml:space="preserve"> de</v>
      </c>
      <c r="AE364" s="2" t="str">
        <f t="shared" si="159"/>
        <v xml:space="preserve"> </v>
      </c>
      <c r="AF364" s="3" t="str">
        <f>CONCATENATE(+Contacts!D364)</f>
        <v/>
      </c>
      <c r="AG364" s="2" t="str">
        <f t="shared" si="160"/>
        <v xml:space="preserve"> </v>
      </c>
      <c r="AH364" t="str">
        <f>CONCATENATE(+Contacts!I364)</f>
        <v>Joke.deRuiter@hotmail.com</v>
      </c>
      <c r="AI364">
        <v>1500000010</v>
      </c>
      <c r="AJ364" s="5">
        <f t="shared" si="161"/>
        <v>1</v>
      </c>
    </row>
    <row r="365" spans="1:36" x14ac:dyDescent="0.35">
      <c r="A365" s="7" t="str">
        <f t="shared" si="136"/>
        <v>&lt;contact&gt;&lt;category&gt;0&lt;/category&gt;&lt;person&gt;&lt;realName&gt;Sakko, Ellen   &lt;/realName&gt;&lt;/person&gt;</v>
      </c>
      <c r="B365" s="7" t="str">
        <f t="shared" si="137"/>
        <v>&lt;telephony nid="1"&gt;&lt;number id="0" prio="1" type="mobile"&gt;+31 646 873188&lt;/number&gt;&lt;/telephony&gt;</v>
      </c>
      <c r="C365" s="7" t="str">
        <f t="shared" si="138"/>
        <v>&lt;services nid="1"&gt;&lt;email id="0" classifier="private"&gt;ellen.sakko@hotmail.nl&lt;/email&gt;&lt;/services&gt;&lt;setup /&gt;&lt;mod_time&gt;1500000010&lt;/mod_time&gt;&lt;uniqueid&gt;1&lt;/uniqueid&gt;&lt;/contact&gt;</v>
      </c>
      <c r="D365" t="str">
        <f t="shared" si="139"/>
        <v>&lt;contact&gt;&lt;category&gt;0&lt;/category&gt;&lt;person&gt;&lt;realName&gt;Sakko, Ellen   &lt;/realName&gt;&lt;/person&gt;</v>
      </c>
      <c r="E365" t="str">
        <f t="shared" si="140"/>
        <v>&lt;telephony nid="1"&gt;&lt;number id="0" prio="1" type="mobile"&gt;+31 646 873188&lt;/number&gt;&lt;/telephony&gt;</v>
      </c>
      <c r="F365" t="str">
        <f t="shared" si="141"/>
        <v>&lt;telephony nid="1"&gt;</v>
      </c>
      <c r="G365" t="str">
        <f t="shared" si="142"/>
        <v/>
      </c>
      <c r="H365" t="str">
        <f t="shared" si="143"/>
        <v>&lt;services nid="1"&gt;&lt;email id="0" classifier="private"&gt;ellen.sakko@hotmail.nl&lt;/email&gt;&lt;/services&gt;&lt;setup /&gt;&lt;mod_time&gt;1500000010&lt;/mod_time&gt;&lt;uniqueid&gt;1&lt;/uniqueid&gt;&lt;/contact&gt;</v>
      </c>
      <c r="I365" t="str">
        <f t="shared" si="144"/>
        <v>&lt;services /&gt;&lt;setup /&gt;&lt;mod_time&gt;1500000010&lt;/mod_time&gt;&lt;uniqueid&gt;1&lt;/uniqueid&gt;&lt;/contact&gt;</v>
      </c>
      <c r="J365" t="str">
        <f t="shared" si="145"/>
        <v>&lt;services nid="1"&gt;&lt;email id="0" classifier="private"&gt;ellen.sakko@hotmail.nl&lt;/email&gt;&lt;/services&gt;&lt;setup /&gt;&lt;mod_time&gt;1500000010&lt;/mod_time&gt;&lt;uniqueid&gt;1&lt;/uniqueid&gt;&lt;/contact&gt;</v>
      </c>
      <c r="K365" s="5">
        <f t="shared" si="146"/>
        <v>0</v>
      </c>
      <c r="L365" s="5">
        <f t="shared" si="147"/>
        <v>0</v>
      </c>
      <c r="M365" s="5" t="str">
        <f>CONCATENATE(+Contacts!E365)</f>
        <v/>
      </c>
      <c r="N365" t="str">
        <f t="shared" si="148"/>
        <v/>
      </c>
      <c r="O365" s="5">
        <f t="shared" si="149"/>
        <v>0</v>
      </c>
      <c r="P365" s="5">
        <f t="shared" si="150"/>
        <v>0</v>
      </c>
      <c r="Q365" s="5" t="str">
        <f>CONCATENATE(+Contacts!G365)</f>
        <v/>
      </c>
      <c r="R365" t="str">
        <f t="shared" si="151"/>
        <v>&lt;number id="0" prio="1" type="mobile"&gt;+31 646 873188&lt;/number&gt;</v>
      </c>
      <c r="S365" s="5">
        <f t="shared" si="152"/>
        <v>1</v>
      </c>
      <c r="T365" s="5">
        <f t="shared" si="153"/>
        <v>1</v>
      </c>
      <c r="U365" s="5" t="str">
        <f>CONCATENATE(+Contacts!H365)</f>
        <v>+31 646 873188</v>
      </c>
      <c r="V365" t="str">
        <f t="shared" si="154"/>
        <v/>
      </c>
      <c r="W365" s="5">
        <f t="shared" si="155"/>
        <v>1</v>
      </c>
      <c r="X365" s="5">
        <f t="shared" si="156"/>
        <v>1</v>
      </c>
      <c r="Y365" s="5" t="str">
        <f>CONCATENATE(+Contacts!F365)</f>
        <v/>
      </c>
      <c r="Z365" s="2" t="str">
        <f t="shared" si="157"/>
        <v xml:space="preserve">Sakko, Ellen   </v>
      </c>
      <c r="AA365" s="2" t="str">
        <f>CONCATENATE(+Contacts!C365)</f>
        <v>Sakko</v>
      </c>
      <c r="AB365" s="2" t="str">
        <f t="shared" si="158"/>
        <v xml:space="preserve">, </v>
      </c>
      <c r="AC365" s="2" t="str">
        <f>CONCATENATE(+Contacts!A365)</f>
        <v>Ellen</v>
      </c>
      <c r="AD365" s="3" t="str">
        <f>CONCATENATE(" ",+Contacts!B365)</f>
        <v xml:space="preserve"> </v>
      </c>
      <c r="AE365" s="2" t="str">
        <f t="shared" si="159"/>
        <v xml:space="preserve"> </v>
      </c>
      <c r="AF365" s="3" t="str">
        <f>CONCATENATE(+Contacts!D365)</f>
        <v/>
      </c>
      <c r="AG365" s="2" t="str">
        <f t="shared" si="160"/>
        <v xml:space="preserve"> </v>
      </c>
      <c r="AH365" t="str">
        <f>CONCATENATE(+Contacts!I365)</f>
        <v>ellen.sakko@hotmail.nl</v>
      </c>
      <c r="AI365">
        <v>1500000010</v>
      </c>
      <c r="AJ365" s="5">
        <f t="shared" si="161"/>
        <v>1</v>
      </c>
    </row>
    <row r="366" spans="1:36" x14ac:dyDescent="0.35">
      <c r="A366" s="7" t="str">
        <f t="shared" si="136"/>
        <v/>
      </c>
      <c r="B366" s="7" t="str">
        <f t="shared" si="137"/>
        <v/>
      </c>
      <c r="C366" s="7" t="str">
        <f t="shared" si="138"/>
        <v/>
      </c>
      <c r="D366" t="str">
        <f t="shared" si="139"/>
        <v>&lt;contact&gt;&lt;category&gt;0&lt;/category&gt;&lt;person&gt;&lt;realName&gt;, San Miguel Shoes (Yvonne)   &lt;/realName&gt;&lt;/person&gt;</v>
      </c>
      <c r="E366" t="str">
        <f t="shared" si="140"/>
        <v>&lt;telephony nid="0"&gt;&lt;/telephony&gt;</v>
      </c>
      <c r="F366" t="str">
        <f t="shared" si="141"/>
        <v>&lt;telephony nid="0"&gt;</v>
      </c>
      <c r="G366" t="str">
        <f t="shared" si="142"/>
        <v/>
      </c>
      <c r="H366" t="str">
        <f t="shared" si="143"/>
        <v>&lt;services nid="1"&gt;&lt;email id="0" classifier="private"&gt;info@sanmiguelshoes.nl&lt;/email&gt;&lt;/services&gt;&lt;setup /&gt;&lt;mod_time&gt;1500000010&lt;/mod_time&gt;&lt;uniqueid&gt;0&lt;/uniqueid&gt;&lt;/contact&gt;</v>
      </c>
      <c r="I366" t="str">
        <f t="shared" si="144"/>
        <v>&lt;services /&gt;&lt;setup /&gt;&lt;mod_time&gt;1500000010&lt;/mod_time&gt;&lt;uniqueid&gt;0&lt;/uniqueid&gt;&lt;/contact&gt;</v>
      </c>
      <c r="J366" t="str">
        <f t="shared" si="145"/>
        <v>&lt;services nid="1"&gt;&lt;email id="0" classifier="private"&gt;info@sanmiguelshoes.nl&lt;/email&gt;&lt;/services&gt;&lt;setup /&gt;&lt;mod_time&gt;1500000010&lt;/mod_time&gt;&lt;uniqueid&gt;0&lt;/uniqueid&gt;&lt;/contact&gt;</v>
      </c>
      <c r="K366" s="5">
        <f t="shared" si="146"/>
        <v>0</v>
      </c>
      <c r="L366" s="5">
        <f t="shared" si="147"/>
        <v>0</v>
      </c>
      <c r="M366" s="5" t="str">
        <f>CONCATENATE(+Contacts!E366)</f>
        <v/>
      </c>
      <c r="N366" t="str">
        <f t="shared" si="148"/>
        <v/>
      </c>
      <c r="O366" s="5">
        <f t="shared" si="149"/>
        <v>0</v>
      </c>
      <c r="P366" s="5">
        <f t="shared" si="150"/>
        <v>0</v>
      </c>
      <c r="Q366" s="5" t="str">
        <f>CONCATENATE(+Contacts!G366)</f>
        <v/>
      </c>
      <c r="R366" t="str">
        <f t="shared" si="151"/>
        <v/>
      </c>
      <c r="S366" s="5">
        <f t="shared" si="152"/>
        <v>0</v>
      </c>
      <c r="T366" s="5">
        <f t="shared" si="153"/>
        <v>0</v>
      </c>
      <c r="U366" s="5" t="str">
        <f>CONCATENATE(+Contacts!H366)</f>
        <v/>
      </c>
      <c r="V366" t="str">
        <f t="shared" si="154"/>
        <v/>
      </c>
      <c r="W366" s="5">
        <f t="shared" si="155"/>
        <v>0</v>
      </c>
      <c r="X366" s="5">
        <f t="shared" si="156"/>
        <v>0</v>
      </c>
      <c r="Y366" s="5" t="str">
        <f>CONCATENATE(+Contacts!F366)</f>
        <v/>
      </c>
      <c r="Z366" s="2" t="str">
        <f t="shared" si="157"/>
        <v xml:space="preserve">, San Miguel Shoes (Yvonne)   </v>
      </c>
      <c r="AA366" s="2" t="str">
        <f>CONCATENATE(+Contacts!C366)</f>
        <v/>
      </c>
      <c r="AB366" s="2" t="str">
        <f t="shared" si="158"/>
        <v xml:space="preserve">, </v>
      </c>
      <c r="AC366" s="2" t="str">
        <f>CONCATENATE(+Contacts!A366)</f>
        <v>San Miguel Shoes (Yvonne)</v>
      </c>
      <c r="AD366" s="3" t="str">
        <f>CONCATENATE(" ",+Contacts!B366)</f>
        <v xml:space="preserve"> </v>
      </c>
      <c r="AE366" s="2" t="str">
        <f t="shared" si="159"/>
        <v xml:space="preserve"> </v>
      </c>
      <c r="AF366" s="3" t="str">
        <f>CONCATENATE(+Contacts!D366)</f>
        <v/>
      </c>
      <c r="AG366" s="2" t="str">
        <f t="shared" si="160"/>
        <v xml:space="preserve"> </v>
      </c>
      <c r="AH366" t="str">
        <f>CONCATENATE(+Contacts!I366)</f>
        <v>info@sanmiguelshoes.nl</v>
      </c>
      <c r="AI366">
        <v>1500000010</v>
      </c>
      <c r="AJ366" s="5">
        <f t="shared" si="161"/>
        <v>0</v>
      </c>
    </row>
    <row r="367" spans="1:36" x14ac:dyDescent="0.35">
      <c r="A367" s="7" t="str">
        <f t="shared" si="136"/>
        <v>&lt;contact&gt;&lt;category&gt;0&lt;/category&gt;&lt;person&gt;&lt;realName&gt;Sar, Peter van der  &lt;/realName&gt;&lt;/person&gt;</v>
      </c>
      <c r="B367" s="7" t="str">
        <f t="shared" si="137"/>
        <v>&lt;telephony nid="1"&gt;&lt;number id="0" prio="1" type="mobile"&gt;+31 622517234&lt;/number&gt;&lt;/telephony&gt;</v>
      </c>
      <c r="C367" s="7" t="str">
        <f t="shared" si="138"/>
        <v>&lt;services nid="1"&gt;&lt;email id="0" classifier="private"&gt;PSA@syntens.nl&lt;/email&gt;&lt;/services&gt;&lt;setup /&gt;&lt;mod_time&gt;1500000010&lt;/mod_time&gt;&lt;uniqueid&gt;1&lt;/uniqueid&gt;&lt;/contact&gt;</v>
      </c>
      <c r="D367" t="str">
        <f t="shared" si="139"/>
        <v>&lt;contact&gt;&lt;category&gt;0&lt;/category&gt;&lt;person&gt;&lt;realName&gt;Sar, Peter van der  &lt;/realName&gt;&lt;/person&gt;</v>
      </c>
      <c r="E367" t="str">
        <f t="shared" si="140"/>
        <v>&lt;telephony nid="1"&gt;&lt;number id="0" prio="1" type="mobile"&gt;+31 622517234&lt;/number&gt;&lt;/telephony&gt;</v>
      </c>
      <c r="F367" t="str">
        <f t="shared" si="141"/>
        <v>&lt;telephony nid="1"&gt;</v>
      </c>
      <c r="G367" t="str">
        <f t="shared" si="142"/>
        <v/>
      </c>
      <c r="H367" t="str">
        <f t="shared" si="143"/>
        <v>&lt;services nid="1"&gt;&lt;email id="0" classifier="private"&gt;PSA@syntens.nl&lt;/email&gt;&lt;/services&gt;&lt;setup /&gt;&lt;mod_time&gt;1500000010&lt;/mod_time&gt;&lt;uniqueid&gt;1&lt;/uniqueid&gt;&lt;/contact&gt;</v>
      </c>
      <c r="I367" t="str">
        <f t="shared" si="144"/>
        <v>&lt;services /&gt;&lt;setup /&gt;&lt;mod_time&gt;1500000010&lt;/mod_time&gt;&lt;uniqueid&gt;1&lt;/uniqueid&gt;&lt;/contact&gt;</v>
      </c>
      <c r="J367" t="str">
        <f t="shared" si="145"/>
        <v>&lt;services nid="1"&gt;&lt;email id="0" classifier="private"&gt;PSA@syntens.nl&lt;/email&gt;&lt;/services&gt;&lt;setup /&gt;&lt;mod_time&gt;1500000010&lt;/mod_time&gt;&lt;uniqueid&gt;1&lt;/uniqueid&gt;&lt;/contact&gt;</v>
      </c>
      <c r="K367" s="5">
        <f t="shared" si="146"/>
        <v>0</v>
      </c>
      <c r="L367" s="5">
        <f t="shared" si="147"/>
        <v>0</v>
      </c>
      <c r="M367" s="5" t="str">
        <f>CONCATENATE(+Contacts!E367)</f>
        <v/>
      </c>
      <c r="N367" t="str">
        <f t="shared" si="148"/>
        <v/>
      </c>
      <c r="O367" s="5">
        <f t="shared" si="149"/>
        <v>0</v>
      </c>
      <c r="P367" s="5">
        <f t="shared" si="150"/>
        <v>0</v>
      </c>
      <c r="Q367" s="5" t="str">
        <f>CONCATENATE(+Contacts!G367)</f>
        <v/>
      </c>
      <c r="R367" t="str">
        <f t="shared" si="151"/>
        <v>&lt;number id="0" prio="1" type="mobile"&gt;+31 622517234&lt;/number&gt;</v>
      </c>
      <c r="S367" s="5">
        <f t="shared" si="152"/>
        <v>1</v>
      </c>
      <c r="T367" s="5">
        <f t="shared" si="153"/>
        <v>1</v>
      </c>
      <c r="U367" s="5" t="str">
        <f>CONCATENATE(+Contacts!H367)</f>
        <v>+31 622517234</v>
      </c>
      <c r="V367" t="str">
        <f t="shared" si="154"/>
        <v/>
      </c>
      <c r="W367" s="5">
        <f t="shared" si="155"/>
        <v>1</v>
      </c>
      <c r="X367" s="5">
        <f t="shared" si="156"/>
        <v>1</v>
      </c>
      <c r="Y367" s="5" t="str">
        <f>CONCATENATE(+Contacts!F367)</f>
        <v/>
      </c>
      <c r="Z367" s="2" t="str">
        <f t="shared" si="157"/>
        <v xml:space="preserve">Sar, Peter van der  </v>
      </c>
      <c r="AA367" s="2" t="str">
        <f>CONCATENATE(+Contacts!C367)</f>
        <v>Sar</v>
      </c>
      <c r="AB367" s="2" t="str">
        <f t="shared" si="158"/>
        <v xml:space="preserve">, </v>
      </c>
      <c r="AC367" s="2" t="str">
        <f>CONCATENATE(+Contacts!A367)</f>
        <v>Peter</v>
      </c>
      <c r="AD367" s="3" t="str">
        <f>CONCATENATE(" ",+Contacts!B367)</f>
        <v xml:space="preserve"> van der</v>
      </c>
      <c r="AE367" s="2" t="str">
        <f t="shared" si="159"/>
        <v xml:space="preserve"> </v>
      </c>
      <c r="AF367" s="3" t="str">
        <f>CONCATENATE(+Contacts!D367)</f>
        <v/>
      </c>
      <c r="AG367" s="2" t="str">
        <f t="shared" si="160"/>
        <v xml:space="preserve"> </v>
      </c>
      <c r="AH367" t="str">
        <f>CONCATENATE(+Contacts!I367)</f>
        <v>PSA@syntens.nl</v>
      </c>
      <c r="AI367">
        <v>1500000010</v>
      </c>
      <c r="AJ367" s="5">
        <f t="shared" si="161"/>
        <v>1</v>
      </c>
    </row>
    <row r="368" spans="1:36" x14ac:dyDescent="0.35">
      <c r="A368" s="7" t="str">
        <f t="shared" si="136"/>
        <v>&lt;contact&gt;&lt;category&gt;0&lt;/category&gt;&lt;person&gt;&lt;realName&gt;Schackmann, Wil   &lt;/realName&gt;&lt;/person&gt;</v>
      </c>
      <c r="B368" s="7" t="str">
        <f t="shared" si="137"/>
        <v>&lt;telephony nid="1"&gt;&lt;number id="0" prio="1" type="home"&gt;+31 505423185&lt;/number&gt;&lt;/telephony&gt;</v>
      </c>
      <c r="C368" s="7" t="str">
        <f t="shared" si="138"/>
        <v>&lt;services nid="1"&gt;&lt;email id="0" classifier="private"&gt;wil@schackmann.nl&lt;/email&gt;&lt;/services&gt;&lt;setup /&gt;&lt;mod_time&gt;1500000010&lt;/mod_time&gt;&lt;uniqueid&gt;1&lt;/uniqueid&gt;&lt;/contact&gt;</v>
      </c>
      <c r="D368" t="str">
        <f t="shared" si="139"/>
        <v>&lt;contact&gt;&lt;category&gt;0&lt;/category&gt;&lt;person&gt;&lt;realName&gt;Schackmann, Wil   &lt;/realName&gt;&lt;/person&gt;</v>
      </c>
      <c r="E368" t="str">
        <f t="shared" si="140"/>
        <v>&lt;telephony nid="1"&gt;&lt;number id="0" prio="1" type="home"&gt;+31 505423185&lt;/number&gt;&lt;/telephony&gt;</v>
      </c>
      <c r="F368" t="str">
        <f t="shared" si="141"/>
        <v>&lt;telephony nid="1"&gt;</v>
      </c>
      <c r="G368" t="str">
        <f t="shared" si="142"/>
        <v/>
      </c>
      <c r="H368" t="str">
        <f t="shared" si="143"/>
        <v>&lt;services nid="1"&gt;&lt;email id="0" classifier="private"&gt;wil@schackmann.nl&lt;/email&gt;&lt;/services&gt;&lt;setup /&gt;&lt;mod_time&gt;1500000010&lt;/mod_time&gt;&lt;uniqueid&gt;1&lt;/uniqueid&gt;&lt;/contact&gt;</v>
      </c>
      <c r="I368" t="str">
        <f t="shared" si="144"/>
        <v>&lt;services /&gt;&lt;setup /&gt;&lt;mod_time&gt;1500000010&lt;/mod_time&gt;&lt;uniqueid&gt;1&lt;/uniqueid&gt;&lt;/contact&gt;</v>
      </c>
      <c r="J368" t="str">
        <f t="shared" si="145"/>
        <v>&lt;services nid="1"&gt;&lt;email id="0" classifier="private"&gt;wil@schackmann.nl&lt;/email&gt;&lt;/services&gt;&lt;setup /&gt;&lt;mod_time&gt;1500000010&lt;/mod_time&gt;&lt;uniqueid&gt;1&lt;/uniqueid&gt;&lt;/contact&gt;</v>
      </c>
      <c r="K368" s="5">
        <f t="shared" si="146"/>
        <v>0</v>
      </c>
      <c r="L368" s="5">
        <f t="shared" si="147"/>
        <v>0</v>
      </c>
      <c r="M368" s="5" t="str">
        <f>CONCATENATE(+Contacts!E368)</f>
        <v/>
      </c>
      <c r="N368" t="str">
        <f t="shared" si="148"/>
        <v>&lt;number id="0" prio="1" type="home"&gt;+31 505423185&lt;/number&gt;</v>
      </c>
      <c r="O368" s="5">
        <f t="shared" si="149"/>
        <v>1</v>
      </c>
      <c r="P368" s="5">
        <f t="shared" si="150"/>
        <v>1</v>
      </c>
      <c r="Q368" s="5" t="str">
        <f>CONCATENATE(+Contacts!G368)</f>
        <v>+31 505423185</v>
      </c>
      <c r="R368" t="str">
        <f t="shared" si="151"/>
        <v/>
      </c>
      <c r="S368" s="5">
        <f t="shared" si="152"/>
        <v>1</v>
      </c>
      <c r="T368" s="5">
        <f t="shared" si="153"/>
        <v>1</v>
      </c>
      <c r="U368" s="5" t="str">
        <f>CONCATENATE(+Contacts!H368)</f>
        <v/>
      </c>
      <c r="V368" t="str">
        <f t="shared" si="154"/>
        <v/>
      </c>
      <c r="W368" s="5">
        <f t="shared" si="155"/>
        <v>1</v>
      </c>
      <c r="X368" s="5">
        <f t="shared" si="156"/>
        <v>1</v>
      </c>
      <c r="Y368" s="5" t="str">
        <f>CONCATENATE(+Contacts!F368)</f>
        <v/>
      </c>
      <c r="Z368" s="2" t="str">
        <f t="shared" si="157"/>
        <v xml:space="preserve">Schackmann, Wil   </v>
      </c>
      <c r="AA368" s="2" t="str">
        <f>CONCATENATE(+Contacts!C368)</f>
        <v>Schackmann</v>
      </c>
      <c r="AB368" s="2" t="str">
        <f t="shared" si="158"/>
        <v xml:space="preserve">, </v>
      </c>
      <c r="AC368" s="2" t="str">
        <f>CONCATENATE(+Contacts!A368)</f>
        <v>Wil</v>
      </c>
      <c r="AD368" s="3" t="str">
        <f>CONCATENATE(" ",+Contacts!B368)</f>
        <v xml:space="preserve"> </v>
      </c>
      <c r="AE368" s="2" t="str">
        <f t="shared" si="159"/>
        <v xml:space="preserve"> </v>
      </c>
      <c r="AF368" s="3" t="str">
        <f>CONCATENATE(+Contacts!D368)</f>
        <v/>
      </c>
      <c r="AG368" s="2" t="str">
        <f t="shared" si="160"/>
        <v xml:space="preserve"> </v>
      </c>
      <c r="AH368" t="str">
        <f>CONCATENATE(+Contacts!I368)</f>
        <v>wil@schackmann.nl</v>
      </c>
      <c r="AI368">
        <v>1500000010</v>
      </c>
      <c r="AJ368" s="5">
        <f t="shared" si="161"/>
        <v>1</v>
      </c>
    </row>
    <row r="369" spans="1:36" x14ac:dyDescent="0.35">
      <c r="A369" s="7" t="str">
        <f t="shared" si="136"/>
        <v>&lt;contact&gt;&lt;category&gt;0&lt;/category&gt;&lt;person&gt;&lt;realName&gt;Scheffer, Will    &lt;/realName&gt;&lt;/person&gt;</v>
      </c>
      <c r="B369" s="7" t="str">
        <f t="shared" si="137"/>
        <v>&lt;telephony nid="1"&gt;&lt;number id="0" prio="1" type="mobile"&gt;(06) 22 83 65 67&lt;/number&gt;&lt;/telephony&gt;</v>
      </c>
      <c r="C369" s="7" t="str">
        <f t="shared" si="138"/>
        <v>&lt;services /&gt;&lt;setup /&gt;&lt;mod_time&gt;1500000010&lt;/mod_time&gt;&lt;uniqueid&gt;1&lt;/uniqueid&gt;&lt;/contact&gt;</v>
      </c>
      <c r="D369" t="str">
        <f t="shared" si="139"/>
        <v>&lt;contact&gt;&lt;category&gt;0&lt;/category&gt;&lt;person&gt;&lt;realName&gt;Scheffer, Will    &lt;/realName&gt;&lt;/person&gt;</v>
      </c>
      <c r="E369" t="str">
        <f t="shared" si="140"/>
        <v>&lt;telephony nid="1"&gt;&lt;number id="0" prio="1" type="mobile"&gt;(06) 22 83 65 67&lt;/number&gt;&lt;/telephony&gt;</v>
      </c>
      <c r="F369" t="str">
        <f t="shared" si="141"/>
        <v>&lt;telephony nid="1"&gt;</v>
      </c>
      <c r="G369" t="str">
        <f t="shared" si="142"/>
        <v/>
      </c>
      <c r="H369" t="str">
        <f t="shared" si="143"/>
        <v>&lt;services nid="1"&gt;&lt;email id="0" classifier="private"&gt;&lt;/email&gt;&lt;/services&gt;&lt;setup /&gt;&lt;mod_time&gt;1500000010&lt;/mod_time&gt;&lt;uniqueid&gt;1&lt;/uniqueid&gt;&lt;/contact&gt;</v>
      </c>
      <c r="I369" t="str">
        <f t="shared" si="144"/>
        <v>&lt;services /&gt;&lt;setup /&gt;&lt;mod_time&gt;1500000010&lt;/mod_time&gt;&lt;uniqueid&gt;1&lt;/uniqueid&gt;&lt;/contact&gt;</v>
      </c>
      <c r="J369" t="str">
        <f t="shared" si="145"/>
        <v>&lt;services /&gt;&lt;setup /&gt;&lt;mod_time&gt;1500000010&lt;/mod_time&gt;&lt;uniqueid&gt;1&lt;/uniqueid&gt;&lt;/contact&gt;</v>
      </c>
      <c r="K369" s="5">
        <f t="shared" si="146"/>
        <v>0</v>
      </c>
      <c r="L369" s="5">
        <f t="shared" si="147"/>
        <v>0</v>
      </c>
      <c r="M369" s="5" t="str">
        <f>CONCATENATE(+Contacts!E369)</f>
        <v/>
      </c>
      <c r="N369" t="str">
        <f t="shared" si="148"/>
        <v/>
      </c>
      <c r="O369" s="5">
        <f t="shared" si="149"/>
        <v>0</v>
      </c>
      <c r="P369" s="5">
        <f t="shared" si="150"/>
        <v>0</v>
      </c>
      <c r="Q369" s="5" t="str">
        <f>CONCATENATE(+Contacts!G369)</f>
        <v/>
      </c>
      <c r="R369" t="str">
        <f t="shared" si="151"/>
        <v>&lt;number id="0" prio="1" type="mobile"&gt;(06) 22 83 65 67&lt;/number&gt;</v>
      </c>
      <c r="S369" s="5">
        <f t="shared" si="152"/>
        <v>1</v>
      </c>
      <c r="T369" s="5">
        <f t="shared" si="153"/>
        <v>1</v>
      </c>
      <c r="U369" s="5" t="str">
        <f>CONCATENATE(+Contacts!H369)</f>
        <v>(06) 22 83 65 67</v>
      </c>
      <c r="V369" t="str">
        <f t="shared" si="154"/>
        <v/>
      </c>
      <c r="W369" s="5">
        <f t="shared" si="155"/>
        <v>1</v>
      </c>
      <c r="X369" s="5">
        <f t="shared" si="156"/>
        <v>1</v>
      </c>
      <c r="Y369" s="5" t="str">
        <f>CONCATENATE(+Contacts!F369)</f>
        <v/>
      </c>
      <c r="Z369" s="2" t="str">
        <f t="shared" si="157"/>
        <v xml:space="preserve">Scheffer, Will    </v>
      </c>
      <c r="AA369" s="2" t="str">
        <f>CONCATENATE(+Contacts!C369)</f>
        <v>Scheffer</v>
      </c>
      <c r="AB369" s="2" t="str">
        <f t="shared" si="158"/>
        <v xml:space="preserve">, </v>
      </c>
      <c r="AC369" s="2" t="str">
        <f>CONCATENATE(+Contacts!A369)</f>
        <v xml:space="preserve">Will </v>
      </c>
      <c r="AD369" s="3" t="str">
        <f>CONCATENATE(" ",+Contacts!B369)</f>
        <v xml:space="preserve"> </v>
      </c>
      <c r="AE369" s="2" t="str">
        <f t="shared" si="159"/>
        <v xml:space="preserve"> </v>
      </c>
      <c r="AF369" s="3" t="str">
        <f>CONCATENATE(+Contacts!D369)</f>
        <v/>
      </c>
      <c r="AG369" s="2" t="str">
        <f t="shared" si="160"/>
        <v xml:space="preserve"> </v>
      </c>
      <c r="AH369" t="str">
        <f>CONCATENATE(+Contacts!I369)</f>
        <v/>
      </c>
      <c r="AI369">
        <v>1500000010</v>
      </c>
      <c r="AJ369" s="5">
        <f t="shared" si="161"/>
        <v>1</v>
      </c>
    </row>
    <row r="370" spans="1:36" x14ac:dyDescent="0.35">
      <c r="A370" s="7" t="str">
        <f t="shared" si="136"/>
        <v>&lt;contact&gt;&lt;category&gt;0&lt;/category&gt;&lt;person&gt;&lt;realName&gt;Schellens, Clemens   &lt;/realName&gt;&lt;/person&gt;</v>
      </c>
      <c r="B370" s="7" t="str">
        <f t="shared" si="137"/>
        <v>&lt;telephony nid="1"&gt;&lt;number id="0" prio="1" type="home"&gt;+31 838918831&lt;/number&gt;&lt;/telephony&gt;</v>
      </c>
      <c r="C370" s="7" t="str">
        <f t="shared" si="138"/>
        <v>&lt;services nid="1"&gt;&lt;email id="0" classifier="private"&gt;clemens@schellens.biz&lt;/email&gt;&lt;/services&gt;&lt;setup /&gt;&lt;mod_time&gt;1500000010&lt;/mod_time&gt;&lt;uniqueid&gt;1&lt;/uniqueid&gt;&lt;/contact&gt;</v>
      </c>
      <c r="D370" t="str">
        <f t="shared" si="139"/>
        <v>&lt;contact&gt;&lt;category&gt;0&lt;/category&gt;&lt;person&gt;&lt;realName&gt;Schellens, Clemens   &lt;/realName&gt;&lt;/person&gt;</v>
      </c>
      <c r="E370" t="str">
        <f t="shared" si="140"/>
        <v>&lt;telephony nid="1"&gt;&lt;number id="0" prio="1" type="home"&gt;+31 838918831&lt;/number&gt;&lt;/telephony&gt;</v>
      </c>
      <c r="F370" t="str">
        <f t="shared" si="141"/>
        <v>&lt;telephony nid="1"&gt;</v>
      </c>
      <c r="G370" t="str">
        <f t="shared" si="142"/>
        <v/>
      </c>
      <c r="H370" t="str">
        <f t="shared" si="143"/>
        <v>&lt;services nid="1"&gt;&lt;email id="0" classifier="private"&gt;clemens@schellens.biz&lt;/email&gt;&lt;/services&gt;&lt;setup /&gt;&lt;mod_time&gt;1500000010&lt;/mod_time&gt;&lt;uniqueid&gt;1&lt;/uniqueid&gt;&lt;/contact&gt;</v>
      </c>
      <c r="I370" t="str">
        <f t="shared" si="144"/>
        <v>&lt;services /&gt;&lt;setup /&gt;&lt;mod_time&gt;1500000010&lt;/mod_time&gt;&lt;uniqueid&gt;1&lt;/uniqueid&gt;&lt;/contact&gt;</v>
      </c>
      <c r="J370" t="str">
        <f t="shared" si="145"/>
        <v>&lt;services nid="1"&gt;&lt;email id="0" classifier="private"&gt;clemens@schellens.biz&lt;/email&gt;&lt;/services&gt;&lt;setup /&gt;&lt;mod_time&gt;1500000010&lt;/mod_time&gt;&lt;uniqueid&gt;1&lt;/uniqueid&gt;&lt;/contact&gt;</v>
      </c>
      <c r="K370" s="5">
        <f t="shared" si="146"/>
        <v>0</v>
      </c>
      <c r="L370" s="5">
        <f t="shared" si="147"/>
        <v>0</v>
      </c>
      <c r="M370" s="5" t="str">
        <f>CONCATENATE(+Contacts!E370)</f>
        <v/>
      </c>
      <c r="N370" t="str">
        <f t="shared" si="148"/>
        <v>&lt;number id="0" prio="1" type="home"&gt;+31 838918831&lt;/number&gt;</v>
      </c>
      <c r="O370" s="5">
        <f t="shared" si="149"/>
        <v>1</v>
      </c>
      <c r="P370" s="5">
        <f t="shared" si="150"/>
        <v>1</v>
      </c>
      <c r="Q370" s="5" t="str">
        <f>CONCATENATE(+Contacts!G370)</f>
        <v>+31 838918831</v>
      </c>
      <c r="R370" t="str">
        <f t="shared" si="151"/>
        <v/>
      </c>
      <c r="S370" s="5">
        <f t="shared" si="152"/>
        <v>1</v>
      </c>
      <c r="T370" s="5">
        <f t="shared" si="153"/>
        <v>1</v>
      </c>
      <c r="U370" s="5" t="str">
        <f>CONCATENATE(+Contacts!H370)</f>
        <v/>
      </c>
      <c r="V370" t="str">
        <f t="shared" si="154"/>
        <v/>
      </c>
      <c r="W370" s="5">
        <f t="shared" si="155"/>
        <v>1</v>
      </c>
      <c r="X370" s="5">
        <f t="shared" si="156"/>
        <v>1</v>
      </c>
      <c r="Y370" s="5" t="str">
        <f>CONCATENATE(+Contacts!F370)</f>
        <v/>
      </c>
      <c r="Z370" s="2" t="str">
        <f t="shared" si="157"/>
        <v xml:space="preserve">Schellens, Clemens   </v>
      </c>
      <c r="AA370" s="2" t="str">
        <f>CONCATENATE(+Contacts!C370)</f>
        <v>Schellens</v>
      </c>
      <c r="AB370" s="2" t="str">
        <f t="shared" si="158"/>
        <v xml:space="preserve">, </v>
      </c>
      <c r="AC370" s="2" t="str">
        <f>CONCATENATE(+Contacts!A370)</f>
        <v>Clemens</v>
      </c>
      <c r="AD370" s="3" t="str">
        <f>CONCATENATE(" ",+Contacts!B370)</f>
        <v xml:space="preserve"> </v>
      </c>
      <c r="AE370" s="2" t="str">
        <f t="shared" si="159"/>
        <v xml:space="preserve"> </v>
      </c>
      <c r="AF370" s="3" t="str">
        <f>CONCATENATE(+Contacts!D370)</f>
        <v/>
      </c>
      <c r="AG370" s="2" t="str">
        <f t="shared" si="160"/>
        <v xml:space="preserve"> </v>
      </c>
      <c r="AH370" t="str">
        <f>CONCATENATE(+Contacts!I370)</f>
        <v>clemens@schellens.biz</v>
      </c>
      <c r="AI370">
        <v>1500000010</v>
      </c>
      <c r="AJ370" s="5">
        <f t="shared" si="161"/>
        <v>1</v>
      </c>
    </row>
    <row r="371" spans="1:36" x14ac:dyDescent="0.35">
      <c r="A371" s="7" t="str">
        <f t="shared" si="136"/>
        <v>&lt;contact&gt;&lt;category&gt;0&lt;/category&gt;&lt;person&gt;&lt;realName&gt;Schenk, Jannie   &lt;/realName&gt;&lt;/person&gt;</v>
      </c>
      <c r="B371" s="7" t="str">
        <f t="shared" si="137"/>
        <v>&lt;telephony nid="2"&gt;&lt;number id="0" prio="1" type="home"&gt;+31 104552434&lt;/number&gt;&lt;number id="1" prio="0" type="mobile"&gt;+31 6 41599369&lt;/number&gt;&lt;/telephony&gt;</v>
      </c>
      <c r="C371" s="7" t="str">
        <f t="shared" si="138"/>
        <v>&lt;services nid="1"&gt;&lt;email id="0" classifier="private"&gt;jannieschenk@hotmail.com&lt;/email&gt;&lt;/services&gt;&lt;setup /&gt;&lt;mod_time&gt;1500000010&lt;/mod_time&gt;&lt;uniqueid&gt;1&lt;/uniqueid&gt;&lt;/contact&gt;</v>
      </c>
      <c r="D371" t="str">
        <f t="shared" si="139"/>
        <v>&lt;contact&gt;&lt;category&gt;0&lt;/category&gt;&lt;person&gt;&lt;realName&gt;Schenk, Jannie   &lt;/realName&gt;&lt;/person&gt;</v>
      </c>
      <c r="E371" t="str">
        <f t="shared" si="140"/>
        <v>&lt;telephony nid="2"&gt;&lt;number id="0" prio="1" type="home"&gt;+31 104552434&lt;/number&gt;&lt;number id="1" prio="0" type="mobile"&gt;+31 6 41599369&lt;/number&gt;&lt;/telephony&gt;</v>
      </c>
      <c r="F371" t="str">
        <f t="shared" si="141"/>
        <v>&lt;telephony nid="2"&gt;</v>
      </c>
      <c r="G371" t="str">
        <f t="shared" si="142"/>
        <v/>
      </c>
      <c r="H371" t="str">
        <f t="shared" si="143"/>
        <v>&lt;services nid="1"&gt;&lt;email id="0" classifier="private"&gt;jannieschenk@hotmail.com&lt;/email&gt;&lt;/services&gt;&lt;setup /&gt;&lt;mod_time&gt;1500000010&lt;/mod_time&gt;&lt;uniqueid&gt;1&lt;/uniqueid&gt;&lt;/contact&gt;</v>
      </c>
      <c r="I371" t="str">
        <f t="shared" si="144"/>
        <v>&lt;services /&gt;&lt;setup /&gt;&lt;mod_time&gt;1500000010&lt;/mod_time&gt;&lt;uniqueid&gt;1&lt;/uniqueid&gt;&lt;/contact&gt;</v>
      </c>
      <c r="J371" t="str">
        <f t="shared" si="145"/>
        <v>&lt;services nid="1"&gt;&lt;email id="0" classifier="private"&gt;jannieschenk@hotmail.com&lt;/email&gt;&lt;/services&gt;&lt;setup /&gt;&lt;mod_time&gt;1500000010&lt;/mod_time&gt;&lt;uniqueid&gt;1&lt;/uniqueid&gt;&lt;/contact&gt;</v>
      </c>
      <c r="K371" s="5">
        <f t="shared" si="146"/>
        <v>0</v>
      </c>
      <c r="L371" s="5">
        <f t="shared" si="147"/>
        <v>0</v>
      </c>
      <c r="M371" s="5" t="str">
        <f>CONCATENATE(+Contacts!E371)</f>
        <v/>
      </c>
      <c r="N371" t="str">
        <f t="shared" si="148"/>
        <v>&lt;number id="0" prio="1" type="home"&gt;+31 104552434&lt;/number&gt;</v>
      </c>
      <c r="O371" s="5">
        <f t="shared" si="149"/>
        <v>1</v>
      </c>
      <c r="P371" s="5">
        <f t="shared" si="150"/>
        <v>1</v>
      </c>
      <c r="Q371" s="5" t="str">
        <f>CONCATENATE(+Contacts!G371)</f>
        <v>+31 104552434</v>
      </c>
      <c r="R371" t="str">
        <f t="shared" si="151"/>
        <v>&lt;number id="1" prio="0" type="mobile"&gt;+31 6 41599369&lt;/number&gt;</v>
      </c>
      <c r="S371" s="5">
        <f t="shared" si="152"/>
        <v>2</v>
      </c>
      <c r="T371" s="5">
        <f t="shared" si="153"/>
        <v>0</v>
      </c>
      <c r="U371" s="5" t="str">
        <f>CONCATENATE(+Contacts!H371)</f>
        <v>+31 6 41599369</v>
      </c>
      <c r="V371" t="str">
        <f t="shared" si="154"/>
        <v/>
      </c>
      <c r="W371" s="5">
        <f t="shared" si="155"/>
        <v>2</v>
      </c>
      <c r="X371" s="5">
        <f t="shared" si="156"/>
        <v>0</v>
      </c>
      <c r="Y371" s="5" t="str">
        <f>CONCATENATE(+Contacts!F371)</f>
        <v/>
      </c>
      <c r="Z371" s="2" t="str">
        <f t="shared" si="157"/>
        <v xml:space="preserve">Schenk, Jannie   </v>
      </c>
      <c r="AA371" s="2" t="str">
        <f>CONCATENATE(+Contacts!C371)</f>
        <v>Schenk</v>
      </c>
      <c r="AB371" s="2" t="str">
        <f t="shared" si="158"/>
        <v xml:space="preserve">, </v>
      </c>
      <c r="AC371" s="2" t="str">
        <f>CONCATENATE(+Contacts!A371)</f>
        <v>Jannie</v>
      </c>
      <c r="AD371" s="3" t="str">
        <f>CONCATENATE(" ",+Contacts!B371)</f>
        <v xml:space="preserve"> </v>
      </c>
      <c r="AE371" s="2" t="str">
        <f t="shared" si="159"/>
        <v xml:space="preserve"> </v>
      </c>
      <c r="AF371" s="3" t="str">
        <f>CONCATENATE(+Contacts!D371)</f>
        <v/>
      </c>
      <c r="AG371" s="2" t="str">
        <f t="shared" si="160"/>
        <v xml:space="preserve"> </v>
      </c>
      <c r="AH371" t="str">
        <f>CONCATENATE(+Contacts!I371)</f>
        <v>jannieschenk@hotmail.com</v>
      </c>
      <c r="AI371">
        <v>1500000010</v>
      </c>
      <c r="AJ371" s="5">
        <f t="shared" si="161"/>
        <v>1</v>
      </c>
    </row>
    <row r="372" spans="1:36" x14ac:dyDescent="0.35">
      <c r="A372" s="7" t="str">
        <f t="shared" si="136"/>
        <v>&lt;contact&gt;&lt;category&gt;0&lt;/category&gt;&lt;person&gt;&lt;realName&gt;Schenk, Peter   &lt;/realName&gt;&lt;/person&gt;</v>
      </c>
      <c r="B372" s="7" t="str">
        <f t="shared" si="137"/>
        <v>&lt;telephony nid="1"&gt;&lt;number id="0" prio="1" type="home"&gt;+31 104552434&lt;/number&gt;&lt;/telephony&gt;</v>
      </c>
      <c r="C372" s="7" t="str">
        <f t="shared" si="138"/>
        <v>&lt;services /&gt;&lt;setup /&gt;&lt;mod_time&gt;1500000010&lt;/mod_time&gt;&lt;uniqueid&gt;1&lt;/uniqueid&gt;&lt;/contact&gt;</v>
      </c>
      <c r="D372" t="str">
        <f t="shared" si="139"/>
        <v>&lt;contact&gt;&lt;category&gt;0&lt;/category&gt;&lt;person&gt;&lt;realName&gt;Schenk, Peter   &lt;/realName&gt;&lt;/person&gt;</v>
      </c>
      <c r="E372" t="str">
        <f t="shared" si="140"/>
        <v>&lt;telephony nid="1"&gt;&lt;number id="0" prio="1" type="home"&gt;+31 104552434&lt;/number&gt;&lt;/telephony&gt;</v>
      </c>
      <c r="F372" t="str">
        <f t="shared" si="141"/>
        <v>&lt;telephony nid="1"&gt;</v>
      </c>
      <c r="G372" t="str">
        <f t="shared" si="142"/>
        <v/>
      </c>
      <c r="H372" t="str">
        <f t="shared" si="143"/>
        <v>&lt;services nid="1"&gt;&lt;email id="0" classifier="private"&gt;&lt;/email&gt;&lt;/services&gt;&lt;setup /&gt;&lt;mod_time&gt;1500000010&lt;/mod_time&gt;&lt;uniqueid&gt;1&lt;/uniqueid&gt;&lt;/contact&gt;</v>
      </c>
      <c r="I372" t="str">
        <f t="shared" si="144"/>
        <v>&lt;services /&gt;&lt;setup /&gt;&lt;mod_time&gt;1500000010&lt;/mod_time&gt;&lt;uniqueid&gt;1&lt;/uniqueid&gt;&lt;/contact&gt;</v>
      </c>
      <c r="J372" t="str">
        <f t="shared" si="145"/>
        <v>&lt;services /&gt;&lt;setup /&gt;&lt;mod_time&gt;1500000010&lt;/mod_time&gt;&lt;uniqueid&gt;1&lt;/uniqueid&gt;&lt;/contact&gt;</v>
      </c>
      <c r="K372" s="5">
        <f t="shared" si="146"/>
        <v>0</v>
      </c>
      <c r="L372" s="5">
        <f t="shared" si="147"/>
        <v>0</v>
      </c>
      <c r="M372" s="5" t="str">
        <f>CONCATENATE(+Contacts!E372)</f>
        <v/>
      </c>
      <c r="N372" t="str">
        <f t="shared" si="148"/>
        <v>&lt;number id="0" prio="1" type="home"&gt;+31 104552434&lt;/number&gt;</v>
      </c>
      <c r="O372" s="5">
        <f t="shared" si="149"/>
        <v>1</v>
      </c>
      <c r="P372" s="5">
        <f t="shared" si="150"/>
        <v>1</v>
      </c>
      <c r="Q372" s="5" t="str">
        <f>CONCATENATE(+Contacts!G372)</f>
        <v>+31 104552434</v>
      </c>
      <c r="R372" t="str">
        <f t="shared" si="151"/>
        <v/>
      </c>
      <c r="S372" s="5">
        <f t="shared" si="152"/>
        <v>1</v>
      </c>
      <c r="T372" s="5">
        <f t="shared" si="153"/>
        <v>1</v>
      </c>
      <c r="U372" s="5" t="str">
        <f>CONCATENATE(+Contacts!H372)</f>
        <v/>
      </c>
      <c r="V372" t="str">
        <f t="shared" si="154"/>
        <v/>
      </c>
      <c r="W372" s="5">
        <f t="shared" si="155"/>
        <v>1</v>
      </c>
      <c r="X372" s="5">
        <f t="shared" si="156"/>
        <v>1</v>
      </c>
      <c r="Y372" s="5" t="str">
        <f>CONCATENATE(+Contacts!F372)</f>
        <v/>
      </c>
      <c r="Z372" s="2" t="str">
        <f t="shared" si="157"/>
        <v xml:space="preserve">Schenk, Peter   </v>
      </c>
      <c r="AA372" s="2" t="str">
        <f>CONCATENATE(+Contacts!C372)</f>
        <v>Schenk</v>
      </c>
      <c r="AB372" s="2" t="str">
        <f t="shared" si="158"/>
        <v xml:space="preserve">, </v>
      </c>
      <c r="AC372" s="2" t="str">
        <f>CONCATENATE(+Contacts!A372)</f>
        <v>Peter</v>
      </c>
      <c r="AD372" s="3" t="str">
        <f>CONCATENATE(" ",+Contacts!B372)</f>
        <v xml:space="preserve"> </v>
      </c>
      <c r="AE372" s="2" t="str">
        <f t="shared" si="159"/>
        <v xml:space="preserve"> </v>
      </c>
      <c r="AF372" s="3" t="str">
        <f>CONCATENATE(+Contacts!D372)</f>
        <v/>
      </c>
      <c r="AG372" s="2" t="str">
        <f t="shared" si="160"/>
        <v xml:space="preserve"> </v>
      </c>
      <c r="AH372" t="str">
        <f>CONCATENATE(+Contacts!I372)</f>
        <v/>
      </c>
      <c r="AI372">
        <v>1500000010</v>
      </c>
      <c r="AJ372" s="5">
        <f t="shared" si="161"/>
        <v>1</v>
      </c>
    </row>
    <row r="373" spans="1:36" x14ac:dyDescent="0.35">
      <c r="A373" s="7" t="str">
        <f t="shared" si="136"/>
        <v>&lt;contact&gt;&lt;category&gt;0&lt;/category&gt;&lt;person&gt;&lt;realName&gt;Schenk, Ramses   &lt;/realName&gt;&lt;/person&gt;</v>
      </c>
      <c r="B373" s="7" t="str">
        <f t="shared" si="137"/>
        <v>&lt;telephony nid="1"&gt;&lt;number id="0" prio="1" type="mobile"&gt;+31 640 89 47 15&lt;/number&gt;&lt;/telephony&gt;</v>
      </c>
      <c r="C373" s="7" t="str">
        <f t="shared" si="138"/>
        <v>&lt;services /&gt;&lt;setup /&gt;&lt;mod_time&gt;1500000010&lt;/mod_time&gt;&lt;uniqueid&gt;1&lt;/uniqueid&gt;&lt;/contact&gt;</v>
      </c>
      <c r="D373" t="str">
        <f t="shared" si="139"/>
        <v>&lt;contact&gt;&lt;category&gt;0&lt;/category&gt;&lt;person&gt;&lt;realName&gt;Schenk, Ramses   &lt;/realName&gt;&lt;/person&gt;</v>
      </c>
      <c r="E373" t="str">
        <f t="shared" si="140"/>
        <v>&lt;telephony nid="1"&gt;&lt;number id="0" prio="1" type="mobile"&gt;+31 640 89 47 15&lt;/number&gt;&lt;/telephony&gt;</v>
      </c>
      <c r="F373" t="str">
        <f t="shared" si="141"/>
        <v>&lt;telephony nid="1"&gt;</v>
      </c>
      <c r="G373" t="str">
        <f t="shared" si="142"/>
        <v/>
      </c>
      <c r="H373" t="str">
        <f t="shared" si="143"/>
        <v>&lt;services nid="1"&gt;&lt;email id="0" classifier="private"&gt;&lt;/email&gt;&lt;/services&gt;&lt;setup /&gt;&lt;mod_time&gt;1500000010&lt;/mod_time&gt;&lt;uniqueid&gt;1&lt;/uniqueid&gt;&lt;/contact&gt;</v>
      </c>
      <c r="I373" t="str">
        <f t="shared" si="144"/>
        <v>&lt;services /&gt;&lt;setup /&gt;&lt;mod_time&gt;1500000010&lt;/mod_time&gt;&lt;uniqueid&gt;1&lt;/uniqueid&gt;&lt;/contact&gt;</v>
      </c>
      <c r="J373" t="str">
        <f t="shared" si="145"/>
        <v>&lt;services /&gt;&lt;setup /&gt;&lt;mod_time&gt;1500000010&lt;/mod_time&gt;&lt;uniqueid&gt;1&lt;/uniqueid&gt;&lt;/contact&gt;</v>
      </c>
      <c r="K373" s="5">
        <f t="shared" si="146"/>
        <v>0</v>
      </c>
      <c r="L373" s="5">
        <f t="shared" si="147"/>
        <v>0</v>
      </c>
      <c r="M373" s="5" t="str">
        <f>CONCATENATE(+Contacts!E373)</f>
        <v/>
      </c>
      <c r="N373" t="str">
        <f t="shared" si="148"/>
        <v/>
      </c>
      <c r="O373" s="5">
        <f t="shared" si="149"/>
        <v>0</v>
      </c>
      <c r="P373" s="5">
        <f t="shared" si="150"/>
        <v>0</v>
      </c>
      <c r="Q373" s="5" t="str">
        <f>CONCATENATE(+Contacts!G373)</f>
        <v/>
      </c>
      <c r="R373" t="str">
        <f t="shared" si="151"/>
        <v>&lt;number id="0" prio="1" type="mobile"&gt;+31 640 89 47 15&lt;/number&gt;</v>
      </c>
      <c r="S373" s="5">
        <f t="shared" si="152"/>
        <v>1</v>
      </c>
      <c r="T373" s="5">
        <f t="shared" si="153"/>
        <v>1</v>
      </c>
      <c r="U373" s="5" t="str">
        <f>CONCATENATE(+Contacts!H373)</f>
        <v>+31 640 89 47 15</v>
      </c>
      <c r="V373" t="str">
        <f t="shared" si="154"/>
        <v/>
      </c>
      <c r="W373" s="5">
        <f t="shared" si="155"/>
        <v>1</v>
      </c>
      <c r="X373" s="5">
        <f t="shared" si="156"/>
        <v>1</v>
      </c>
      <c r="Y373" s="5" t="str">
        <f>CONCATENATE(+Contacts!F373)</f>
        <v/>
      </c>
      <c r="Z373" s="2" t="str">
        <f t="shared" si="157"/>
        <v xml:space="preserve">Schenk, Ramses   </v>
      </c>
      <c r="AA373" s="2" t="str">
        <f>CONCATENATE(+Contacts!C373)</f>
        <v>Schenk</v>
      </c>
      <c r="AB373" s="2" t="str">
        <f t="shared" si="158"/>
        <v xml:space="preserve">, </v>
      </c>
      <c r="AC373" s="2" t="str">
        <f>CONCATENATE(+Contacts!A373)</f>
        <v>Ramses</v>
      </c>
      <c r="AD373" s="3" t="str">
        <f>CONCATENATE(" ",+Contacts!B373)</f>
        <v xml:space="preserve"> </v>
      </c>
      <c r="AE373" s="2" t="str">
        <f t="shared" si="159"/>
        <v xml:space="preserve"> </v>
      </c>
      <c r="AF373" s="3" t="str">
        <f>CONCATENATE(+Contacts!D373)</f>
        <v/>
      </c>
      <c r="AG373" s="2" t="str">
        <f t="shared" si="160"/>
        <v xml:space="preserve"> </v>
      </c>
      <c r="AH373" t="str">
        <f>CONCATENATE(+Contacts!I373)</f>
        <v/>
      </c>
      <c r="AI373">
        <v>1500000010</v>
      </c>
      <c r="AJ373" s="5">
        <f t="shared" si="161"/>
        <v>1</v>
      </c>
    </row>
    <row r="374" spans="1:36" x14ac:dyDescent="0.35">
      <c r="A374" s="7" t="str">
        <f t="shared" si="136"/>
        <v>&lt;contact&gt;&lt;category&gt;0&lt;/category&gt;&lt;person&gt;&lt;realName&gt;Schenk, Tejo   &lt;/realName&gt;&lt;/person&gt;</v>
      </c>
      <c r="B374" s="7" t="str">
        <f t="shared" si="137"/>
        <v>&lt;telephony nid="1"&gt;&lt;number id="0" prio="1" type="home"&gt;310031655150831&lt;/number&gt;&lt;/telephony&gt;</v>
      </c>
      <c r="C374" s="7" t="str">
        <f t="shared" si="138"/>
        <v>&lt;services /&gt;&lt;setup /&gt;&lt;mod_time&gt;1500000010&lt;/mod_time&gt;&lt;uniqueid&gt;1&lt;/uniqueid&gt;&lt;/contact&gt;</v>
      </c>
      <c r="D374" t="str">
        <f t="shared" si="139"/>
        <v>&lt;contact&gt;&lt;category&gt;0&lt;/category&gt;&lt;person&gt;&lt;realName&gt;Schenk, Tejo   &lt;/realName&gt;&lt;/person&gt;</v>
      </c>
      <c r="E374" t="str">
        <f t="shared" si="140"/>
        <v>&lt;telephony nid="1"&gt;&lt;number id="0" prio="1" type="home"&gt;310031655150831&lt;/number&gt;&lt;/telephony&gt;</v>
      </c>
      <c r="F374" t="str">
        <f t="shared" si="141"/>
        <v>&lt;telephony nid="1"&gt;</v>
      </c>
      <c r="G374" t="str">
        <f t="shared" si="142"/>
        <v/>
      </c>
      <c r="H374" t="str">
        <f t="shared" si="143"/>
        <v>&lt;services nid="1"&gt;&lt;email id="0" classifier="private"&gt;&lt;/email&gt;&lt;/services&gt;&lt;setup /&gt;&lt;mod_time&gt;1500000010&lt;/mod_time&gt;&lt;uniqueid&gt;1&lt;/uniqueid&gt;&lt;/contact&gt;</v>
      </c>
      <c r="I374" t="str">
        <f t="shared" si="144"/>
        <v>&lt;services /&gt;&lt;setup /&gt;&lt;mod_time&gt;1500000010&lt;/mod_time&gt;&lt;uniqueid&gt;1&lt;/uniqueid&gt;&lt;/contact&gt;</v>
      </c>
      <c r="J374" t="str">
        <f t="shared" si="145"/>
        <v>&lt;services /&gt;&lt;setup /&gt;&lt;mod_time&gt;1500000010&lt;/mod_time&gt;&lt;uniqueid&gt;1&lt;/uniqueid&gt;&lt;/contact&gt;</v>
      </c>
      <c r="K374" s="5">
        <f t="shared" si="146"/>
        <v>0</v>
      </c>
      <c r="L374" s="5">
        <f t="shared" si="147"/>
        <v>0</v>
      </c>
      <c r="M374" s="5" t="str">
        <f>CONCATENATE(+Contacts!E374)</f>
        <v/>
      </c>
      <c r="N374" t="str">
        <f t="shared" si="148"/>
        <v>&lt;number id="0" prio="1" type="home"&gt;310031655150831&lt;/number&gt;</v>
      </c>
      <c r="O374" s="5">
        <f t="shared" si="149"/>
        <v>1</v>
      </c>
      <c r="P374" s="5">
        <f t="shared" si="150"/>
        <v>1</v>
      </c>
      <c r="Q374" s="5" t="str">
        <f>CONCATENATE(+Contacts!G374)</f>
        <v>310031655150831</v>
      </c>
      <c r="R374" t="str">
        <f t="shared" si="151"/>
        <v/>
      </c>
      <c r="S374" s="5">
        <f t="shared" si="152"/>
        <v>1</v>
      </c>
      <c r="T374" s="5">
        <f t="shared" si="153"/>
        <v>1</v>
      </c>
      <c r="U374" s="5" t="str">
        <f>CONCATENATE(+Contacts!H374)</f>
        <v/>
      </c>
      <c r="V374" t="str">
        <f t="shared" si="154"/>
        <v/>
      </c>
      <c r="W374" s="5">
        <f t="shared" si="155"/>
        <v>1</v>
      </c>
      <c r="X374" s="5">
        <f t="shared" si="156"/>
        <v>1</v>
      </c>
      <c r="Y374" s="5" t="str">
        <f>CONCATENATE(+Contacts!F374)</f>
        <v/>
      </c>
      <c r="Z374" s="2" t="str">
        <f t="shared" si="157"/>
        <v xml:space="preserve">Schenk, Tejo   </v>
      </c>
      <c r="AA374" s="2" t="str">
        <f>CONCATENATE(+Contacts!C374)</f>
        <v>Schenk</v>
      </c>
      <c r="AB374" s="2" t="str">
        <f t="shared" si="158"/>
        <v xml:space="preserve">, </v>
      </c>
      <c r="AC374" s="2" t="str">
        <f>CONCATENATE(+Contacts!A374)</f>
        <v>Tejo</v>
      </c>
      <c r="AD374" s="3" t="str">
        <f>CONCATENATE(" ",+Contacts!B374)</f>
        <v xml:space="preserve"> </v>
      </c>
      <c r="AE374" s="2" t="str">
        <f t="shared" si="159"/>
        <v xml:space="preserve"> </v>
      </c>
      <c r="AF374" s="3" t="str">
        <f>CONCATENATE(+Contacts!D374)</f>
        <v/>
      </c>
      <c r="AG374" s="2" t="str">
        <f t="shared" si="160"/>
        <v xml:space="preserve"> </v>
      </c>
      <c r="AH374" t="str">
        <f>CONCATENATE(+Contacts!I374)</f>
        <v/>
      </c>
      <c r="AI374">
        <v>1500000010</v>
      </c>
      <c r="AJ374" s="5">
        <f t="shared" si="161"/>
        <v>1</v>
      </c>
    </row>
    <row r="375" spans="1:36" x14ac:dyDescent="0.35">
      <c r="A375" s="7" t="str">
        <f t="shared" si="136"/>
        <v>&lt;contact&gt;&lt;category&gt;0&lt;/category&gt;&lt;person&gt;&lt;realName&gt;Schie, Ruud van  &lt;/realName&gt;&lt;/person&gt;</v>
      </c>
      <c r="B375" s="7" t="str">
        <f t="shared" si="137"/>
        <v>&lt;telephony nid="1"&gt;&lt;number id="0" prio="1" type="mobile"&gt;+31 614644173&lt;/number&gt;&lt;/telephony&gt;</v>
      </c>
      <c r="C375" s="7" t="str">
        <f t="shared" si="138"/>
        <v>&lt;services /&gt;&lt;setup /&gt;&lt;mod_time&gt;1500000010&lt;/mod_time&gt;&lt;uniqueid&gt;1&lt;/uniqueid&gt;&lt;/contact&gt;</v>
      </c>
      <c r="D375" t="str">
        <f t="shared" si="139"/>
        <v>&lt;contact&gt;&lt;category&gt;0&lt;/category&gt;&lt;person&gt;&lt;realName&gt;Schie, Ruud van  &lt;/realName&gt;&lt;/person&gt;</v>
      </c>
      <c r="E375" t="str">
        <f t="shared" si="140"/>
        <v>&lt;telephony nid="1"&gt;&lt;number id="0" prio="1" type="mobile"&gt;+31 614644173&lt;/number&gt;&lt;/telephony&gt;</v>
      </c>
      <c r="F375" t="str">
        <f t="shared" si="141"/>
        <v>&lt;telephony nid="1"&gt;</v>
      </c>
      <c r="G375" t="str">
        <f t="shared" si="142"/>
        <v/>
      </c>
      <c r="H375" t="str">
        <f t="shared" si="143"/>
        <v>&lt;services nid="1"&gt;&lt;email id="0" classifier="private"&gt;&lt;/email&gt;&lt;/services&gt;&lt;setup /&gt;&lt;mod_time&gt;1500000010&lt;/mod_time&gt;&lt;uniqueid&gt;1&lt;/uniqueid&gt;&lt;/contact&gt;</v>
      </c>
      <c r="I375" t="str">
        <f t="shared" si="144"/>
        <v>&lt;services /&gt;&lt;setup /&gt;&lt;mod_time&gt;1500000010&lt;/mod_time&gt;&lt;uniqueid&gt;1&lt;/uniqueid&gt;&lt;/contact&gt;</v>
      </c>
      <c r="J375" t="str">
        <f t="shared" si="145"/>
        <v>&lt;services /&gt;&lt;setup /&gt;&lt;mod_time&gt;1500000010&lt;/mod_time&gt;&lt;uniqueid&gt;1&lt;/uniqueid&gt;&lt;/contact&gt;</v>
      </c>
      <c r="K375" s="5">
        <f t="shared" si="146"/>
        <v>0</v>
      </c>
      <c r="L375" s="5">
        <f t="shared" si="147"/>
        <v>0</v>
      </c>
      <c r="M375" s="5" t="str">
        <f>CONCATENATE(+Contacts!E375)</f>
        <v/>
      </c>
      <c r="N375" t="str">
        <f t="shared" si="148"/>
        <v/>
      </c>
      <c r="O375" s="5">
        <f t="shared" si="149"/>
        <v>0</v>
      </c>
      <c r="P375" s="5">
        <f t="shared" si="150"/>
        <v>0</v>
      </c>
      <c r="Q375" s="5" t="str">
        <f>CONCATENATE(+Contacts!G375)</f>
        <v/>
      </c>
      <c r="R375" t="str">
        <f t="shared" si="151"/>
        <v>&lt;number id="0" prio="1" type="mobile"&gt;+31 614644173&lt;/number&gt;</v>
      </c>
      <c r="S375" s="5">
        <f t="shared" si="152"/>
        <v>1</v>
      </c>
      <c r="T375" s="5">
        <f t="shared" si="153"/>
        <v>1</v>
      </c>
      <c r="U375" s="5" t="str">
        <f>CONCATENATE(+Contacts!H375)</f>
        <v>+31 614644173</v>
      </c>
      <c r="V375" t="str">
        <f t="shared" si="154"/>
        <v/>
      </c>
      <c r="W375" s="5">
        <f t="shared" si="155"/>
        <v>1</v>
      </c>
      <c r="X375" s="5">
        <f t="shared" si="156"/>
        <v>1</v>
      </c>
      <c r="Y375" s="5" t="str">
        <f>CONCATENATE(+Contacts!F375)</f>
        <v/>
      </c>
      <c r="Z375" s="2" t="str">
        <f t="shared" si="157"/>
        <v xml:space="preserve">Schie, Ruud van  </v>
      </c>
      <c r="AA375" s="2" t="str">
        <f>CONCATENATE(+Contacts!C375)</f>
        <v>Schie</v>
      </c>
      <c r="AB375" s="2" t="str">
        <f t="shared" si="158"/>
        <v xml:space="preserve">, </v>
      </c>
      <c r="AC375" s="2" t="str">
        <f>CONCATENATE(+Contacts!A375)</f>
        <v>Ruud</v>
      </c>
      <c r="AD375" s="3" t="str">
        <f>CONCATENATE(" ",+Contacts!B375)</f>
        <v xml:space="preserve"> van</v>
      </c>
      <c r="AE375" s="2" t="str">
        <f t="shared" si="159"/>
        <v xml:space="preserve"> </v>
      </c>
      <c r="AF375" s="3" t="str">
        <f>CONCATENATE(+Contacts!D375)</f>
        <v/>
      </c>
      <c r="AG375" s="2" t="str">
        <f t="shared" si="160"/>
        <v xml:space="preserve"> </v>
      </c>
      <c r="AH375" t="str">
        <f>CONCATENATE(+Contacts!I375)</f>
        <v/>
      </c>
      <c r="AI375">
        <v>1500000010</v>
      </c>
      <c r="AJ375" s="5">
        <f t="shared" si="161"/>
        <v>1</v>
      </c>
    </row>
    <row r="376" spans="1:36" x14ac:dyDescent="0.35">
      <c r="A376" s="7" t="str">
        <f t="shared" si="136"/>
        <v>&lt;contact&gt;&lt;category&gt;0&lt;/category&gt;&lt;person&gt;&lt;realName&gt;Schiller, Emil en Nel   &lt;/realName&gt;&lt;/person&gt;</v>
      </c>
      <c r="B376" s="7" t="str">
        <f t="shared" si="137"/>
        <v>&lt;telephony nid="1"&gt;&lt;number id="0" prio="1" type="home"&gt;(0182) 23 13 13&lt;/number&gt;&lt;/telephony&gt;</v>
      </c>
      <c r="C376" s="7" t="str">
        <f t="shared" si="138"/>
        <v>&lt;services /&gt;&lt;setup /&gt;&lt;mod_time&gt;1500000010&lt;/mod_time&gt;&lt;uniqueid&gt;1&lt;/uniqueid&gt;&lt;/contact&gt;</v>
      </c>
      <c r="D376" t="str">
        <f t="shared" si="139"/>
        <v>&lt;contact&gt;&lt;category&gt;0&lt;/category&gt;&lt;person&gt;&lt;realName&gt;Schiller, Emil en Nel   &lt;/realName&gt;&lt;/person&gt;</v>
      </c>
      <c r="E376" t="str">
        <f t="shared" si="140"/>
        <v>&lt;telephony nid="1"&gt;&lt;number id="0" prio="1" type="home"&gt;(0182) 23 13 13&lt;/number&gt;&lt;/telephony&gt;</v>
      </c>
      <c r="F376" t="str">
        <f t="shared" si="141"/>
        <v>&lt;telephony nid="1"&gt;</v>
      </c>
      <c r="G376" t="str">
        <f t="shared" si="142"/>
        <v/>
      </c>
      <c r="H376" t="str">
        <f t="shared" si="143"/>
        <v>&lt;services nid="1"&gt;&lt;email id="0" classifier="private"&gt;&lt;/email&gt;&lt;/services&gt;&lt;setup /&gt;&lt;mod_time&gt;1500000010&lt;/mod_time&gt;&lt;uniqueid&gt;1&lt;/uniqueid&gt;&lt;/contact&gt;</v>
      </c>
      <c r="I376" t="str">
        <f t="shared" si="144"/>
        <v>&lt;services /&gt;&lt;setup /&gt;&lt;mod_time&gt;1500000010&lt;/mod_time&gt;&lt;uniqueid&gt;1&lt;/uniqueid&gt;&lt;/contact&gt;</v>
      </c>
      <c r="J376" t="str">
        <f t="shared" si="145"/>
        <v>&lt;services /&gt;&lt;setup /&gt;&lt;mod_time&gt;1500000010&lt;/mod_time&gt;&lt;uniqueid&gt;1&lt;/uniqueid&gt;&lt;/contact&gt;</v>
      </c>
      <c r="K376" s="5">
        <f t="shared" si="146"/>
        <v>0</v>
      </c>
      <c r="L376" s="5">
        <f t="shared" si="147"/>
        <v>0</v>
      </c>
      <c r="M376" s="5" t="str">
        <f>CONCATENATE(+Contacts!E376)</f>
        <v/>
      </c>
      <c r="N376" t="str">
        <f t="shared" si="148"/>
        <v>&lt;number id="0" prio="1" type="home"&gt;(0182) 23 13 13&lt;/number&gt;</v>
      </c>
      <c r="O376" s="5">
        <f t="shared" si="149"/>
        <v>1</v>
      </c>
      <c r="P376" s="5">
        <f t="shared" si="150"/>
        <v>1</v>
      </c>
      <c r="Q376" s="5" t="str">
        <f>CONCATENATE(+Contacts!G376)</f>
        <v>(0182) 23 13 13</v>
      </c>
      <c r="R376" t="str">
        <f t="shared" si="151"/>
        <v/>
      </c>
      <c r="S376" s="5">
        <f t="shared" si="152"/>
        <v>1</v>
      </c>
      <c r="T376" s="5">
        <f t="shared" si="153"/>
        <v>1</v>
      </c>
      <c r="U376" s="5" t="str">
        <f>CONCATENATE(+Contacts!H376)</f>
        <v/>
      </c>
      <c r="V376" t="str">
        <f t="shared" si="154"/>
        <v/>
      </c>
      <c r="W376" s="5">
        <f t="shared" si="155"/>
        <v>1</v>
      </c>
      <c r="X376" s="5">
        <f t="shared" si="156"/>
        <v>1</v>
      </c>
      <c r="Y376" s="5" t="str">
        <f>CONCATENATE(+Contacts!F376)</f>
        <v/>
      </c>
      <c r="Z376" s="2" t="str">
        <f t="shared" si="157"/>
        <v xml:space="preserve">Schiller, Emil en Nel   </v>
      </c>
      <c r="AA376" s="2" t="str">
        <f>CONCATENATE(+Contacts!C376)</f>
        <v>Schiller</v>
      </c>
      <c r="AB376" s="2" t="str">
        <f t="shared" si="158"/>
        <v xml:space="preserve">, </v>
      </c>
      <c r="AC376" s="2" t="str">
        <f>CONCATENATE(+Contacts!A376)</f>
        <v>Emil en Nel</v>
      </c>
      <c r="AD376" s="3" t="str">
        <f>CONCATENATE(" ",+Contacts!B376)</f>
        <v xml:space="preserve"> </v>
      </c>
      <c r="AE376" s="2" t="str">
        <f t="shared" si="159"/>
        <v xml:space="preserve"> </v>
      </c>
      <c r="AF376" s="3" t="str">
        <f>CONCATENATE(+Contacts!D376)</f>
        <v/>
      </c>
      <c r="AG376" s="2" t="str">
        <f t="shared" si="160"/>
        <v xml:space="preserve"> </v>
      </c>
      <c r="AH376" t="str">
        <f>CONCATENATE(+Contacts!I376)</f>
        <v/>
      </c>
      <c r="AI376">
        <v>1500000010</v>
      </c>
      <c r="AJ376" s="5">
        <f t="shared" si="161"/>
        <v>1</v>
      </c>
    </row>
    <row r="377" spans="1:36" x14ac:dyDescent="0.35">
      <c r="A377" s="7" t="str">
        <f t="shared" si="136"/>
        <v>&lt;contact&gt;&lt;category&gt;0&lt;/category&gt;&lt;person&gt;&lt;realName&gt;Schiller, Marja   &lt;/realName&gt;&lt;/person&gt;</v>
      </c>
      <c r="B377" s="7" t="str">
        <f t="shared" si="137"/>
        <v>&lt;telephony nid="1"&gt;&lt;number id="0" prio="1" type="home"&gt;00 31 6 52 12 27 38&lt;/number&gt;&lt;/telephony&gt;</v>
      </c>
      <c r="C377" s="7" t="str">
        <f t="shared" si="138"/>
        <v>&lt;services nid="1"&gt;&lt;email id="0" classifier="private"&gt;marjaschiller@gmail.com&lt;/email&gt;&lt;/services&gt;&lt;setup /&gt;&lt;mod_time&gt;1500000010&lt;/mod_time&gt;&lt;uniqueid&gt;1&lt;/uniqueid&gt;&lt;/contact&gt;</v>
      </c>
      <c r="D377" t="str">
        <f t="shared" si="139"/>
        <v>&lt;contact&gt;&lt;category&gt;0&lt;/category&gt;&lt;person&gt;&lt;realName&gt;Schiller, Marja   &lt;/realName&gt;&lt;/person&gt;</v>
      </c>
      <c r="E377" t="str">
        <f t="shared" si="140"/>
        <v>&lt;telephony nid="1"&gt;&lt;number id="0" prio="1" type="home"&gt;00 31 6 52 12 27 38&lt;/number&gt;&lt;/telephony&gt;</v>
      </c>
      <c r="F377" t="str">
        <f t="shared" si="141"/>
        <v>&lt;telephony nid="1"&gt;</v>
      </c>
      <c r="G377" t="str">
        <f t="shared" si="142"/>
        <v/>
      </c>
      <c r="H377" t="str">
        <f t="shared" si="143"/>
        <v>&lt;services nid="1"&gt;&lt;email id="0" classifier="private"&gt;marjaschiller@gmail.com&lt;/email&gt;&lt;/services&gt;&lt;setup /&gt;&lt;mod_time&gt;1500000010&lt;/mod_time&gt;&lt;uniqueid&gt;1&lt;/uniqueid&gt;&lt;/contact&gt;</v>
      </c>
      <c r="I377" t="str">
        <f t="shared" si="144"/>
        <v>&lt;services /&gt;&lt;setup /&gt;&lt;mod_time&gt;1500000010&lt;/mod_time&gt;&lt;uniqueid&gt;1&lt;/uniqueid&gt;&lt;/contact&gt;</v>
      </c>
      <c r="J377" t="str">
        <f t="shared" si="145"/>
        <v>&lt;services nid="1"&gt;&lt;email id="0" classifier="private"&gt;marjaschiller@gmail.com&lt;/email&gt;&lt;/services&gt;&lt;setup /&gt;&lt;mod_time&gt;1500000010&lt;/mod_time&gt;&lt;uniqueid&gt;1&lt;/uniqueid&gt;&lt;/contact&gt;</v>
      </c>
      <c r="K377" s="5">
        <f t="shared" si="146"/>
        <v>0</v>
      </c>
      <c r="L377" s="5">
        <f t="shared" si="147"/>
        <v>0</v>
      </c>
      <c r="M377" s="5" t="str">
        <f>CONCATENATE(+Contacts!E377)</f>
        <v/>
      </c>
      <c r="N377" t="str">
        <f t="shared" si="148"/>
        <v>&lt;number id="0" prio="1" type="home"&gt;00 31 6 52 12 27 38&lt;/number&gt;</v>
      </c>
      <c r="O377" s="5">
        <f t="shared" si="149"/>
        <v>1</v>
      </c>
      <c r="P377" s="5">
        <f t="shared" si="150"/>
        <v>1</v>
      </c>
      <c r="Q377" s="5" t="str">
        <f>CONCATENATE(+Contacts!G377)</f>
        <v>00 31 6 52 12 27 38</v>
      </c>
      <c r="R377" t="str">
        <f t="shared" si="151"/>
        <v/>
      </c>
      <c r="S377" s="5">
        <f t="shared" si="152"/>
        <v>1</v>
      </c>
      <c r="T377" s="5">
        <f t="shared" si="153"/>
        <v>1</v>
      </c>
      <c r="U377" s="5" t="str">
        <f>CONCATENATE(+Contacts!H377)</f>
        <v/>
      </c>
      <c r="V377" t="str">
        <f t="shared" si="154"/>
        <v/>
      </c>
      <c r="W377" s="5">
        <f t="shared" si="155"/>
        <v>1</v>
      </c>
      <c r="X377" s="5">
        <f t="shared" si="156"/>
        <v>1</v>
      </c>
      <c r="Y377" s="5" t="str">
        <f>CONCATENATE(+Contacts!F377)</f>
        <v/>
      </c>
      <c r="Z377" s="2" t="str">
        <f t="shared" si="157"/>
        <v xml:space="preserve">Schiller, Marja   </v>
      </c>
      <c r="AA377" s="2" t="str">
        <f>CONCATENATE(+Contacts!C377)</f>
        <v>Schiller</v>
      </c>
      <c r="AB377" s="2" t="str">
        <f t="shared" si="158"/>
        <v xml:space="preserve">, </v>
      </c>
      <c r="AC377" s="2" t="str">
        <f>CONCATENATE(+Contacts!A377)</f>
        <v>Marja</v>
      </c>
      <c r="AD377" s="3" t="str">
        <f>CONCATENATE(" ",+Contacts!B377)</f>
        <v xml:space="preserve"> </v>
      </c>
      <c r="AE377" s="2" t="str">
        <f t="shared" si="159"/>
        <v xml:space="preserve"> </v>
      </c>
      <c r="AF377" s="3" t="str">
        <f>CONCATENATE(+Contacts!D377)</f>
        <v/>
      </c>
      <c r="AG377" s="2" t="str">
        <f t="shared" si="160"/>
        <v xml:space="preserve"> </v>
      </c>
      <c r="AH377" t="str">
        <f>CONCATENATE(+Contacts!I377)</f>
        <v>marjaschiller@gmail.com</v>
      </c>
      <c r="AI377">
        <v>1500000010</v>
      </c>
      <c r="AJ377" s="5">
        <f t="shared" si="161"/>
        <v>1</v>
      </c>
    </row>
    <row r="378" spans="1:36" x14ac:dyDescent="0.35">
      <c r="A378" s="7" t="str">
        <f t="shared" si="136"/>
        <v/>
      </c>
      <c r="B378" s="7" t="str">
        <f t="shared" si="137"/>
        <v/>
      </c>
      <c r="C378" s="7" t="str">
        <f t="shared" si="138"/>
        <v/>
      </c>
      <c r="D378" t="str">
        <f t="shared" si="139"/>
        <v>&lt;contact&gt;&lt;category&gt;0&lt;/category&gt;&lt;person&gt;&lt;realName&gt;Schoen, Jelger   &lt;/realName&gt;&lt;/person&gt;</v>
      </c>
      <c r="E378" t="str">
        <f t="shared" si="140"/>
        <v>&lt;telephony nid="0"&gt;&lt;/telephony&gt;</v>
      </c>
      <c r="F378" t="str">
        <f t="shared" si="141"/>
        <v>&lt;telephony nid="0"&gt;</v>
      </c>
      <c r="G378" t="str">
        <f t="shared" si="142"/>
        <v/>
      </c>
      <c r="H378" t="str">
        <f t="shared" si="143"/>
        <v>&lt;services nid="1"&gt;&lt;email id="0" classifier="private"&gt;&lt;/email&gt;&lt;/services&gt;&lt;setup /&gt;&lt;mod_time&gt;1500000010&lt;/mod_time&gt;&lt;uniqueid&gt;0&lt;/uniqueid&gt;&lt;/contact&gt;</v>
      </c>
      <c r="I378" t="str">
        <f t="shared" si="144"/>
        <v>&lt;services /&gt;&lt;setup /&gt;&lt;mod_time&gt;1500000010&lt;/mod_time&gt;&lt;uniqueid&gt;0&lt;/uniqueid&gt;&lt;/contact&gt;</v>
      </c>
      <c r="J378" t="str">
        <f t="shared" si="145"/>
        <v>&lt;services /&gt;&lt;setup /&gt;&lt;mod_time&gt;1500000010&lt;/mod_time&gt;&lt;uniqueid&gt;0&lt;/uniqueid&gt;&lt;/contact&gt;</v>
      </c>
      <c r="K378" s="5">
        <f t="shared" si="146"/>
        <v>0</v>
      </c>
      <c r="L378" s="5">
        <f t="shared" si="147"/>
        <v>0</v>
      </c>
      <c r="M378" s="5" t="str">
        <f>CONCATENATE(+Contacts!E378)</f>
        <v/>
      </c>
      <c r="N378" t="str">
        <f t="shared" si="148"/>
        <v/>
      </c>
      <c r="O378" s="5">
        <f t="shared" si="149"/>
        <v>0</v>
      </c>
      <c r="P378" s="5">
        <f t="shared" si="150"/>
        <v>0</v>
      </c>
      <c r="Q378" s="5" t="str">
        <f>CONCATENATE(+Contacts!G378)</f>
        <v/>
      </c>
      <c r="R378" t="str">
        <f t="shared" si="151"/>
        <v/>
      </c>
      <c r="S378" s="5">
        <f t="shared" si="152"/>
        <v>0</v>
      </c>
      <c r="T378" s="5">
        <f t="shared" si="153"/>
        <v>0</v>
      </c>
      <c r="U378" s="5" t="str">
        <f>CONCATENATE(+Contacts!H378)</f>
        <v/>
      </c>
      <c r="V378" t="str">
        <f t="shared" si="154"/>
        <v/>
      </c>
      <c r="W378" s="5">
        <f t="shared" si="155"/>
        <v>0</v>
      </c>
      <c r="X378" s="5">
        <f t="shared" si="156"/>
        <v>0</v>
      </c>
      <c r="Y378" s="5" t="str">
        <f>CONCATENATE(+Contacts!F378)</f>
        <v/>
      </c>
      <c r="Z378" s="2" t="str">
        <f t="shared" si="157"/>
        <v xml:space="preserve">Schoen, Jelger   </v>
      </c>
      <c r="AA378" s="2" t="str">
        <f>CONCATENATE(+Contacts!C378)</f>
        <v>Schoen</v>
      </c>
      <c r="AB378" s="2" t="str">
        <f t="shared" si="158"/>
        <v xml:space="preserve">, </v>
      </c>
      <c r="AC378" s="2" t="str">
        <f>CONCATENATE(+Contacts!A378)</f>
        <v>Jelger</v>
      </c>
      <c r="AD378" s="3" t="str">
        <f>CONCATENATE(" ",+Contacts!B378)</f>
        <v xml:space="preserve"> </v>
      </c>
      <c r="AE378" s="2" t="str">
        <f t="shared" si="159"/>
        <v xml:space="preserve"> </v>
      </c>
      <c r="AF378" s="3" t="str">
        <f>CONCATENATE(+Contacts!D378)</f>
        <v/>
      </c>
      <c r="AG378" s="2" t="str">
        <f t="shared" si="160"/>
        <v xml:space="preserve"> </v>
      </c>
      <c r="AH378" t="str">
        <f>CONCATENATE(+Contacts!I378)</f>
        <v/>
      </c>
      <c r="AI378">
        <v>1500000010</v>
      </c>
      <c r="AJ378" s="5">
        <f t="shared" si="161"/>
        <v>0</v>
      </c>
    </row>
    <row r="379" spans="1:36" x14ac:dyDescent="0.35">
      <c r="A379" s="7" t="str">
        <f t="shared" si="136"/>
        <v>&lt;contact&gt;&lt;category&gt;0&lt;/category&gt;&lt;person&gt;&lt;realName&gt;Schone Lei, De (Restaurant)&lt;/realName&gt;&lt;/person&gt;</v>
      </c>
      <c r="B379" s="7" t="str">
        <f t="shared" si="137"/>
        <v>&lt;telephony nid="1"&gt;&lt;number id="0" prio="1" type="work"&gt;+31 102121555&lt;/number&gt;&lt;/telephony&gt;</v>
      </c>
      <c r="C379" s="7" t="str">
        <f t="shared" si="138"/>
        <v>&lt;services /&gt;&lt;setup /&gt;&lt;mod_time&gt;1500000010&lt;/mod_time&gt;&lt;uniqueid&gt;1&lt;/uniqueid&gt;&lt;/contact&gt;</v>
      </c>
      <c r="D379" t="str">
        <f t="shared" si="139"/>
        <v>&lt;contact&gt;&lt;category&gt;0&lt;/category&gt;&lt;person&gt;&lt;realName&gt;Schone Lei, De (Restaurant)&lt;/realName&gt;&lt;/person&gt;</v>
      </c>
      <c r="E379" t="str">
        <f t="shared" si="140"/>
        <v>&lt;telephony nid="1"&gt;&lt;number id="0" prio="1" type="work"&gt;+31 102121555&lt;/number&gt;&lt;/telephony&gt;</v>
      </c>
      <c r="F379" t="str">
        <f t="shared" si="141"/>
        <v>&lt;telephony nid="1"&gt;</v>
      </c>
      <c r="G379" t="str">
        <f t="shared" si="142"/>
        <v>&lt;number id="0" prio="1" type="work"&gt;+31 102121555&lt;/number&gt;</v>
      </c>
      <c r="H379" t="str">
        <f t="shared" si="143"/>
        <v>&lt;services nid="1"&gt;&lt;email id="0" classifier="private"&gt;&lt;/email&gt;&lt;/services&gt;&lt;setup /&gt;&lt;mod_time&gt;1500000010&lt;/mod_time&gt;&lt;uniqueid&gt;1&lt;/uniqueid&gt;&lt;/contact&gt;</v>
      </c>
      <c r="I379" t="str">
        <f t="shared" si="144"/>
        <v>&lt;services /&gt;&lt;setup /&gt;&lt;mod_time&gt;1500000010&lt;/mod_time&gt;&lt;uniqueid&gt;1&lt;/uniqueid&gt;&lt;/contact&gt;</v>
      </c>
      <c r="J379" t="str">
        <f t="shared" si="145"/>
        <v>&lt;services /&gt;&lt;setup /&gt;&lt;mod_time&gt;1500000010&lt;/mod_time&gt;&lt;uniqueid&gt;1&lt;/uniqueid&gt;&lt;/contact&gt;</v>
      </c>
      <c r="K379" s="5">
        <f t="shared" si="146"/>
        <v>1</v>
      </c>
      <c r="L379" s="5">
        <f t="shared" si="147"/>
        <v>1</v>
      </c>
      <c r="M379" s="5" t="str">
        <f>CONCATENATE(+Contacts!E379)</f>
        <v>+31 102121555</v>
      </c>
      <c r="N379" t="str">
        <f t="shared" si="148"/>
        <v/>
      </c>
      <c r="O379" s="5">
        <f t="shared" si="149"/>
        <v>1</v>
      </c>
      <c r="P379" s="5">
        <f t="shared" si="150"/>
        <v>1</v>
      </c>
      <c r="Q379" s="5" t="str">
        <f>CONCATENATE(+Contacts!G379)</f>
        <v/>
      </c>
      <c r="R379" t="str">
        <f t="shared" si="151"/>
        <v/>
      </c>
      <c r="S379" s="5">
        <f t="shared" si="152"/>
        <v>1</v>
      </c>
      <c r="T379" s="5">
        <f t="shared" si="153"/>
        <v>1</v>
      </c>
      <c r="U379" s="5" t="str">
        <f>CONCATENATE(+Contacts!H379)</f>
        <v/>
      </c>
      <c r="V379" t="str">
        <f t="shared" si="154"/>
        <v/>
      </c>
      <c r="W379" s="5">
        <f t="shared" si="155"/>
        <v>1</v>
      </c>
      <c r="X379" s="5">
        <f t="shared" si="156"/>
        <v>1</v>
      </c>
      <c r="Y379" s="5" t="str">
        <f>CONCATENATE(+Contacts!F379)</f>
        <v/>
      </c>
      <c r="Z379" s="2" t="str">
        <f t="shared" si="157"/>
        <v>Schone Lei, De (Restaurant)</v>
      </c>
      <c r="AA379" s="2" t="str">
        <f>CONCATENATE(+Contacts!C379)</f>
        <v>Schone Lei</v>
      </c>
      <c r="AB379" s="2" t="str">
        <f t="shared" si="158"/>
        <v xml:space="preserve">, </v>
      </c>
      <c r="AC379" s="2" t="str">
        <f>CONCATENATE(+Contacts!A379)</f>
        <v>De</v>
      </c>
      <c r="AD379" s="3" t="str">
        <f>CONCATENATE(" ",+Contacts!B379)</f>
        <v xml:space="preserve"> </v>
      </c>
      <c r="AE379" s="2" t="str">
        <f t="shared" si="159"/>
        <v>(</v>
      </c>
      <c r="AF379" s="3" t="str">
        <f>CONCATENATE(+Contacts!D379)</f>
        <v>Restaurant</v>
      </c>
      <c r="AG379" s="2" t="str">
        <f t="shared" si="160"/>
        <v>)</v>
      </c>
      <c r="AH379" t="str">
        <f>CONCATENATE(+Contacts!I379)</f>
        <v/>
      </c>
      <c r="AI379">
        <v>1500000010</v>
      </c>
      <c r="AJ379" s="5">
        <f t="shared" si="161"/>
        <v>1</v>
      </c>
    </row>
    <row r="380" spans="1:36" x14ac:dyDescent="0.35">
      <c r="A380" s="7" t="str">
        <f t="shared" si="136"/>
        <v>&lt;contact&gt;&lt;category&gt;0&lt;/category&gt;&lt;person&gt;&lt;realName&gt;Schot, Ronald (Poggenpohl )&lt;/realName&gt;&lt;/person&gt;</v>
      </c>
      <c r="B380" s="7" t="str">
        <f t="shared" si="137"/>
        <v>&lt;telephony nid="2"&gt;&lt;number id="0" prio="1" type="work"&gt;+31 10 237 48 61&lt;/number&gt;&lt;number id="1" prio="0" type="mobile"&gt;+31 621 16 78 02&lt;/number&gt;&lt;/telephony&gt;</v>
      </c>
      <c r="C380" s="7" t="str">
        <f t="shared" si="138"/>
        <v>&lt;services nid="1"&gt;&lt;email id="0" classifier="private"&gt;r.schot@poggenpohl-rotterdam.nl&lt;/email&gt;&lt;/services&gt;&lt;setup /&gt;&lt;mod_time&gt;1500000010&lt;/mod_time&gt;&lt;uniqueid&gt;1&lt;/uniqueid&gt;&lt;/contact&gt;</v>
      </c>
      <c r="D380" t="str">
        <f t="shared" si="139"/>
        <v>&lt;contact&gt;&lt;category&gt;0&lt;/category&gt;&lt;person&gt;&lt;realName&gt;Schot, Ronald (Poggenpohl )&lt;/realName&gt;&lt;/person&gt;</v>
      </c>
      <c r="E380" t="str">
        <f t="shared" si="140"/>
        <v>&lt;telephony nid="2"&gt;&lt;number id="0" prio="1" type="work"&gt;+31 10 237 48 61&lt;/number&gt;&lt;number id="1" prio="0" type="mobile"&gt;+31 621 16 78 02&lt;/number&gt;&lt;/telephony&gt;</v>
      </c>
      <c r="F380" t="str">
        <f t="shared" si="141"/>
        <v>&lt;telephony nid="2"&gt;</v>
      </c>
      <c r="G380" t="str">
        <f t="shared" si="142"/>
        <v>&lt;number id="0" prio="1" type="work"&gt;+31 10 237 48 61&lt;/number&gt;</v>
      </c>
      <c r="H380" t="str">
        <f t="shared" si="143"/>
        <v>&lt;services nid="1"&gt;&lt;email id="0" classifier="private"&gt;r.schot@poggenpohl-rotterdam.nl&lt;/email&gt;&lt;/services&gt;&lt;setup /&gt;&lt;mod_time&gt;1500000010&lt;/mod_time&gt;&lt;uniqueid&gt;1&lt;/uniqueid&gt;&lt;/contact&gt;</v>
      </c>
      <c r="I380" t="str">
        <f t="shared" si="144"/>
        <v>&lt;services /&gt;&lt;setup /&gt;&lt;mod_time&gt;1500000010&lt;/mod_time&gt;&lt;uniqueid&gt;1&lt;/uniqueid&gt;&lt;/contact&gt;</v>
      </c>
      <c r="J380" t="str">
        <f t="shared" si="145"/>
        <v>&lt;services nid="1"&gt;&lt;email id="0" classifier="private"&gt;r.schot@poggenpohl-rotterdam.nl&lt;/email&gt;&lt;/services&gt;&lt;setup /&gt;&lt;mod_time&gt;1500000010&lt;/mod_time&gt;&lt;uniqueid&gt;1&lt;/uniqueid&gt;&lt;/contact&gt;</v>
      </c>
      <c r="K380" s="5">
        <f t="shared" si="146"/>
        <v>1</v>
      </c>
      <c r="L380" s="5">
        <f t="shared" si="147"/>
        <v>1</v>
      </c>
      <c r="M380" s="5" t="str">
        <f>CONCATENATE(+Contacts!E380)</f>
        <v>+31 10 237 48 61</v>
      </c>
      <c r="N380" t="str">
        <f t="shared" si="148"/>
        <v/>
      </c>
      <c r="O380" s="5">
        <f t="shared" si="149"/>
        <v>1</v>
      </c>
      <c r="P380" s="5">
        <f t="shared" si="150"/>
        <v>1</v>
      </c>
      <c r="Q380" s="5" t="str">
        <f>CONCATENATE(+Contacts!G380)</f>
        <v/>
      </c>
      <c r="R380" t="str">
        <f t="shared" si="151"/>
        <v>&lt;number id="1" prio="0" type="mobile"&gt;+31 621 16 78 02&lt;/number&gt;</v>
      </c>
      <c r="S380" s="5">
        <f t="shared" si="152"/>
        <v>2</v>
      </c>
      <c r="T380" s="5">
        <f t="shared" si="153"/>
        <v>0</v>
      </c>
      <c r="U380" s="5" t="str">
        <f>CONCATENATE(+Contacts!H380)</f>
        <v>+31 621 16 78 02</v>
      </c>
      <c r="V380" t="str">
        <f t="shared" si="154"/>
        <v/>
      </c>
      <c r="W380" s="5">
        <f t="shared" si="155"/>
        <v>2</v>
      </c>
      <c r="X380" s="5">
        <f t="shared" si="156"/>
        <v>0</v>
      </c>
      <c r="Y380" s="5" t="str">
        <f>CONCATENATE(+Contacts!F380)</f>
        <v/>
      </c>
      <c r="Z380" s="2" t="str">
        <f t="shared" si="157"/>
        <v>Schot, Ronald (Poggenpohl )</v>
      </c>
      <c r="AA380" s="2" t="str">
        <f>CONCATENATE(+Contacts!C380)</f>
        <v>Schot</v>
      </c>
      <c r="AB380" s="2" t="str">
        <f t="shared" si="158"/>
        <v xml:space="preserve">, </v>
      </c>
      <c r="AC380" s="2" t="str">
        <f>CONCATENATE(+Contacts!A380)</f>
        <v>Ronald</v>
      </c>
      <c r="AD380" s="3" t="str">
        <f>CONCATENATE(" ",+Contacts!B380)</f>
        <v xml:space="preserve"> </v>
      </c>
      <c r="AE380" s="2" t="str">
        <f t="shared" si="159"/>
        <v>(</v>
      </c>
      <c r="AF380" s="3" t="str">
        <f>CONCATENATE(+Contacts!D380)</f>
        <v xml:space="preserve">Poggenpohl </v>
      </c>
      <c r="AG380" s="2" t="str">
        <f t="shared" si="160"/>
        <v>)</v>
      </c>
      <c r="AH380" t="str">
        <f>CONCATENATE(+Contacts!I380)</f>
        <v>r.schot@poggenpohl-rotterdam.nl</v>
      </c>
      <c r="AI380">
        <v>1500000010</v>
      </c>
      <c r="AJ380" s="5">
        <f t="shared" si="161"/>
        <v>1</v>
      </c>
    </row>
    <row r="381" spans="1:36" x14ac:dyDescent="0.35">
      <c r="A381" s="7" t="str">
        <f t="shared" si="136"/>
        <v>&lt;contact&gt;&lt;category&gt;0&lt;/category&gt;&lt;person&gt;&lt;realName&gt;Schrevendijk, Bep van  &lt;/realName&gt;&lt;/person&gt;</v>
      </c>
      <c r="B381" s="7" t="str">
        <f t="shared" si="137"/>
        <v>&lt;telephony nid="1"&gt;&lt;number id="0" prio="1" type="mobile"&gt;+31 623036767&lt;/number&gt;&lt;/telephony&gt;</v>
      </c>
      <c r="C381" s="7" t="str">
        <f t="shared" si="138"/>
        <v>&lt;services nid="1"&gt;&lt;email id="0" classifier="private"&gt;maatstaf@gmail.com&lt;/email&gt;&lt;/services&gt;&lt;setup /&gt;&lt;mod_time&gt;1500000010&lt;/mod_time&gt;&lt;uniqueid&gt;1&lt;/uniqueid&gt;&lt;/contact&gt;</v>
      </c>
      <c r="D381" t="str">
        <f t="shared" si="139"/>
        <v>&lt;contact&gt;&lt;category&gt;0&lt;/category&gt;&lt;person&gt;&lt;realName&gt;Schrevendijk, Bep van  &lt;/realName&gt;&lt;/person&gt;</v>
      </c>
      <c r="E381" t="str">
        <f t="shared" si="140"/>
        <v>&lt;telephony nid="1"&gt;&lt;number id="0" prio="1" type="mobile"&gt;+31 623036767&lt;/number&gt;&lt;/telephony&gt;</v>
      </c>
      <c r="F381" t="str">
        <f t="shared" si="141"/>
        <v>&lt;telephony nid="1"&gt;</v>
      </c>
      <c r="G381" t="str">
        <f t="shared" si="142"/>
        <v/>
      </c>
      <c r="H381" t="str">
        <f t="shared" si="143"/>
        <v>&lt;services nid="1"&gt;&lt;email id="0" classifier="private"&gt;maatstaf@gmail.com&lt;/email&gt;&lt;/services&gt;&lt;setup /&gt;&lt;mod_time&gt;1500000010&lt;/mod_time&gt;&lt;uniqueid&gt;1&lt;/uniqueid&gt;&lt;/contact&gt;</v>
      </c>
      <c r="I381" t="str">
        <f t="shared" si="144"/>
        <v>&lt;services /&gt;&lt;setup /&gt;&lt;mod_time&gt;1500000010&lt;/mod_time&gt;&lt;uniqueid&gt;1&lt;/uniqueid&gt;&lt;/contact&gt;</v>
      </c>
      <c r="J381" t="str">
        <f t="shared" si="145"/>
        <v>&lt;services nid="1"&gt;&lt;email id="0" classifier="private"&gt;maatstaf@gmail.com&lt;/email&gt;&lt;/services&gt;&lt;setup /&gt;&lt;mod_time&gt;1500000010&lt;/mod_time&gt;&lt;uniqueid&gt;1&lt;/uniqueid&gt;&lt;/contact&gt;</v>
      </c>
      <c r="K381" s="5">
        <f t="shared" si="146"/>
        <v>0</v>
      </c>
      <c r="L381" s="5">
        <f t="shared" si="147"/>
        <v>0</v>
      </c>
      <c r="M381" s="5" t="str">
        <f>CONCATENATE(+Contacts!E381)</f>
        <v/>
      </c>
      <c r="N381" t="str">
        <f t="shared" si="148"/>
        <v/>
      </c>
      <c r="O381" s="5">
        <f t="shared" si="149"/>
        <v>0</v>
      </c>
      <c r="P381" s="5">
        <f t="shared" si="150"/>
        <v>0</v>
      </c>
      <c r="Q381" s="5" t="str">
        <f>CONCATENATE(+Contacts!G381)</f>
        <v/>
      </c>
      <c r="R381" t="str">
        <f t="shared" si="151"/>
        <v>&lt;number id="0" prio="1" type="mobile"&gt;+31 623036767&lt;/number&gt;</v>
      </c>
      <c r="S381" s="5">
        <f t="shared" si="152"/>
        <v>1</v>
      </c>
      <c r="T381" s="5">
        <f t="shared" si="153"/>
        <v>1</v>
      </c>
      <c r="U381" s="5" t="str">
        <f>CONCATENATE(+Contacts!H381)</f>
        <v>+31 623036767</v>
      </c>
      <c r="V381" t="str">
        <f t="shared" si="154"/>
        <v/>
      </c>
      <c r="W381" s="5">
        <f t="shared" si="155"/>
        <v>1</v>
      </c>
      <c r="X381" s="5">
        <f t="shared" si="156"/>
        <v>1</v>
      </c>
      <c r="Y381" s="5" t="str">
        <f>CONCATENATE(+Contacts!F381)</f>
        <v/>
      </c>
      <c r="Z381" s="2" t="str">
        <f t="shared" si="157"/>
        <v xml:space="preserve">Schrevendijk, Bep van  </v>
      </c>
      <c r="AA381" s="2" t="str">
        <f>CONCATENATE(+Contacts!C381)</f>
        <v>Schrevendijk</v>
      </c>
      <c r="AB381" s="2" t="str">
        <f t="shared" si="158"/>
        <v xml:space="preserve">, </v>
      </c>
      <c r="AC381" s="2" t="str">
        <f>CONCATENATE(+Contacts!A381)</f>
        <v>Bep</v>
      </c>
      <c r="AD381" s="3" t="str">
        <f>CONCATENATE(" ",+Contacts!B381)</f>
        <v xml:space="preserve"> van</v>
      </c>
      <c r="AE381" s="2" t="str">
        <f t="shared" si="159"/>
        <v xml:space="preserve"> </v>
      </c>
      <c r="AF381" s="3" t="str">
        <f>CONCATENATE(+Contacts!D381)</f>
        <v/>
      </c>
      <c r="AG381" s="2" t="str">
        <f t="shared" si="160"/>
        <v xml:space="preserve"> </v>
      </c>
      <c r="AH381" t="str">
        <f>CONCATENATE(+Contacts!I381)</f>
        <v>maatstaf@gmail.com</v>
      </c>
      <c r="AI381">
        <v>1500000010</v>
      </c>
      <c r="AJ381" s="5">
        <f t="shared" si="161"/>
        <v>1</v>
      </c>
    </row>
    <row r="382" spans="1:36" x14ac:dyDescent="0.35">
      <c r="A382" s="7" t="str">
        <f t="shared" si="136"/>
        <v>&lt;contact&gt;&lt;category&gt;0&lt;/category&gt;&lt;person&gt;&lt;realName&gt;Seine, Linda   &lt;/realName&gt;&lt;/person&gt;</v>
      </c>
      <c r="B382" s="7" t="str">
        <f t="shared" si="137"/>
        <v>&lt;telephony nid="1"&gt;&lt;number id="0" prio="1" type="mobile"&gt;+31 6 20853190&lt;/number&gt;&lt;/telephony&gt;</v>
      </c>
      <c r="C382" s="7" t="str">
        <f t="shared" si="138"/>
        <v>&lt;services /&gt;&lt;setup /&gt;&lt;mod_time&gt;1500000010&lt;/mod_time&gt;&lt;uniqueid&gt;1&lt;/uniqueid&gt;&lt;/contact&gt;</v>
      </c>
      <c r="D382" t="str">
        <f t="shared" si="139"/>
        <v>&lt;contact&gt;&lt;category&gt;0&lt;/category&gt;&lt;person&gt;&lt;realName&gt;Seine, Linda   &lt;/realName&gt;&lt;/person&gt;</v>
      </c>
      <c r="E382" t="str">
        <f t="shared" si="140"/>
        <v>&lt;telephony nid="1"&gt;&lt;number id="0" prio="1" type="mobile"&gt;+31 6 20853190&lt;/number&gt;&lt;/telephony&gt;</v>
      </c>
      <c r="F382" t="str">
        <f t="shared" si="141"/>
        <v>&lt;telephony nid="1"&gt;</v>
      </c>
      <c r="G382" t="str">
        <f t="shared" si="142"/>
        <v/>
      </c>
      <c r="H382" t="str">
        <f t="shared" si="143"/>
        <v>&lt;services nid="1"&gt;&lt;email id="0" classifier="private"&gt;&lt;/email&gt;&lt;/services&gt;&lt;setup /&gt;&lt;mod_time&gt;1500000010&lt;/mod_time&gt;&lt;uniqueid&gt;1&lt;/uniqueid&gt;&lt;/contact&gt;</v>
      </c>
      <c r="I382" t="str">
        <f t="shared" si="144"/>
        <v>&lt;services /&gt;&lt;setup /&gt;&lt;mod_time&gt;1500000010&lt;/mod_time&gt;&lt;uniqueid&gt;1&lt;/uniqueid&gt;&lt;/contact&gt;</v>
      </c>
      <c r="J382" t="str">
        <f t="shared" si="145"/>
        <v>&lt;services /&gt;&lt;setup /&gt;&lt;mod_time&gt;1500000010&lt;/mod_time&gt;&lt;uniqueid&gt;1&lt;/uniqueid&gt;&lt;/contact&gt;</v>
      </c>
      <c r="K382" s="5">
        <f t="shared" si="146"/>
        <v>0</v>
      </c>
      <c r="L382" s="5">
        <f t="shared" si="147"/>
        <v>0</v>
      </c>
      <c r="M382" s="5" t="str">
        <f>CONCATENATE(+Contacts!E382)</f>
        <v/>
      </c>
      <c r="N382" t="str">
        <f t="shared" si="148"/>
        <v/>
      </c>
      <c r="O382" s="5">
        <f t="shared" si="149"/>
        <v>0</v>
      </c>
      <c r="P382" s="5">
        <f t="shared" si="150"/>
        <v>0</v>
      </c>
      <c r="Q382" s="5" t="str">
        <f>CONCATENATE(+Contacts!G382)</f>
        <v/>
      </c>
      <c r="R382" t="str">
        <f t="shared" si="151"/>
        <v>&lt;number id="0" prio="1" type="mobile"&gt;+31 6 20853190&lt;/number&gt;</v>
      </c>
      <c r="S382" s="5">
        <f t="shared" si="152"/>
        <v>1</v>
      </c>
      <c r="T382" s="5">
        <f t="shared" si="153"/>
        <v>1</v>
      </c>
      <c r="U382" s="5" t="str">
        <f>CONCATENATE(+Contacts!H382)</f>
        <v>+31 6 20853190</v>
      </c>
      <c r="V382" t="str">
        <f t="shared" si="154"/>
        <v/>
      </c>
      <c r="W382" s="5">
        <f t="shared" si="155"/>
        <v>1</v>
      </c>
      <c r="X382" s="5">
        <f t="shared" si="156"/>
        <v>1</v>
      </c>
      <c r="Y382" s="5" t="str">
        <f>CONCATENATE(+Contacts!F382)</f>
        <v/>
      </c>
      <c r="Z382" s="2" t="str">
        <f t="shared" si="157"/>
        <v xml:space="preserve">Seine, Linda   </v>
      </c>
      <c r="AA382" s="2" t="str">
        <f>CONCATENATE(+Contacts!C382)</f>
        <v>Seine</v>
      </c>
      <c r="AB382" s="2" t="str">
        <f t="shared" si="158"/>
        <v xml:space="preserve">, </v>
      </c>
      <c r="AC382" s="2" t="str">
        <f>CONCATENATE(+Contacts!A382)</f>
        <v>Linda</v>
      </c>
      <c r="AD382" s="3" t="str">
        <f>CONCATENATE(" ",+Contacts!B382)</f>
        <v xml:space="preserve"> </v>
      </c>
      <c r="AE382" s="2" t="str">
        <f t="shared" si="159"/>
        <v xml:space="preserve"> </v>
      </c>
      <c r="AF382" s="3" t="str">
        <f>CONCATENATE(+Contacts!D382)</f>
        <v/>
      </c>
      <c r="AG382" s="2" t="str">
        <f t="shared" si="160"/>
        <v xml:space="preserve"> </v>
      </c>
      <c r="AH382" t="str">
        <f>CONCATENATE(+Contacts!I382)</f>
        <v/>
      </c>
      <c r="AI382">
        <v>1500000010</v>
      </c>
      <c r="AJ382" s="5">
        <f t="shared" si="161"/>
        <v>1</v>
      </c>
    </row>
    <row r="383" spans="1:36" x14ac:dyDescent="0.35">
      <c r="A383" s="7" t="str">
        <f t="shared" si="136"/>
        <v>&lt;contact&gt;&lt;category&gt;0&lt;/category&gt;&lt;person&gt;&lt;realName&gt;, Sergei (Stukadoor via Ruigrok; zoon van schilder Georgy)&lt;/realName&gt;&lt;/person&gt;</v>
      </c>
      <c r="B383" s="7" t="str">
        <f t="shared" si="137"/>
        <v>&lt;telephony nid="1"&gt;&lt;number id="0" prio="1" type="home"&gt;(06) 30 40 43 97&lt;/number&gt;&lt;/telephony&gt;</v>
      </c>
      <c r="C383" s="7" t="str">
        <f t="shared" si="138"/>
        <v>&lt;services /&gt;&lt;setup /&gt;&lt;mod_time&gt;1500000010&lt;/mod_time&gt;&lt;uniqueid&gt;1&lt;/uniqueid&gt;&lt;/contact&gt;</v>
      </c>
      <c r="D383" t="str">
        <f t="shared" si="139"/>
        <v>&lt;contact&gt;&lt;category&gt;0&lt;/category&gt;&lt;person&gt;&lt;realName&gt;, Sergei (Stukadoor via Ruigrok; zoon van schilder Georgy)&lt;/realName&gt;&lt;/person&gt;</v>
      </c>
      <c r="E383" t="str">
        <f t="shared" si="140"/>
        <v>&lt;telephony nid="1"&gt;&lt;number id="0" prio="1" type="home"&gt;(06) 30 40 43 97&lt;/number&gt;&lt;/telephony&gt;</v>
      </c>
      <c r="F383" t="str">
        <f t="shared" si="141"/>
        <v>&lt;telephony nid="1"&gt;</v>
      </c>
      <c r="G383" t="str">
        <f t="shared" si="142"/>
        <v/>
      </c>
      <c r="H383" t="str">
        <f t="shared" si="143"/>
        <v>&lt;services nid="1"&gt;&lt;email id="0" classifier="private"&gt;&lt;/email&gt;&lt;/services&gt;&lt;setup /&gt;&lt;mod_time&gt;1500000010&lt;/mod_time&gt;&lt;uniqueid&gt;1&lt;/uniqueid&gt;&lt;/contact&gt;</v>
      </c>
      <c r="I383" t="str">
        <f t="shared" si="144"/>
        <v>&lt;services /&gt;&lt;setup /&gt;&lt;mod_time&gt;1500000010&lt;/mod_time&gt;&lt;uniqueid&gt;1&lt;/uniqueid&gt;&lt;/contact&gt;</v>
      </c>
      <c r="J383" t="str">
        <f t="shared" si="145"/>
        <v>&lt;services /&gt;&lt;setup /&gt;&lt;mod_time&gt;1500000010&lt;/mod_time&gt;&lt;uniqueid&gt;1&lt;/uniqueid&gt;&lt;/contact&gt;</v>
      </c>
      <c r="K383" s="5">
        <f t="shared" si="146"/>
        <v>0</v>
      </c>
      <c r="L383" s="5">
        <f t="shared" si="147"/>
        <v>0</v>
      </c>
      <c r="M383" s="5" t="str">
        <f>CONCATENATE(+Contacts!E383)</f>
        <v/>
      </c>
      <c r="N383" t="str">
        <f t="shared" si="148"/>
        <v>&lt;number id="0" prio="1" type="home"&gt;(06) 30 40 43 97&lt;/number&gt;</v>
      </c>
      <c r="O383" s="5">
        <f t="shared" si="149"/>
        <v>1</v>
      </c>
      <c r="P383" s="5">
        <f t="shared" si="150"/>
        <v>1</v>
      </c>
      <c r="Q383" s="5" t="str">
        <f>CONCATENATE(+Contacts!G383)</f>
        <v>(06) 30 40 43 97</v>
      </c>
      <c r="R383" t="str">
        <f t="shared" si="151"/>
        <v/>
      </c>
      <c r="S383" s="5">
        <f t="shared" si="152"/>
        <v>1</v>
      </c>
      <c r="T383" s="5">
        <f t="shared" si="153"/>
        <v>1</v>
      </c>
      <c r="U383" s="5" t="str">
        <f>CONCATENATE(+Contacts!H383)</f>
        <v/>
      </c>
      <c r="V383" t="str">
        <f t="shared" si="154"/>
        <v/>
      </c>
      <c r="W383" s="5">
        <f t="shared" si="155"/>
        <v>1</v>
      </c>
      <c r="X383" s="5">
        <f t="shared" si="156"/>
        <v>1</v>
      </c>
      <c r="Y383" s="5" t="str">
        <f>CONCATENATE(+Contacts!F383)</f>
        <v/>
      </c>
      <c r="Z383" s="2" t="str">
        <f t="shared" si="157"/>
        <v>, Sergei (Stukadoor via Ruigrok; zoon van schilder Georgy)</v>
      </c>
      <c r="AA383" s="2" t="str">
        <f>CONCATENATE(+Contacts!C383)</f>
        <v/>
      </c>
      <c r="AB383" s="2" t="str">
        <f t="shared" si="158"/>
        <v xml:space="preserve">, </v>
      </c>
      <c r="AC383" s="2" t="str">
        <f>CONCATENATE(+Contacts!A383)</f>
        <v>Sergei</v>
      </c>
      <c r="AD383" s="3" t="str">
        <f>CONCATENATE(" ",+Contacts!B383)</f>
        <v xml:space="preserve"> </v>
      </c>
      <c r="AE383" s="2" t="str">
        <f t="shared" si="159"/>
        <v>(</v>
      </c>
      <c r="AF383" s="3" t="str">
        <f>CONCATENATE(+Contacts!D383)</f>
        <v>Stukadoor via Ruigrok; zoon van schilder Georgy</v>
      </c>
      <c r="AG383" s="2" t="str">
        <f t="shared" si="160"/>
        <v>)</v>
      </c>
      <c r="AH383" t="str">
        <f>CONCATENATE(+Contacts!I383)</f>
        <v/>
      </c>
      <c r="AI383">
        <v>1500000010</v>
      </c>
      <c r="AJ383" s="5">
        <f t="shared" si="161"/>
        <v>1</v>
      </c>
    </row>
    <row r="384" spans="1:36" x14ac:dyDescent="0.35">
      <c r="A384" s="7" t="str">
        <f t="shared" si="136"/>
        <v>&lt;contact&gt;&lt;category&gt;0&lt;/category&gt;&lt;person&gt;&lt;realName&gt;Siebkes, Nanny   &lt;/realName&gt;&lt;/person&gt;</v>
      </c>
      <c r="B384" s="7" t="str">
        <f t="shared" si="137"/>
        <v>&lt;telephony nid="2"&gt;&lt;number id="0" prio="1" type="home"&gt;(06) 24 25 31 49&lt;/number&gt;&lt;number id="1" prio="0" type="work"&gt;(010) 450 15 91&lt;/number&gt;&lt;/telephony&gt;</v>
      </c>
      <c r="C384" s="7" t="str">
        <f t="shared" si="138"/>
        <v>&lt;services nid="1"&gt;&lt;email id="0" classifier="private"&gt;nanny.siebkes@icloud.com&lt;/email&gt;&lt;/services&gt;&lt;setup /&gt;&lt;mod_time&gt;1500000010&lt;/mod_time&gt;&lt;uniqueid&gt;1&lt;/uniqueid&gt;&lt;/contact&gt;</v>
      </c>
      <c r="D384" t="str">
        <f t="shared" si="139"/>
        <v>&lt;contact&gt;&lt;category&gt;0&lt;/category&gt;&lt;person&gt;&lt;realName&gt;Siebkes, Nanny   &lt;/realName&gt;&lt;/person&gt;</v>
      </c>
      <c r="E384" t="str">
        <f t="shared" si="140"/>
        <v>&lt;telephony nid="2"&gt;&lt;number id="0" prio="1" type="home"&gt;(06) 24 25 31 49&lt;/number&gt;&lt;number id="1" prio="0" type="work"&gt;(010) 450 15 91&lt;/number&gt;&lt;/telephony&gt;</v>
      </c>
      <c r="F384" t="str">
        <f t="shared" si="141"/>
        <v>&lt;telephony nid="2"&gt;</v>
      </c>
      <c r="G384" t="str">
        <f t="shared" si="142"/>
        <v/>
      </c>
      <c r="H384" t="str">
        <f t="shared" si="143"/>
        <v>&lt;services nid="1"&gt;&lt;email id="0" classifier="private"&gt;nanny.siebkes@icloud.com&lt;/email&gt;&lt;/services&gt;&lt;setup /&gt;&lt;mod_time&gt;1500000010&lt;/mod_time&gt;&lt;uniqueid&gt;1&lt;/uniqueid&gt;&lt;/contact&gt;</v>
      </c>
      <c r="I384" t="str">
        <f t="shared" si="144"/>
        <v>&lt;services /&gt;&lt;setup /&gt;&lt;mod_time&gt;1500000010&lt;/mod_time&gt;&lt;uniqueid&gt;1&lt;/uniqueid&gt;&lt;/contact&gt;</v>
      </c>
      <c r="J384" t="str">
        <f t="shared" si="145"/>
        <v>&lt;services nid="1"&gt;&lt;email id="0" classifier="private"&gt;nanny.siebkes@icloud.com&lt;/email&gt;&lt;/services&gt;&lt;setup /&gt;&lt;mod_time&gt;1500000010&lt;/mod_time&gt;&lt;uniqueid&gt;1&lt;/uniqueid&gt;&lt;/contact&gt;</v>
      </c>
      <c r="K384" s="5">
        <f t="shared" si="146"/>
        <v>0</v>
      </c>
      <c r="L384" s="5">
        <f t="shared" si="147"/>
        <v>0</v>
      </c>
      <c r="M384" s="5" t="str">
        <f>CONCATENATE(+Contacts!E384)</f>
        <v/>
      </c>
      <c r="N384" t="str">
        <f t="shared" si="148"/>
        <v>&lt;number id="0" prio="1" type="home"&gt;(06) 24 25 31 49&lt;/number&gt;</v>
      </c>
      <c r="O384" s="5">
        <f t="shared" si="149"/>
        <v>1</v>
      </c>
      <c r="P384" s="5">
        <f t="shared" si="150"/>
        <v>1</v>
      </c>
      <c r="Q384" s="5" t="str">
        <f>CONCATENATE(+Contacts!G384)</f>
        <v>(06) 24 25 31 49</v>
      </c>
      <c r="R384" t="str">
        <f t="shared" si="151"/>
        <v/>
      </c>
      <c r="S384" s="5">
        <f t="shared" si="152"/>
        <v>1</v>
      </c>
      <c r="T384" s="5">
        <f t="shared" si="153"/>
        <v>1</v>
      </c>
      <c r="U384" s="5" t="str">
        <f>CONCATENATE(+Contacts!H384)</f>
        <v/>
      </c>
      <c r="V384" t="str">
        <f t="shared" si="154"/>
        <v>&lt;number id="1" prio="0" type="work"&gt;(010) 450 15 91&lt;/number&gt;</v>
      </c>
      <c r="W384" s="5">
        <f t="shared" si="155"/>
        <v>2</v>
      </c>
      <c r="X384" s="5">
        <f t="shared" si="156"/>
        <v>0</v>
      </c>
      <c r="Y384" s="5" t="str">
        <f>CONCATENATE(+Contacts!F384)</f>
        <v>(010) 450 15 91</v>
      </c>
      <c r="Z384" s="2" t="str">
        <f t="shared" si="157"/>
        <v xml:space="preserve">Siebkes, Nanny   </v>
      </c>
      <c r="AA384" s="2" t="str">
        <f>CONCATENATE(+Contacts!C384)</f>
        <v>Siebkes</v>
      </c>
      <c r="AB384" s="2" t="str">
        <f t="shared" si="158"/>
        <v xml:space="preserve">, </v>
      </c>
      <c r="AC384" s="2" t="str">
        <f>CONCATENATE(+Contacts!A384)</f>
        <v>Nanny</v>
      </c>
      <c r="AD384" s="3" t="str">
        <f>CONCATENATE(" ",+Contacts!B384)</f>
        <v xml:space="preserve"> </v>
      </c>
      <c r="AE384" s="2" t="str">
        <f t="shared" si="159"/>
        <v xml:space="preserve"> </v>
      </c>
      <c r="AF384" s="3" t="str">
        <f>CONCATENATE(+Contacts!D384)</f>
        <v/>
      </c>
      <c r="AG384" s="2" t="str">
        <f t="shared" si="160"/>
        <v xml:space="preserve"> </v>
      </c>
      <c r="AH384" t="str">
        <f>CONCATENATE(+Contacts!I384)</f>
        <v>nanny.siebkes@icloud.com</v>
      </c>
      <c r="AI384">
        <v>1500000010</v>
      </c>
      <c r="AJ384" s="5">
        <f t="shared" si="161"/>
        <v>1</v>
      </c>
    </row>
    <row r="385" spans="1:36" x14ac:dyDescent="0.35">
      <c r="A385" s="7" t="str">
        <f t="shared" si="136"/>
        <v>&lt;contact&gt;&lt;category&gt;0&lt;/category&gt;&lt;person&gt;&lt;realName&gt;Sieders, René   &lt;/realName&gt;&lt;/person&gt;</v>
      </c>
      <c r="B385" s="7" t="str">
        <f t="shared" si="137"/>
        <v>&lt;telephony nid="1"&gt;&lt;number id="0" prio="1" type="mobile"&gt;+31 629 52 58 41&lt;/number&gt;&lt;/telephony&gt;</v>
      </c>
      <c r="C385" s="7" t="str">
        <f t="shared" si="138"/>
        <v>&lt;services nid="1"&gt;&lt;email id="0" classifier="private"&gt;rene.sieders@thelifecyclecompany.nl&lt;/email&gt;&lt;/services&gt;&lt;setup /&gt;&lt;mod_time&gt;1500000010&lt;/mod_time&gt;&lt;uniqueid&gt;1&lt;/uniqueid&gt;&lt;/contact&gt;</v>
      </c>
      <c r="D385" t="str">
        <f t="shared" si="139"/>
        <v>&lt;contact&gt;&lt;category&gt;0&lt;/category&gt;&lt;person&gt;&lt;realName&gt;Sieders, René   &lt;/realName&gt;&lt;/person&gt;</v>
      </c>
      <c r="E385" t="str">
        <f t="shared" si="140"/>
        <v>&lt;telephony nid="1"&gt;&lt;number id="0" prio="1" type="mobile"&gt;+31 629 52 58 41&lt;/number&gt;&lt;/telephony&gt;</v>
      </c>
      <c r="F385" t="str">
        <f t="shared" si="141"/>
        <v>&lt;telephony nid="1"&gt;</v>
      </c>
      <c r="G385" t="str">
        <f t="shared" si="142"/>
        <v/>
      </c>
      <c r="H385" t="str">
        <f t="shared" si="143"/>
        <v>&lt;services nid="1"&gt;&lt;email id="0" classifier="private"&gt;rene.sieders@thelifecyclecompany.nl&lt;/email&gt;&lt;/services&gt;&lt;setup /&gt;&lt;mod_time&gt;1500000010&lt;/mod_time&gt;&lt;uniqueid&gt;1&lt;/uniqueid&gt;&lt;/contact&gt;</v>
      </c>
      <c r="I385" t="str">
        <f t="shared" si="144"/>
        <v>&lt;services /&gt;&lt;setup /&gt;&lt;mod_time&gt;1500000010&lt;/mod_time&gt;&lt;uniqueid&gt;1&lt;/uniqueid&gt;&lt;/contact&gt;</v>
      </c>
      <c r="J385" t="str">
        <f t="shared" si="145"/>
        <v>&lt;services nid="1"&gt;&lt;email id="0" classifier="private"&gt;rene.sieders@thelifecyclecompany.nl&lt;/email&gt;&lt;/services&gt;&lt;setup /&gt;&lt;mod_time&gt;1500000010&lt;/mod_time&gt;&lt;uniqueid&gt;1&lt;/uniqueid&gt;&lt;/contact&gt;</v>
      </c>
      <c r="K385" s="5">
        <f t="shared" si="146"/>
        <v>0</v>
      </c>
      <c r="L385" s="5">
        <f t="shared" si="147"/>
        <v>0</v>
      </c>
      <c r="M385" s="5" t="str">
        <f>CONCATENATE(+Contacts!E385)</f>
        <v/>
      </c>
      <c r="N385" t="str">
        <f t="shared" si="148"/>
        <v/>
      </c>
      <c r="O385" s="5">
        <f t="shared" si="149"/>
        <v>0</v>
      </c>
      <c r="P385" s="5">
        <f t="shared" si="150"/>
        <v>0</v>
      </c>
      <c r="Q385" s="5" t="str">
        <f>CONCATENATE(+Contacts!G385)</f>
        <v/>
      </c>
      <c r="R385" t="str">
        <f t="shared" si="151"/>
        <v>&lt;number id="0" prio="1" type="mobile"&gt;+31 629 52 58 41&lt;/number&gt;</v>
      </c>
      <c r="S385" s="5">
        <f t="shared" si="152"/>
        <v>1</v>
      </c>
      <c r="T385" s="5">
        <f t="shared" si="153"/>
        <v>1</v>
      </c>
      <c r="U385" s="5" t="str">
        <f>CONCATENATE(+Contacts!H385)</f>
        <v>+31 629 52 58 41</v>
      </c>
      <c r="V385" t="str">
        <f t="shared" si="154"/>
        <v/>
      </c>
      <c r="W385" s="5">
        <f t="shared" si="155"/>
        <v>1</v>
      </c>
      <c r="X385" s="5">
        <f t="shared" si="156"/>
        <v>1</v>
      </c>
      <c r="Y385" s="5" t="str">
        <f>CONCATENATE(+Contacts!F385)</f>
        <v/>
      </c>
      <c r="Z385" s="2" t="str">
        <f t="shared" si="157"/>
        <v xml:space="preserve">Sieders, René   </v>
      </c>
      <c r="AA385" s="2" t="str">
        <f>CONCATENATE(+Contacts!C385)</f>
        <v>Sieders</v>
      </c>
      <c r="AB385" s="2" t="str">
        <f t="shared" si="158"/>
        <v xml:space="preserve">, </v>
      </c>
      <c r="AC385" s="2" t="str">
        <f>CONCATENATE(+Contacts!A385)</f>
        <v>René</v>
      </c>
      <c r="AD385" s="3" t="str">
        <f>CONCATENATE(" ",+Contacts!B385)</f>
        <v xml:space="preserve"> </v>
      </c>
      <c r="AE385" s="2" t="str">
        <f t="shared" si="159"/>
        <v xml:space="preserve"> </v>
      </c>
      <c r="AF385" s="3" t="str">
        <f>CONCATENATE(+Contacts!D385)</f>
        <v/>
      </c>
      <c r="AG385" s="2" t="str">
        <f t="shared" si="160"/>
        <v xml:space="preserve"> </v>
      </c>
      <c r="AH385" t="str">
        <f>CONCATENATE(+Contacts!I385)</f>
        <v>rene.sieders@thelifecyclecompany.nl</v>
      </c>
      <c r="AI385">
        <v>1500000010</v>
      </c>
      <c r="AJ385" s="5">
        <f t="shared" si="161"/>
        <v>1</v>
      </c>
    </row>
    <row r="386" spans="1:36" x14ac:dyDescent="0.35">
      <c r="A386" s="7" t="str">
        <f t="shared" si="136"/>
        <v>&lt;contact&gt;&lt;category&gt;0&lt;/category&gt;&lt;person&gt;&lt;realName&gt;Sijtsma, Louise   &lt;/realName&gt;&lt;/person&gt;</v>
      </c>
      <c r="B386" s="7" t="str">
        <f t="shared" si="137"/>
        <v>&lt;telephony nid="1"&gt;&lt;number id="0" prio="1" type="mobile"&gt;+31 6 15256270&lt;/number&gt;&lt;/telephony&gt;</v>
      </c>
      <c r="C386" s="7" t="str">
        <f t="shared" si="138"/>
        <v>&lt;services /&gt;&lt;setup /&gt;&lt;mod_time&gt;1500000010&lt;/mod_time&gt;&lt;uniqueid&gt;1&lt;/uniqueid&gt;&lt;/contact&gt;</v>
      </c>
      <c r="D386" t="str">
        <f t="shared" si="139"/>
        <v>&lt;contact&gt;&lt;category&gt;0&lt;/category&gt;&lt;person&gt;&lt;realName&gt;Sijtsma, Louise   &lt;/realName&gt;&lt;/person&gt;</v>
      </c>
      <c r="E386" t="str">
        <f t="shared" si="140"/>
        <v>&lt;telephony nid="1"&gt;&lt;number id="0" prio="1" type="mobile"&gt;+31 6 15256270&lt;/number&gt;&lt;/telephony&gt;</v>
      </c>
      <c r="F386" t="str">
        <f t="shared" si="141"/>
        <v>&lt;telephony nid="1"&gt;</v>
      </c>
      <c r="G386" t="str">
        <f t="shared" si="142"/>
        <v/>
      </c>
      <c r="H386" t="str">
        <f t="shared" si="143"/>
        <v>&lt;services nid="1"&gt;&lt;email id="0" classifier="private"&gt;&lt;/email&gt;&lt;/services&gt;&lt;setup /&gt;&lt;mod_time&gt;1500000010&lt;/mod_time&gt;&lt;uniqueid&gt;1&lt;/uniqueid&gt;&lt;/contact&gt;</v>
      </c>
      <c r="I386" t="str">
        <f t="shared" si="144"/>
        <v>&lt;services /&gt;&lt;setup /&gt;&lt;mod_time&gt;1500000010&lt;/mod_time&gt;&lt;uniqueid&gt;1&lt;/uniqueid&gt;&lt;/contact&gt;</v>
      </c>
      <c r="J386" t="str">
        <f t="shared" si="145"/>
        <v>&lt;services /&gt;&lt;setup /&gt;&lt;mod_time&gt;1500000010&lt;/mod_time&gt;&lt;uniqueid&gt;1&lt;/uniqueid&gt;&lt;/contact&gt;</v>
      </c>
      <c r="K386" s="5">
        <f t="shared" si="146"/>
        <v>0</v>
      </c>
      <c r="L386" s="5">
        <f t="shared" si="147"/>
        <v>0</v>
      </c>
      <c r="M386" s="5" t="str">
        <f>CONCATENATE(+Contacts!E386)</f>
        <v/>
      </c>
      <c r="N386" t="str">
        <f t="shared" si="148"/>
        <v/>
      </c>
      <c r="O386" s="5">
        <f t="shared" si="149"/>
        <v>0</v>
      </c>
      <c r="P386" s="5">
        <f t="shared" si="150"/>
        <v>0</v>
      </c>
      <c r="Q386" s="5" t="str">
        <f>CONCATENATE(+Contacts!G386)</f>
        <v/>
      </c>
      <c r="R386" t="str">
        <f t="shared" si="151"/>
        <v>&lt;number id="0" prio="1" type="mobile"&gt;+31 6 15256270&lt;/number&gt;</v>
      </c>
      <c r="S386" s="5">
        <f t="shared" si="152"/>
        <v>1</v>
      </c>
      <c r="T386" s="5">
        <f t="shared" si="153"/>
        <v>1</v>
      </c>
      <c r="U386" s="5" t="str">
        <f>CONCATENATE(+Contacts!H386)</f>
        <v>+31 6 15256270</v>
      </c>
      <c r="V386" t="str">
        <f t="shared" si="154"/>
        <v/>
      </c>
      <c r="W386" s="5">
        <f t="shared" si="155"/>
        <v>1</v>
      </c>
      <c r="X386" s="5">
        <f t="shared" si="156"/>
        <v>1</v>
      </c>
      <c r="Y386" s="5" t="str">
        <f>CONCATENATE(+Contacts!F386)</f>
        <v/>
      </c>
      <c r="Z386" s="2" t="str">
        <f t="shared" si="157"/>
        <v xml:space="preserve">Sijtsma, Louise   </v>
      </c>
      <c r="AA386" s="2" t="str">
        <f>CONCATENATE(+Contacts!C386)</f>
        <v>Sijtsma</v>
      </c>
      <c r="AB386" s="2" t="str">
        <f t="shared" si="158"/>
        <v xml:space="preserve">, </v>
      </c>
      <c r="AC386" s="2" t="str">
        <f>CONCATENATE(+Contacts!A386)</f>
        <v>Louise</v>
      </c>
      <c r="AD386" s="3" t="str">
        <f>CONCATENATE(" ",+Contacts!B386)</f>
        <v xml:space="preserve"> </v>
      </c>
      <c r="AE386" s="2" t="str">
        <f t="shared" si="159"/>
        <v xml:space="preserve"> </v>
      </c>
      <c r="AF386" s="3" t="str">
        <f>CONCATENATE(+Contacts!D386)</f>
        <v/>
      </c>
      <c r="AG386" s="2" t="str">
        <f t="shared" si="160"/>
        <v xml:space="preserve"> </v>
      </c>
      <c r="AH386" t="str">
        <f>CONCATENATE(+Contacts!I386)</f>
        <v/>
      </c>
      <c r="AI386">
        <v>1500000010</v>
      </c>
      <c r="AJ386" s="5">
        <f t="shared" si="161"/>
        <v>1</v>
      </c>
    </row>
    <row r="387" spans="1:36" x14ac:dyDescent="0.35">
      <c r="A387" s="7" t="str">
        <f t="shared" ref="A387:A450" si="162">IF(+W387 = 0,"",+D387)</f>
        <v>&lt;contact&gt;&lt;category&gt;0&lt;/category&gt;&lt;person&gt;&lt;realName&gt;Sijtsma, Simon   &lt;/realName&gt;&lt;/person&gt;</v>
      </c>
      <c r="B387" s="7" t="str">
        <f t="shared" ref="B387:B450" si="163">IF(+W387 = 0,"",+E387)</f>
        <v>&lt;telephony nid="1"&gt;&lt;number id="0" prio="1" type="mobile"&gt;+31 626176102&lt;/number&gt;&lt;/telephony&gt;</v>
      </c>
      <c r="C387" s="7" t="str">
        <f t="shared" ref="C387:C450" si="164">IF(+W387 = 0,"",+J387)</f>
        <v>&lt;services /&gt;&lt;setup /&gt;&lt;mod_time&gt;1500000010&lt;/mod_time&gt;&lt;uniqueid&gt;1&lt;/uniqueid&gt;&lt;/contact&gt;</v>
      </c>
      <c r="D387" t="str">
        <f t="shared" ref="D387:D450" si="165">CONCATENATE("&lt;contact&gt;&lt;category&gt;0&lt;/category&gt;&lt;person&gt;&lt;realName&gt;",+Z387,"&lt;/realName&gt;&lt;/person&gt;")</f>
        <v>&lt;contact&gt;&lt;category&gt;0&lt;/category&gt;&lt;person&gt;&lt;realName&gt;Sijtsma, Simon   &lt;/realName&gt;&lt;/person&gt;</v>
      </c>
      <c r="E387" t="str">
        <f t="shared" ref="E387:E450" si="166">CONCATENATE(+F387,+G387,+N387,+R387,+V387,"&lt;/telephony&gt;")</f>
        <v>&lt;telephony nid="1"&gt;&lt;number id="0" prio="1" type="mobile"&gt;+31 626176102&lt;/number&gt;&lt;/telephony&gt;</v>
      </c>
      <c r="F387" t="str">
        <f t="shared" ref="F387:F450" si="167">CONCATENATE("&lt;telephony nid=""",+W387,"""&gt;")</f>
        <v>&lt;telephony nid="1"&gt;</v>
      </c>
      <c r="G387" t="str">
        <f t="shared" ref="G387:G450" si="168">IF(+K387 &gt; 0,+CONCATENATE("&lt;number id=""",+K387-1,""" prio=""",+L387,""" type=""work""&gt;",+M387,"&lt;/number&gt;"),"")</f>
        <v/>
      </c>
      <c r="H387" t="str">
        <f t="shared" ref="H387:H450" si="169">CONCATENATE("&lt;services nid=""1""&gt;&lt;email id=""0"" classifier=""private""&gt;",+AH387,"&lt;/email&gt;&lt;/services&gt;&lt;setup /&gt;&lt;mod_time&gt;",+AI387,"&lt;/mod_time&gt;&lt;uniqueid&gt;",+AJ387,"&lt;/uniqueid&gt;&lt;/contact&gt;")</f>
        <v>&lt;services nid="1"&gt;&lt;email id="0" classifier="private"&gt;&lt;/email&gt;&lt;/services&gt;&lt;setup /&gt;&lt;mod_time&gt;1500000010&lt;/mod_time&gt;&lt;uniqueid&gt;1&lt;/uniqueid&gt;&lt;/contact&gt;</v>
      </c>
      <c r="I387" t="str">
        <f t="shared" ref="I387:I450" si="170">CONCATENATE("&lt;services /&gt;&lt;setup /&gt;&lt;mod_time&gt;",+AI387,"&lt;/mod_time&gt;&lt;uniqueid&gt;",+AJ387,"&lt;/uniqueid&gt;&lt;/contact&gt;")</f>
        <v>&lt;services /&gt;&lt;setup /&gt;&lt;mod_time&gt;1500000010&lt;/mod_time&gt;&lt;uniqueid&gt;1&lt;/uniqueid&gt;&lt;/contact&gt;</v>
      </c>
      <c r="J387" t="str">
        <f t="shared" ref="J387:J450" si="171">+IF(+AH387 = "",+I387,+H387)</f>
        <v>&lt;services /&gt;&lt;setup /&gt;&lt;mod_time&gt;1500000010&lt;/mod_time&gt;&lt;uniqueid&gt;1&lt;/uniqueid&gt;&lt;/contact&gt;</v>
      </c>
      <c r="K387" s="5">
        <f t="shared" ref="K387:K450" si="172">IF(+M387 = "",0,1)</f>
        <v>0</v>
      </c>
      <c r="L387" s="5">
        <f t="shared" ref="L387:L450" si="173">IF(+K387 = 1,1,0)</f>
        <v>0</v>
      </c>
      <c r="M387" s="5" t="str">
        <f>CONCATENATE(+Contacts!E387)</f>
        <v/>
      </c>
      <c r="N387" t="str">
        <f t="shared" ref="N387:N450" si="174">IF(+O387 &gt; +K387,+CONCATENATE("&lt;number id=""",+O387-1,""" prio=""",+P387,""" type=""home""&gt;",+Q387,"&lt;/number&gt;"),"")</f>
        <v/>
      </c>
      <c r="O387" s="5">
        <f t="shared" ref="O387:O450" si="175">IF(+Q387 = "",+K387,+K387+1)</f>
        <v>0</v>
      </c>
      <c r="P387" s="5">
        <f t="shared" ref="P387:P450" si="176">IF(+O387 = 1,1,0)</f>
        <v>0</v>
      </c>
      <c r="Q387" s="5" t="str">
        <f>CONCATENATE(+Contacts!G387)</f>
        <v/>
      </c>
      <c r="R387" t="str">
        <f t="shared" ref="R387:R450" si="177">IF(+S387 &gt; +O387,+CONCATENATE("&lt;number id=""",+S387-1,""" prio=""",+T387,""" type=""mobile""&gt;",+U387,"&lt;/number&gt;"),"")</f>
        <v>&lt;number id="0" prio="1" type="mobile"&gt;+31 626176102&lt;/number&gt;</v>
      </c>
      <c r="S387" s="5">
        <f t="shared" ref="S387:S450" si="178">IF(+U387 = "",+O387,+O387+1)</f>
        <v>1</v>
      </c>
      <c r="T387" s="5">
        <f t="shared" ref="T387:T450" si="179">IF(+S387 = 1,1,0)</f>
        <v>1</v>
      </c>
      <c r="U387" s="5" t="str">
        <f>CONCATENATE(+Contacts!H387)</f>
        <v>+31 626176102</v>
      </c>
      <c r="V387" t="str">
        <f t="shared" ref="V387:V450" si="180">IF(+W387 &gt; +S387,+CONCATENATE("&lt;number id=""",+W387-1,""" prio=""",+X387,""" type=""work""&gt;",+Y387,"&lt;/number&gt;"),"")</f>
        <v/>
      </c>
      <c r="W387" s="5">
        <f t="shared" ref="W387:W450" si="181">IF(+Y387 = "",+S387,+S387+1)</f>
        <v>1</v>
      </c>
      <c r="X387" s="5">
        <f t="shared" ref="X387:X450" si="182">IF(+W387 = 1,1,0)</f>
        <v>1</v>
      </c>
      <c r="Y387" s="5" t="str">
        <f>CONCATENATE(+Contacts!F387)</f>
        <v/>
      </c>
      <c r="Z387" s="2" t="str">
        <f t="shared" ref="Z387:Z450" si="183">CONCATENATE(+AA387,+AB387,+AC387,+AD387,+AE387,+AF387,+AG387)</f>
        <v xml:space="preserve">Sijtsma, Simon   </v>
      </c>
      <c r="AA387" s="2" t="str">
        <f>CONCATENATE(+Contacts!C387)</f>
        <v>Sijtsma</v>
      </c>
      <c r="AB387" s="2" t="str">
        <f t="shared" ref="AB387:AB450" si="184">IF(+AC387 = ""," ",", ")</f>
        <v xml:space="preserve">, </v>
      </c>
      <c r="AC387" s="2" t="str">
        <f>CONCATENATE(+Contacts!A387)</f>
        <v>Simon</v>
      </c>
      <c r="AD387" s="3" t="str">
        <f>CONCATENATE(" ",+Contacts!B387)</f>
        <v xml:space="preserve"> </v>
      </c>
      <c r="AE387" s="2" t="str">
        <f t="shared" ref="AE387:AE450" si="185">IF(+AF387 = ""," ","(")</f>
        <v xml:space="preserve"> </v>
      </c>
      <c r="AF387" s="3" t="str">
        <f>CONCATENATE(+Contacts!D387)</f>
        <v/>
      </c>
      <c r="AG387" s="2" t="str">
        <f t="shared" ref="AG387:AG450" si="186">IF(+AF387 = ""," ",")")</f>
        <v xml:space="preserve"> </v>
      </c>
      <c r="AH387" t="str">
        <f>CONCATENATE(+Contacts!I387)</f>
        <v/>
      </c>
      <c r="AI387">
        <v>1500000010</v>
      </c>
      <c r="AJ387" s="5">
        <f t="shared" ref="AJ387:AJ450" si="187">IF(+W387 = 0,0,1)</f>
        <v>1</v>
      </c>
    </row>
    <row r="388" spans="1:36" x14ac:dyDescent="0.35">
      <c r="A388" s="7" t="str">
        <f t="shared" si="162"/>
        <v>&lt;contact&gt;&lt;category&gt;0&lt;/category&gt;&lt;person&gt;&lt;realName&gt;Smits, Floor   &lt;/realName&gt;&lt;/person&gt;</v>
      </c>
      <c r="B388" s="7" t="str">
        <f t="shared" si="163"/>
        <v>&lt;telephony nid="2"&gt;&lt;number id="0" prio="1" type="home"&gt;+31 651265140&lt;/number&gt;&lt;number id="1" prio="0" type="mobile"&gt;+351 915 947 086&lt;/number&gt;&lt;/telephony&gt;</v>
      </c>
      <c r="C388" s="7" t="str">
        <f t="shared" si="164"/>
        <v>&lt;services nid="1"&gt;&lt;email id="0" classifier="private"&gt;floor.smits@gmail.com&lt;/email&gt;&lt;/services&gt;&lt;setup /&gt;&lt;mod_time&gt;1500000010&lt;/mod_time&gt;&lt;uniqueid&gt;1&lt;/uniqueid&gt;&lt;/contact&gt;</v>
      </c>
      <c r="D388" t="str">
        <f t="shared" si="165"/>
        <v>&lt;contact&gt;&lt;category&gt;0&lt;/category&gt;&lt;person&gt;&lt;realName&gt;Smits, Floor   &lt;/realName&gt;&lt;/person&gt;</v>
      </c>
      <c r="E388" t="str">
        <f t="shared" si="166"/>
        <v>&lt;telephony nid="2"&gt;&lt;number id="0" prio="1" type="home"&gt;+31 651265140&lt;/number&gt;&lt;number id="1" prio="0" type="mobile"&gt;+351 915 947 086&lt;/number&gt;&lt;/telephony&gt;</v>
      </c>
      <c r="F388" t="str">
        <f t="shared" si="167"/>
        <v>&lt;telephony nid="2"&gt;</v>
      </c>
      <c r="G388" t="str">
        <f t="shared" si="168"/>
        <v/>
      </c>
      <c r="H388" t="str">
        <f t="shared" si="169"/>
        <v>&lt;services nid="1"&gt;&lt;email id="0" classifier="private"&gt;floor.smits@gmail.com&lt;/email&gt;&lt;/services&gt;&lt;setup /&gt;&lt;mod_time&gt;1500000010&lt;/mod_time&gt;&lt;uniqueid&gt;1&lt;/uniqueid&gt;&lt;/contact&gt;</v>
      </c>
      <c r="I388" t="str">
        <f t="shared" si="170"/>
        <v>&lt;services /&gt;&lt;setup /&gt;&lt;mod_time&gt;1500000010&lt;/mod_time&gt;&lt;uniqueid&gt;1&lt;/uniqueid&gt;&lt;/contact&gt;</v>
      </c>
      <c r="J388" t="str">
        <f t="shared" si="171"/>
        <v>&lt;services nid="1"&gt;&lt;email id="0" classifier="private"&gt;floor.smits@gmail.com&lt;/email&gt;&lt;/services&gt;&lt;setup /&gt;&lt;mod_time&gt;1500000010&lt;/mod_time&gt;&lt;uniqueid&gt;1&lt;/uniqueid&gt;&lt;/contact&gt;</v>
      </c>
      <c r="K388" s="5">
        <f t="shared" si="172"/>
        <v>0</v>
      </c>
      <c r="L388" s="5">
        <f t="shared" si="173"/>
        <v>0</v>
      </c>
      <c r="M388" s="5" t="str">
        <f>CONCATENATE(+Contacts!E388)</f>
        <v/>
      </c>
      <c r="N388" t="str">
        <f t="shared" si="174"/>
        <v>&lt;number id="0" prio="1" type="home"&gt;+31 651265140&lt;/number&gt;</v>
      </c>
      <c r="O388" s="5">
        <f t="shared" si="175"/>
        <v>1</v>
      </c>
      <c r="P388" s="5">
        <f t="shared" si="176"/>
        <v>1</v>
      </c>
      <c r="Q388" s="5" t="str">
        <f>CONCATENATE(+Contacts!G388)</f>
        <v>+31 651265140</v>
      </c>
      <c r="R388" t="str">
        <f t="shared" si="177"/>
        <v>&lt;number id="1" prio="0" type="mobile"&gt;+351 915 947 086&lt;/number&gt;</v>
      </c>
      <c r="S388" s="5">
        <f t="shared" si="178"/>
        <v>2</v>
      </c>
      <c r="T388" s="5">
        <f t="shared" si="179"/>
        <v>0</v>
      </c>
      <c r="U388" s="5" t="str">
        <f>CONCATENATE(+Contacts!H388)</f>
        <v>+351 915 947 086</v>
      </c>
      <c r="V388" t="str">
        <f t="shared" si="180"/>
        <v/>
      </c>
      <c r="W388" s="5">
        <f t="shared" si="181"/>
        <v>2</v>
      </c>
      <c r="X388" s="5">
        <f t="shared" si="182"/>
        <v>0</v>
      </c>
      <c r="Y388" s="5" t="str">
        <f>CONCATENATE(+Contacts!F388)</f>
        <v/>
      </c>
      <c r="Z388" s="2" t="str">
        <f t="shared" si="183"/>
        <v xml:space="preserve">Smits, Floor   </v>
      </c>
      <c r="AA388" s="2" t="str">
        <f>CONCATENATE(+Contacts!C388)</f>
        <v>Smits</v>
      </c>
      <c r="AB388" s="2" t="str">
        <f t="shared" si="184"/>
        <v xml:space="preserve">, </v>
      </c>
      <c r="AC388" s="2" t="str">
        <f>CONCATENATE(+Contacts!A388)</f>
        <v>Floor</v>
      </c>
      <c r="AD388" s="3" t="str">
        <f>CONCATENATE(" ",+Contacts!B388)</f>
        <v xml:space="preserve"> </v>
      </c>
      <c r="AE388" s="2" t="str">
        <f t="shared" si="185"/>
        <v xml:space="preserve"> </v>
      </c>
      <c r="AF388" s="3" t="str">
        <f>CONCATENATE(+Contacts!D388)</f>
        <v/>
      </c>
      <c r="AG388" s="2" t="str">
        <f t="shared" si="186"/>
        <v xml:space="preserve"> </v>
      </c>
      <c r="AH388" t="str">
        <f>CONCATENATE(+Contacts!I388)</f>
        <v>floor.smits@gmail.com</v>
      </c>
      <c r="AI388">
        <v>1500000010</v>
      </c>
      <c r="AJ388" s="5">
        <f t="shared" si="187"/>
        <v>1</v>
      </c>
    </row>
    <row r="389" spans="1:36" x14ac:dyDescent="0.35">
      <c r="A389" s="7" t="str">
        <f t="shared" si="162"/>
        <v>&lt;contact&gt;&lt;category&gt;0&lt;/category&gt;&lt;person&gt;&lt;realName&gt;SMS Alert, NS (NS)&lt;/realName&gt;&lt;/person&gt;</v>
      </c>
      <c r="B389" s="7" t="str">
        <f t="shared" si="163"/>
        <v>&lt;telephony nid="1"&gt;&lt;number id="0" prio="1" type="work"&gt;4900&lt;/number&gt;&lt;/telephony&gt;</v>
      </c>
      <c r="C389" s="7" t="str">
        <f t="shared" si="164"/>
        <v>&lt;services /&gt;&lt;setup /&gt;&lt;mod_time&gt;1500000010&lt;/mod_time&gt;&lt;uniqueid&gt;1&lt;/uniqueid&gt;&lt;/contact&gt;</v>
      </c>
      <c r="D389" t="str">
        <f t="shared" si="165"/>
        <v>&lt;contact&gt;&lt;category&gt;0&lt;/category&gt;&lt;person&gt;&lt;realName&gt;SMS Alert, NS (NS)&lt;/realName&gt;&lt;/person&gt;</v>
      </c>
      <c r="E389" t="str">
        <f t="shared" si="166"/>
        <v>&lt;telephony nid="1"&gt;&lt;number id="0" prio="1" type="work"&gt;4900&lt;/number&gt;&lt;/telephony&gt;</v>
      </c>
      <c r="F389" t="str">
        <f t="shared" si="167"/>
        <v>&lt;telephony nid="1"&gt;</v>
      </c>
      <c r="G389" t="str">
        <f t="shared" si="168"/>
        <v>&lt;number id="0" prio="1" type="work"&gt;4900&lt;/number&gt;</v>
      </c>
      <c r="H389" t="str">
        <f t="shared" si="169"/>
        <v>&lt;services nid="1"&gt;&lt;email id="0" classifier="private"&gt;&lt;/email&gt;&lt;/services&gt;&lt;setup /&gt;&lt;mod_time&gt;1500000010&lt;/mod_time&gt;&lt;uniqueid&gt;1&lt;/uniqueid&gt;&lt;/contact&gt;</v>
      </c>
      <c r="I389" t="str">
        <f t="shared" si="170"/>
        <v>&lt;services /&gt;&lt;setup /&gt;&lt;mod_time&gt;1500000010&lt;/mod_time&gt;&lt;uniqueid&gt;1&lt;/uniqueid&gt;&lt;/contact&gt;</v>
      </c>
      <c r="J389" t="str">
        <f t="shared" si="171"/>
        <v>&lt;services /&gt;&lt;setup /&gt;&lt;mod_time&gt;1500000010&lt;/mod_time&gt;&lt;uniqueid&gt;1&lt;/uniqueid&gt;&lt;/contact&gt;</v>
      </c>
      <c r="K389" s="5">
        <f t="shared" si="172"/>
        <v>1</v>
      </c>
      <c r="L389" s="5">
        <f t="shared" si="173"/>
        <v>1</v>
      </c>
      <c r="M389" s="5" t="str">
        <f>CONCATENATE(+Contacts!E389)</f>
        <v>4900</v>
      </c>
      <c r="N389" t="str">
        <f t="shared" si="174"/>
        <v/>
      </c>
      <c r="O389" s="5">
        <f t="shared" si="175"/>
        <v>1</v>
      </c>
      <c r="P389" s="5">
        <f t="shared" si="176"/>
        <v>1</v>
      </c>
      <c r="Q389" s="5" t="str">
        <f>CONCATENATE(+Contacts!G389)</f>
        <v/>
      </c>
      <c r="R389" t="str">
        <f t="shared" si="177"/>
        <v/>
      </c>
      <c r="S389" s="5">
        <f t="shared" si="178"/>
        <v>1</v>
      </c>
      <c r="T389" s="5">
        <f t="shared" si="179"/>
        <v>1</v>
      </c>
      <c r="U389" s="5" t="str">
        <f>CONCATENATE(+Contacts!H389)</f>
        <v/>
      </c>
      <c r="V389" t="str">
        <f t="shared" si="180"/>
        <v/>
      </c>
      <c r="W389" s="5">
        <f t="shared" si="181"/>
        <v>1</v>
      </c>
      <c r="X389" s="5">
        <f t="shared" si="182"/>
        <v>1</v>
      </c>
      <c r="Y389" s="5" t="str">
        <f>CONCATENATE(+Contacts!F389)</f>
        <v/>
      </c>
      <c r="Z389" s="2" t="str">
        <f t="shared" si="183"/>
        <v>SMS Alert, NS (NS)</v>
      </c>
      <c r="AA389" s="2" t="str">
        <f>CONCATENATE(+Contacts!C389)</f>
        <v>SMS Alert</v>
      </c>
      <c r="AB389" s="2" t="str">
        <f t="shared" si="184"/>
        <v xml:space="preserve">, </v>
      </c>
      <c r="AC389" s="2" t="str">
        <f>CONCATENATE(+Contacts!A389)</f>
        <v>NS</v>
      </c>
      <c r="AD389" s="3" t="str">
        <f>CONCATENATE(" ",+Contacts!B389)</f>
        <v xml:space="preserve"> </v>
      </c>
      <c r="AE389" s="2" t="str">
        <f t="shared" si="185"/>
        <v>(</v>
      </c>
      <c r="AF389" s="3" t="str">
        <f>CONCATENATE(+Contacts!D389)</f>
        <v>NS</v>
      </c>
      <c r="AG389" s="2" t="str">
        <f t="shared" si="186"/>
        <v>)</v>
      </c>
      <c r="AH389" t="str">
        <f>CONCATENATE(+Contacts!I389)</f>
        <v/>
      </c>
      <c r="AI389">
        <v>1500000010</v>
      </c>
      <c r="AJ389" s="5">
        <f t="shared" si="187"/>
        <v>1</v>
      </c>
    </row>
    <row r="390" spans="1:36" x14ac:dyDescent="0.35">
      <c r="A390" s="7" t="str">
        <f t="shared" si="162"/>
        <v>&lt;contact&gt;&lt;category&gt;0&lt;/category&gt;&lt;person&gt;&lt;realName&gt;Sneevliet, Marco   &lt;/realName&gt;&lt;/person&gt;</v>
      </c>
      <c r="B390" s="7" t="str">
        <f t="shared" si="163"/>
        <v>&lt;telephony nid="1"&gt;&lt;number id="0" prio="1" type="mobile"&gt;+31 613252956&lt;/number&gt;&lt;/telephony&gt;</v>
      </c>
      <c r="C390" s="7" t="str">
        <f t="shared" si="164"/>
        <v>&lt;services nid="1"&gt;&lt;email id="0" classifier="private"&gt;marco.sneevliet@ducere.nl&lt;/email&gt;&lt;/services&gt;&lt;setup /&gt;&lt;mod_time&gt;1500000010&lt;/mod_time&gt;&lt;uniqueid&gt;1&lt;/uniqueid&gt;&lt;/contact&gt;</v>
      </c>
      <c r="D390" t="str">
        <f t="shared" si="165"/>
        <v>&lt;contact&gt;&lt;category&gt;0&lt;/category&gt;&lt;person&gt;&lt;realName&gt;Sneevliet, Marco   &lt;/realName&gt;&lt;/person&gt;</v>
      </c>
      <c r="E390" t="str">
        <f t="shared" si="166"/>
        <v>&lt;telephony nid="1"&gt;&lt;number id="0" prio="1" type="mobile"&gt;+31 613252956&lt;/number&gt;&lt;/telephony&gt;</v>
      </c>
      <c r="F390" t="str">
        <f t="shared" si="167"/>
        <v>&lt;telephony nid="1"&gt;</v>
      </c>
      <c r="G390" t="str">
        <f t="shared" si="168"/>
        <v/>
      </c>
      <c r="H390" t="str">
        <f t="shared" si="169"/>
        <v>&lt;services nid="1"&gt;&lt;email id="0" classifier="private"&gt;marco.sneevliet@ducere.nl&lt;/email&gt;&lt;/services&gt;&lt;setup /&gt;&lt;mod_time&gt;1500000010&lt;/mod_time&gt;&lt;uniqueid&gt;1&lt;/uniqueid&gt;&lt;/contact&gt;</v>
      </c>
      <c r="I390" t="str">
        <f t="shared" si="170"/>
        <v>&lt;services /&gt;&lt;setup /&gt;&lt;mod_time&gt;1500000010&lt;/mod_time&gt;&lt;uniqueid&gt;1&lt;/uniqueid&gt;&lt;/contact&gt;</v>
      </c>
      <c r="J390" t="str">
        <f t="shared" si="171"/>
        <v>&lt;services nid="1"&gt;&lt;email id="0" classifier="private"&gt;marco.sneevliet@ducere.nl&lt;/email&gt;&lt;/services&gt;&lt;setup /&gt;&lt;mod_time&gt;1500000010&lt;/mod_time&gt;&lt;uniqueid&gt;1&lt;/uniqueid&gt;&lt;/contact&gt;</v>
      </c>
      <c r="K390" s="5">
        <f t="shared" si="172"/>
        <v>0</v>
      </c>
      <c r="L390" s="5">
        <f t="shared" si="173"/>
        <v>0</v>
      </c>
      <c r="M390" s="5" t="str">
        <f>CONCATENATE(+Contacts!E390)</f>
        <v/>
      </c>
      <c r="N390" t="str">
        <f t="shared" si="174"/>
        <v/>
      </c>
      <c r="O390" s="5">
        <f t="shared" si="175"/>
        <v>0</v>
      </c>
      <c r="P390" s="5">
        <f t="shared" si="176"/>
        <v>0</v>
      </c>
      <c r="Q390" s="5" t="str">
        <f>CONCATENATE(+Contacts!G390)</f>
        <v/>
      </c>
      <c r="R390" t="str">
        <f t="shared" si="177"/>
        <v>&lt;number id="0" prio="1" type="mobile"&gt;+31 613252956&lt;/number&gt;</v>
      </c>
      <c r="S390" s="5">
        <f t="shared" si="178"/>
        <v>1</v>
      </c>
      <c r="T390" s="5">
        <f t="shared" si="179"/>
        <v>1</v>
      </c>
      <c r="U390" s="5" t="str">
        <f>CONCATENATE(+Contacts!H390)</f>
        <v>+31 613252956</v>
      </c>
      <c r="V390" t="str">
        <f t="shared" si="180"/>
        <v/>
      </c>
      <c r="W390" s="5">
        <f t="shared" si="181"/>
        <v>1</v>
      </c>
      <c r="X390" s="5">
        <f t="shared" si="182"/>
        <v>1</v>
      </c>
      <c r="Y390" s="5" t="str">
        <f>CONCATENATE(+Contacts!F390)</f>
        <v/>
      </c>
      <c r="Z390" s="2" t="str">
        <f t="shared" si="183"/>
        <v xml:space="preserve">Sneevliet, Marco   </v>
      </c>
      <c r="AA390" s="2" t="str">
        <f>CONCATENATE(+Contacts!C390)</f>
        <v>Sneevliet</v>
      </c>
      <c r="AB390" s="2" t="str">
        <f t="shared" si="184"/>
        <v xml:space="preserve">, </v>
      </c>
      <c r="AC390" s="2" t="str">
        <f>CONCATENATE(+Contacts!A390)</f>
        <v>Marco</v>
      </c>
      <c r="AD390" s="3" t="str">
        <f>CONCATENATE(" ",+Contacts!B390)</f>
        <v xml:space="preserve"> </v>
      </c>
      <c r="AE390" s="2" t="str">
        <f t="shared" si="185"/>
        <v xml:space="preserve"> </v>
      </c>
      <c r="AF390" s="3" t="str">
        <f>CONCATENATE(+Contacts!D390)</f>
        <v/>
      </c>
      <c r="AG390" s="2" t="str">
        <f t="shared" si="186"/>
        <v xml:space="preserve"> </v>
      </c>
      <c r="AH390" t="str">
        <f>CONCATENATE(+Contacts!I390)</f>
        <v>marco.sneevliet@ducere.nl</v>
      </c>
      <c r="AI390">
        <v>1500000010</v>
      </c>
      <c r="AJ390" s="5">
        <f t="shared" si="187"/>
        <v>1</v>
      </c>
    </row>
    <row r="391" spans="1:36" x14ac:dyDescent="0.35">
      <c r="A391" s="7" t="str">
        <f t="shared" si="162"/>
        <v>&lt;contact&gt;&lt;category&gt;0&lt;/category&gt;&lt;person&gt;&lt;realName&gt;Snijder, Marion   &lt;/realName&gt;&lt;/person&gt;</v>
      </c>
      <c r="B391" s="7" t="str">
        <f t="shared" si="163"/>
        <v>&lt;telephony nid="2"&gt;&lt;number id="0" prio="1" type="home"&gt;+31 102035222&lt;/number&gt;&lt;number id="1" prio="0" type="mobile"&gt;+31 6 47208435&lt;/number&gt;&lt;/telephony&gt;</v>
      </c>
      <c r="C391" s="7" t="str">
        <f t="shared" si="164"/>
        <v>&lt;services nid="1"&gt;&lt;email id="0" classifier="private"&gt;l&lt;/email&gt;&lt;/services&gt;&lt;setup /&gt;&lt;mod_time&gt;1500000010&lt;/mod_time&gt;&lt;uniqueid&gt;1&lt;/uniqueid&gt;&lt;/contact&gt;</v>
      </c>
      <c r="D391" t="str">
        <f t="shared" si="165"/>
        <v>&lt;contact&gt;&lt;category&gt;0&lt;/category&gt;&lt;person&gt;&lt;realName&gt;Snijder, Marion   &lt;/realName&gt;&lt;/person&gt;</v>
      </c>
      <c r="E391" t="str">
        <f t="shared" si="166"/>
        <v>&lt;telephony nid="2"&gt;&lt;number id="0" prio="1" type="home"&gt;+31 102035222&lt;/number&gt;&lt;number id="1" prio="0" type="mobile"&gt;+31 6 47208435&lt;/number&gt;&lt;/telephony&gt;</v>
      </c>
      <c r="F391" t="str">
        <f t="shared" si="167"/>
        <v>&lt;telephony nid="2"&gt;</v>
      </c>
      <c r="G391" t="str">
        <f t="shared" si="168"/>
        <v/>
      </c>
      <c r="H391" t="str">
        <f t="shared" si="169"/>
        <v>&lt;services nid="1"&gt;&lt;email id="0" classifier="private"&gt;l&lt;/email&gt;&lt;/services&gt;&lt;setup /&gt;&lt;mod_time&gt;1500000010&lt;/mod_time&gt;&lt;uniqueid&gt;1&lt;/uniqueid&gt;&lt;/contact&gt;</v>
      </c>
      <c r="I391" t="str">
        <f t="shared" si="170"/>
        <v>&lt;services /&gt;&lt;setup /&gt;&lt;mod_time&gt;1500000010&lt;/mod_time&gt;&lt;uniqueid&gt;1&lt;/uniqueid&gt;&lt;/contact&gt;</v>
      </c>
      <c r="J391" t="str">
        <f t="shared" si="171"/>
        <v>&lt;services nid="1"&gt;&lt;email id="0" classifier="private"&gt;l&lt;/email&gt;&lt;/services&gt;&lt;setup /&gt;&lt;mod_time&gt;1500000010&lt;/mod_time&gt;&lt;uniqueid&gt;1&lt;/uniqueid&gt;&lt;/contact&gt;</v>
      </c>
      <c r="K391" s="5">
        <f t="shared" si="172"/>
        <v>0</v>
      </c>
      <c r="L391" s="5">
        <f t="shared" si="173"/>
        <v>0</v>
      </c>
      <c r="M391" s="5" t="str">
        <f>CONCATENATE(+Contacts!E391)</f>
        <v/>
      </c>
      <c r="N391" t="str">
        <f t="shared" si="174"/>
        <v>&lt;number id="0" prio="1" type="home"&gt;+31 102035222&lt;/number&gt;</v>
      </c>
      <c r="O391" s="5">
        <f t="shared" si="175"/>
        <v>1</v>
      </c>
      <c r="P391" s="5">
        <f t="shared" si="176"/>
        <v>1</v>
      </c>
      <c r="Q391" s="5" t="str">
        <f>CONCATENATE(+Contacts!G391)</f>
        <v>+31 102035222</v>
      </c>
      <c r="R391" t="str">
        <f t="shared" si="177"/>
        <v>&lt;number id="1" prio="0" type="mobile"&gt;+31 6 47208435&lt;/number&gt;</v>
      </c>
      <c r="S391" s="5">
        <f t="shared" si="178"/>
        <v>2</v>
      </c>
      <c r="T391" s="5">
        <f t="shared" si="179"/>
        <v>0</v>
      </c>
      <c r="U391" s="5" t="str">
        <f>CONCATENATE(+Contacts!H391)</f>
        <v>+31 6 47208435</v>
      </c>
      <c r="V391" t="str">
        <f t="shared" si="180"/>
        <v/>
      </c>
      <c r="W391" s="5">
        <f t="shared" si="181"/>
        <v>2</v>
      </c>
      <c r="X391" s="5">
        <f t="shared" si="182"/>
        <v>0</v>
      </c>
      <c r="Y391" s="5" t="str">
        <f>CONCATENATE(+Contacts!F391)</f>
        <v/>
      </c>
      <c r="Z391" s="2" t="str">
        <f t="shared" si="183"/>
        <v xml:space="preserve">Snijder, Marion   </v>
      </c>
      <c r="AA391" s="2" t="str">
        <f>CONCATENATE(+Contacts!C391)</f>
        <v>Snijder</v>
      </c>
      <c r="AB391" s="2" t="str">
        <f t="shared" si="184"/>
        <v xml:space="preserve">, </v>
      </c>
      <c r="AC391" s="2" t="str">
        <f>CONCATENATE(+Contacts!A391)</f>
        <v>Marion</v>
      </c>
      <c r="AD391" s="3" t="str">
        <f>CONCATENATE(" ",+Contacts!B391)</f>
        <v xml:space="preserve"> </v>
      </c>
      <c r="AE391" s="2" t="str">
        <f t="shared" si="185"/>
        <v xml:space="preserve"> </v>
      </c>
      <c r="AF391" s="3" t="str">
        <f>CONCATENATE(+Contacts!D391)</f>
        <v/>
      </c>
      <c r="AG391" s="2" t="str">
        <f t="shared" si="186"/>
        <v xml:space="preserve"> </v>
      </c>
      <c r="AH391" t="str">
        <f>CONCATENATE(+Contacts!I391)</f>
        <v>l</v>
      </c>
      <c r="AI391">
        <v>1500000010</v>
      </c>
      <c r="AJ391" s="5">
        <f t="shared" si="187"/>
        <v>1</v>
      </c>
    </row>
    <row r="392" spans="1:36" x14ac:dyDescent="0.35">
      <c r="A392" s="7" t="str">
        <f t="shared" si="162"/>
        <v>&lt;contact&gt;&lt;category&gt;0&lt;/category&gt;&lt;person&gt;&lt;realName&gt;Sönmezisik-Van Looijen, Elly   &lt;/realName&gt;&lt;/person&gt;</v>
      </c>
      <c r="B392" s="7" t="str">
        <f t="shared" si="163"/>
        <v>&lt;telephony nid="2"&gt;&lt;number id="0" prio="1" type="home"&gt;+31 104553114&lt;/number&gt;&lt;number id="1" prio="0" type="mobile"&gt;+31 617844002&lt;/number&gt;&lt;/telephony&gt;</v>
      </c>
      <c r="C392" s="7" t="str">
        <f t="shared" si="164"/>
        <v>&lt;services nid="1"&gt;&lt;email id="0" classifier="private"&gt;ellyvanlooijen@telfort.nl&lt;/email&gt;&lt;/services&gt;&lt;setup /&gt;&lt;mod_time&gt;1500000010&lt;/mod_time&gt;&lt;uniqueid&gt;1&lt;/uniqueid&gt;&lt;/contact&gt;</v>
      </c>
      <c r="D392" t="str">
        <f t="shared" si="165"/>
        <v>&lt;contact&gt;&lt;category&gt;0&lt;/category&gt;&lt;person&gt;&lt;realName&gt;Sönmezisik-Van Looijen, Elly   &lt;/realName&gt;&lt;/person&gt;</v>
      </c>
      <c r="E392" t="str">
        <f t="shared" si="166"/>
        <v>&lt;telephony nid="2"&gt;&lt;number id="0" prio="1" type="home"&gt;+31 104553114&lt;/number&gt;&lt;number id="1" prio="0" type="mobile"&gt;+31 617844002&lt;/number&gt;&lt;/telephony&gt;</v>
      </c>
      <c r="F392" t="str">
        <f t="shared" si="167"/>
        <v>&lt;telephony nid="2"&gt;</v>
      </c>
      <c r="G392" t="str">
        <f t="shared" si="168"/>
        <v/>
      </c>
      <c r="H392" t="str">
        <f t="shared" si="169"/>
        <v>&lt;services nid="1"&gt;&lt;email id="0" classifier="private"&gt;ellyvanlooijen@telfort.nl&lt;/email&gt;&lt;/services&gt;&lt;setup /&gt;&lt;mod_time&gt;1500000010&lt;/mod_time&gt;&lt;uniqueid&gt;1&lt;/uniqueid&gt;&lt;/contact&gt;</v>
      </c>
      <c r="I392" t="str">
        <f t="shared" si="170"/>
        <v>&lt;services /&gt;&lt;setup /&gt;&lt;mod_time&gt;1500000010&lt;/mod_time&gt;&lt;uniqueid&gt;1&lt;/uniqueid&gt;&lt;/contact&gt;</v>
      </c>
      <c r="J392" t="str">
        <f t="shared" si="171"/>
        <v>&lt;services nid="1"&gt;&lt;email id="0" classifier="private"&gt;ellyvanlooijen@telfort.nl&lt;/email&gt;&lt;/services&gt;&lt;setup /&gt;&lt;mod_time&gt;1500000010&lt;/mod_time&gt;&lt;uniqueid&gt;1&lt;/uniqueid&gt;&lt;/contact&gt;</v>
      </c>
      <c r="K392" s="5">
        <f t="shared" si="172"/>
        <v>0</v>
      </c>
      <c r="L392" s="5">
        <f t="shared" si="173"/>
        <v>0</v>
      </c>
      <c r="M392" s="5" t="str">
        <f>CONCATENATE(+Contacts!E392)</f>
        <v/>
      </c>
      <c r="N392" t="str">
        <f t="shared" si="174"/>
        <v>&lt;number id="0" prio="1" type="home"&gt;+31 104553114&lt;/number&gt;</v>
      </c>
      <c r="O392" s="5">
        <f t="shared" si="175"/>
        <v>1</v>
      </c>
      <c r="P392" s="5">
        <f t="shared" si="176"/>
        <v>1</v>
      </c>
      <c r="Q392" s="5" t="str">
        <f>CONCATENATE(+Contacts!G392)</f>
        <v>+31 104553114</v>
      </c>
      <c r="R392" t="str">
        <f t="shared" si="177"/>
        <v>&lt;number id="1" prio="0" type="mobile"&gt;+31 617844002&lt;/number&gt;</v>
      </c>
      <c r="S392" s="5">
        <f t="shared" si="178"/>
        <v>2</v>
      </c>
      <c r="T392" s="5">
        <f t="shared" si="179"/>
        <v>0</v>
      </c>
      <c r="U392" s="5" t="str">
        <f>CONCATENATE(+Contacts!H392)</f>
        <v>+31 617844002</v>
      </c>
      <c r="V392" t="str">
        <f t="shared" si="180"/>
        <v/>
      </c>
      <c r="W392" s="5">
        <f t="shared" si="181"/>
        <v>2</v>
      </c>
      <c r="X392" s="5">
        <f t="shared" si="182"/>
        <v>0</v>
      </c>
      <c r="Y392" s="5" t="str">
        <f>CONCATENATE(+Contacts!F392)</f>
        <v/>
      </c>
      <c r="Z392" s="2" t="str">
        <f t="shared" si="183"/>
        <v xml:space="preserve">Sönmezisik-Van Looijen, Elly   </v>
      </c>
      <c r="AA392" s="2" t="str">
        <f>CONCATENATE(+Contacts!C392)</f>
        <v>Sönmezisik-Van Looijen</v>
      </c>
      <c r="AB392" s="2" t="str">
        <f t="shared" si="184"/>
        <v xml:space="preserve">, </v>
      </c>
      <c r="AC392" s="2" t="str">
        <f>CONCATENATE(+Contacts!A392)</f>
        <v>Elly</v>
      </c>
      <c r="AD392" s="3" t="str">
        <f>CONCATENATE(" ",+Contacts!B392)</f>
        <v xml:space="preserve"> </v>
      </c>
      <c r="AE392" s="2" t="str">
        <f t="shared" si="185"/>
        <v xml:space="preserve"> </v>
      </c>
      <c r="AF392" s="3" t="str">
        <f>CONCATENATE(+Contacts!D392)</f>
        <v/>
      </c>
      <c r="AG392" s="2" t="str">
        <f t="shared" si="186"/>
        <v xml:space="preserve"> </v>
      </c>
      <c r="AH392" t="str">
        <f>CONCATENATE(+Contacts!I392)</f>
        <v>ellyvanlooijen@telfort.nl</v>
      </c>
      <c r="AI392">
        <v>1500000010</v>
      </c>
      <c r="AJ392" s="5">
        <f t="shared" si="187"/>
        <v>1</v>
      </c>
    </row>
    <row r="393" spans="1:36" x14ac:dyDescent="0.35">
      <c r="A393" s="7" t="str">
        <f t="shared" si="162"/>
        <v>&lt;contact&gt;&lt;category&gt;0&lt;/category&gt;&lt;person&gt;&lt;realName&gt;Speelman, Arjan   &lt;/realName&gt;&lt;/person&gt;</v>
      </c>
      <c r="B393" s="7" t="str">
        <f t="shared" si="163"/>
        <v>&lt;telephony nid="1"&gt;&lt;number id="0" prio="1" type="mobile"&gt;+31 621127704&lt;/number&gt;&lt;/telephony&gt;</v>
      </c>
      <c r="C393" s="7" t="str">
        <f t="shared" si="164"/>
        <v>&lt;services /&gt;&lt;setup /&gt;&lt;mod_time&gt;1500000010&lt;/mod_time&gt;&lt;uniqueid&gt;1&lt;/uniqueid&gt;&lt;/contact&gt;</v>
      </c>
      <c r="D393" t="str">
        <f t="shared" si="165"/>
        <v>&lt;contact&gt;&lt;category&gt;0&lt;/category&gt;&lt;person&gt;&lt;realName&gt;Speelman, Arjan   &lt;/realName&gt;&lt;/person&gt;</v>
      </c>
      <c r="E393" t="str">
        <f t="shared" si="166"/>
        <v>&lt;telephony nid="1"&gt;&lt;number id="0" prio="1" type="mobile"&gt;+31 621127704&lt;/number&gt;&lt;/telephony&gt;</v>
      </c>
      <c r="F393" t="str">
        <f t="shared" si="167"/>
        <v>&lt;telephony nid="1"&gt;</v>
      </c>
      <c r="G393" t="str">
        <f t="shared" si="168"/>
        <v/>
      </c>
      <c r="H393" t="str">
        <f t="shared" si="169"/>
        <v>&lt;services nid="1"&gt;&lt;email id="0" classifier="private"&gt;&lt;/email&gt;&lt;/services&gt;&lt;setup /&gt;&lt;mod_time&gt;1500000010&lt;/mod_time&gt;&lt;uniqueid&gt;1&lt;/uniqueid&gt;&lt;/contact&gt;</v>
      </c>
      <c r="I393" t="str">
        <f t="shared" si="170"/>
        <v>&lt;services /&gt;&lt;setup /&gt;&lt;mod_time&gt;1500000010&lt;/mod_time&gt;&lt;uniqueid&gt;1&lt;/uniqueid&gt;&lt;/contact&gt;</v>
      </c>
      <c r="J393" t="str">
        <f t="shared" si="171"/>
        <v>&lt;services /&gt;&lt;setup /&gt;&lt;mod_time&gt;1500000010&lt;/mod_time&gt;&lt;uniqueid&gt;1&lt;/uniqueid&gt;&lt;/contact&gt;</v>
      </c>
      <c r="K393" s="5">
        <f t="shared" si="172"/>
        <v>0</v>
      </c>
      <c r="L393" s="5">
        <f t="shared" si="173"/>
        <v>0</v>
      </c>
      <c r="M393" s="5" t="str">
        <f>CONCATENATE(+Contacts!E393)</f>
        <v/>
      </c>
      <c r="N393" t="str">
        <f t="shared" si="174"/>
        <v/>
      </c>
      <c r="O393" s="5">
        <f t="shared" si="175"/>
        <v>0</v>
      </c>
      <c r="P393" s="5">
        <f t="shared" si="176"/>
        <v>0</v>
      </c>
      <c r="Q393" s="5" t="str">
        <f>CONCATENATE(+Contacts!G393)</f>
        <v/>
      </c>
      <c r="R393" t="str">
        <f t="shared" si="177"/>
        <v>&lt;number id="0" prio="1" type="mobile"&gt;+31 621127704&lt;/number&gt;</v>
      </c>
      <c r="S393" s="5">
        <f t="shared" si="178"/>
        <v>1</v>
      </c>
      <c r="T393" s="5">
        <f t="shared" si="179"/>
        <v>1</v>
      </c>
      <c r="U393" s="5" t="str">
        <f>CONCATENATE(+Contacts!H393)</f>
        <v>+31 621127704</v>
      </c>
      <c r="V393" t="str">
        <f t="shared" si="180"/>
        <v/>
      </c>
      <c r="W393" s="5">
        <f t="shared" si="181"/>
        <v>1</v>
      </c>
      <c r="X393" s="5">
        <f t="shared" si="182"/>
        <v>1</v>
      </c>
      <c r="Y393" s="5" t="str">
        <f>CONCATENATE(+Contacts!F393)</f>
        <v/>
      </c>
      <c r="Z393" s="2" t="str">
        <f t="shared" si="183"/>
        <v xml:space="preserve">Speelman, Arjan   </v>
      </c>
      <c r="AA393" s="2" t="str">
        <f>CONCATENATE(+Contacts!C393)</f>
        <v>Speelman</v>
      </c>
      <c r="AB393" s="2" t="str">
        <f t="shared" si="184"/>
        <v xml:space="preserve">, </v>
      </c>
      <c r="AC393" s="2" t="str">
        <f>CONCATENATE(+Contacts!A393)</f>
        <v>Arjan</v>
      </c>
      <c r="AD393" s="3" t="str">
        <f>CONCATENATE(" ",+Contacts!B393)</f>
        <v xml:space="preserve"> </v>
      </c>
      <c r="AE393" s="2" t="str">
        <f t="shared" si="185"/>
        <v xml:space="preserve"> </v>
      </c>
      <c r="AF393" s="3" t="str">
        <f>CONCATENATE(+Contacts!D393)</f>
        <v/>
      </c>
      <c r="AG393" s="2" t="str">
        <f t="shared" si="186"/>
        <v xml:space="preserve"> </v>
      </c>
      <c r="AH393" t="str">
        <f>CONCATENATE(+Contacts!I393)</f>
        <v/>
      </c>
      <c r="AI393">
        <v>1500000010</v>
      </c>
      <c r="AJ393" s="5">
        <f t="shared" si="187"/>
        <v>1</v>
      </c>
    </row>
    <row r="394" spans="1:36" x14ac:dyDescent="0.35">
      <c r="A394" s="7" t="str">
        <f t="shared" si="162"/>
        <v>&lt;contact&gt;&lt;category&gt;0&lt;/category&gt;&lt;person&gt;&lt;realName&gt;Spek, Heleen van der  &lt;/realName&gt;&lt;/person&gt;</v>
      </c>
      <c r="B394" s="7" t="str">
        <f t="shared" si="163"/>
        <v>&lt;telephony nid="2"&gt;&lt;number id="0" prio="1" type="home"&gt;+31 180317669&lt;/number&gt;&lt;number id="1" prio="0" type="mobile"&gt;+31 634 176 088&lt;/number&gt;&lt;/telephony&gt;</v>
      </c>
      <c r="C394" s="7" t="str">
        <f t="shared" si="164"/>
        <v>&lt;services nid="1"&gt;&lt;email id="0" classifier="private"&gt;hmablok@planet.nl&lt;/email&gt;&lt;/services&gt;&lt;setup /&gt;&lt;mod_time&gt;1500000010&lt;/mod_time&gt;&lt;uniqueid&gt;1&lt;/uniqueid&gt;&lt;/contact&gt;</v>
      </c>
      <c r="D394" t="str">
        <f t="shared" si="165"/>
        <v>&lt;contact&gt;&lt;category&gt;0&lt;/category&gt;&lt;person&gt;&lt;realName&gt;Spek, Heleen van der  &lt;/realName&gt;&lt;/person&gt;</v>
      </c>
      <c r="E394" t="str">
        <f t="shared" si="166"/>
        <v>&lt;telephony nid="2"&gt;&lt;number id="0" prio="1" type="home"&gt;+31 180317669&lt;/number&gt;&lt;number id="1" prio="0" type="mobile"&gt;+31 634 176 088&lt;/number&gt;&lt;/telephony&gt;</v>
      </c>
      <c r="F394" t="str">
        <f t="shared" si="167"/>
        <v>&lt;telephony nid="2"&gt;</v>
      </c>
      <c r="G394" t="str">
        <f t="shared" si="168"/>
        <v/>
      </c>
      <c r="H394" t="str">
        <f t="shared" si="169"/>
        <v>&lt;services nid="1"&gt;&lt;email id="0" classifier="private"&gt;hmablok@planet.nl&lt;/email&gt;&lt;/services&gt;&lt;setup /&gt;&lt;mod_time&gt;1500000010&lt;/mod_time&gt;&lt;uniqueid&gt;1&lt;/uniqueid&gt;&lt;/contact&gt;</v>
      </c>
      <c r="I394" t="str">
        <f t="shared" si="170"/>
        <v>&lt;services /&gt;&lt;setup /&gt;&lt;mod_time&gt;1500000010&lt;/mod_time&gt;&lt;uniqueid&gt;1&lt;/uniqueid&gt;&lt;/contact&gt;</v>
      </c>
      <c r="J394" t="str">
        <f t="shared" si="171"/>
        <v>&lt;services nid="1"&gt;&lt;email id="0" classifier="private"&gt;hmablok@planet.nl&lt;/email&gt;&lt;/services&gt;&lt;setup /&gt;&lt;mod_time&gt;1500000010&lt;/mod_time&gt;&lt;uniqueid&gt;1&lt;/uniqueid&gt;&lt;/contact&gt;</v>
      </c>
      <c r="K394" s="5">
        <f t="shared" si="172"/>
        <v>0</v>
      </c>
      <c r="L394" s="5">
        <f t="shared" si="173"/>
        <v>0</v>
      </c>
      <c r="M394" s="5" t="str">
        <f>CONCATENATE(+Contacts!E394)</f>
        <v/>
      </c>
      <c r="N394" t="str">
        <f t="shared" si="174"/>
        <v>&lt;number id="0" prio="1" type="home"&gt;+31 180317669&lt;/number&gt;</v>
      </c>
      <c r="O394" s="5">
        <f t="shared" si="175"/>
        <v>1</v>
      </c>
      <c r="P394" s="5">
        <f t="shared" si="176"/>
        <v>1</v>
      </c>
      <c r="Q394" s="5" t="str">
        <f>CONCATENATE(+Contacts!G394)</f>
        <v>+31 180317669</v>
      </c>
      <c r="R394" t="str">
        <f t="shared" si="177"/>
        <v>&lt;number id="1" prio="0" type="mobile"&gt;+31 634 176 088&lt;/number&gt;</v>
      </c>
      <c r="S394" s="5">
        <f t="shared" si="178"/>
        <v>2</v>
      </c>
      <c r="T394" s="5">
        <f t="shared" si="179"/>
        <v>0</v>
      </c>
      <c r="U394" s="5" t="str">
        <f>CONCATENATE(+Contacts!H394)</f>
        <v>+31 634 176 088</v>
      </c>
      <c r="V394" t="str">
        <f t="shared" si="180"/>
        <v/>
      </c>
      <c r="W394" s="5">
        <f t="shared" si="181"/>
        <v>2</v>
      </c>
      <c r="X394" s="5">
        <f t="shared" si="182"/>
        <v>0</v>
      </c>
      <c r="Y394" s="5" t="str">
        <f>CONCATENATE(+Contacts!F394)</f>
        <v/>
      </c>
      <c r="Z394" s="2" t="str">
        <f t="shared" si="183"/>
        <v xml:space="preserve">Spek, Heleen van der  </v>
      </c>
      <c r="AA394" s="2" t="str">
        <f>CONCATENATE(+Contacts!C394)</f>
        <v>Spek</v>
      </c>
      <c r="AB394" s="2" t="str">
        <f t="shared" si="184"/>
        <v xml:space="preserve">, </v>
      </c>
      <c r="AC394" s="2" t="str">
        <f>CONCATENATE(+Contacts!A394)</f>
        <v>Heleen</v>
      </c>
      <c r="AD394" s="3" t="str">
        <f>CONCATENATE(" ",+Contacts!B394)</f>
        <v xml:space="preserve"> van der</v>
      </c>
      <c r="AE394" s="2" t="str">
        <f t="shared" si="185"/>
        <v xml:space="preserve"> </v>
      </c>
      <c r="AF394" s="3" t="str">
        <f>CONCATENATE(+Contacts!D394)</f>
        <v/>
      </c>
      <c r="AG394" s="2" t="str">
        <f t="shared" si="186"/>
        <v xml:space="preserve"> </v>
      </c>
      <c r="AH394" t="str">
        <f>CONCATENATE(+Contacts!I394)</f>
        <v>hmablok@planet.nl</v>
      </c>
      <c r="AI394">
        <v>1500000010</v>
      </c>
      <c r="AJ394" s="5">
        <f t="shared" si="187"/>
        <v>1</v>
      </c>
    </row>
    <row r="395" spans="1:36" x14ac:dyDescent="0.35">
      <c r="A395" s="7" t="str">
        <f t="shared" si="162"/>
        <v/>
      </c>
      <c r="B395" s="7" t="str">
        <f t="shared" si="163"/>
        <v/>
      </c>
      <c r="C395" s="7" t="str">
        <f t="shared" si="164"/>
        <v/>
      </c>
      <c r="D395" t="str">
        <f t="shared" si="165"/>
        <v>&lt;contact&gt;&lt;category&gt;0&lt;/category&gt;&lt;person&gt;&lt;realName&gt;Spilt, Marco   &lt;/realName&gt;&lt;/person&gt;</v>
      </c>
      <c r="E395" t="str">
        <f t="shared" si="166"/>
        <v>&lt;telephony nid="0"&gt;&lt;/telephony&gt;</v>
      </c>
      <c r="F395" t="str">
        <f t="shared" si="167"/>
        <v>&lt;telephony nid="0"&gt;</v>
      </c>
      <c r="G395" t="str">
        <f t="shared" si="168"/>
        <v/>
      </c>
      <c r="H395" t="str">
        <f t="shared" si="169"/>
        <v>&lt;services nid="1"&gt;&lt;email id="0" classifier="private"&gt;m.spilt@chello.nl&lt;/email&gt;&lt;/services&gt;&lt;setup /&gt;&lt;mod_time&gt;1500000010&lt;/mod_time&gt;&lt;uniqueid&gt;0&lt;/uniqueid&gt;&lt;/contact&gt;</v>
      </c>
      <c r="I395" t="str">
        <f t="shared" si="170"/>
        <v>&lt;services /&gt;&lt;setup /&gt;&lt;mod_time&gt;1500000010&lt;/mod_time&gt;&lt;uniqueid&gt;0&lt;/uniqueid&gt;&lt;/contact&gt;</v>
      </c>
      <c r="J395" t="str">
        <f t="shared" si="171"/>
        <v>&lt;services nid="1"&gt;&lt;email id="0" classifier="private"&gt;m.spilt@chello.nl&lt;/email&gt;&lt;/services&gt;&lt;setup /&gt;&lt;mod_time&gt;1500000010&lt;/mod_time&gt;&lt;uniqueid&gt;0&lt;/uniqueid&gt;&lt;/contact&gt;</v>
      </c>
      <c r="K395" s="5">
        <f t="shared" si="172"/>
        <v>0</v>
      </c>
      <c r="L395" s="5">
        <f t="shared" si="173"/>
        <v>0</v>
      </c>
      <c r="M395" s="5" t="str">
        <f>CONCATENATE(+Contacts!E395)</f>
        <v/>
      </c>
      <c r="N395" t="str">
        <f t="shared" si="174"/>
        <v/>
      </c>
      <c r="O395" s="5">
        <f t="shared" si="175"/>
        <v>0</v>
      </c>
      <c r="P395" s="5">
        <f t="shared" si="176"/>
        <v>0</v>
      </c>
      <c r="Q395" s="5" t="str">
        <f>CONCATENATE(+Contacts!G395)</f>
        <v/>
      </c>
      <c r="R395" t="str">
        <f t="shared" si="177"/>
        <v/>
      </c>
      <c r="S395" s="5">
        <f t="shared" si="178"/>
        <v>0</v>
      </c>
      <c r="T395" s="5">
        <f t="shared" si="179"/>
        <v>0</v>
      </c>
      <c r="U395" s="5" t="str">
        <f>CONCATENATE(+Contacts!H395)</f>
        <v/>
      </c>
      <c r="V395" t="str">
        <f t="shared" si="180"/>
        <v/>
      </c>
      <c r="W395" s="5">
        <f t="shared" si="181"/>
        <v>0</v>
      </c>
      <c r="X395" s="5">
        <f t="shared" si="182"/>
        <v>0</v>
      </c>
      <c r="Y395" s="5" t="str">
        <f>CONCATENATE(+Contacts!F395)</f>
        <v/>
      </c>
      <c r="Z395" s="2" t="str">
        <f t="shared" si="183"/>
        <v xml:space="preserve">Spilt, Marco   </v>
      </c>
      <c r="AA395" s="2" t="str">
        <f>CONCATENATE(+Contacts!C395)</f>
        <v>Spilt</v>
      </c>
      <c r="AB395" s="2" t="str">
        <f t="shared" si="184"/>
        <v xml:space="preserve">, </v>
      </c>
      <c r="AC395" s="2" t="str">
        <f>CONCATENATE(+Contacts!A395)</f>
        <v>Marco</v>
      </c>
      <c r="AD395" s="3" t="str">
        <f>CONCATENATE(" ",+Contacts!B395)</f>
        <v xml:space="preserve"> </v>
      </c>
      <c r="AE395" s="2" t="str">
        <f t="shared" si="185"/>
        <v xml:space="preserve"> </v>
      </c>
      <c r="AF395" s="3" t="str">
        <f>CONCATENATE(+Contacts!D395)</f>
        <v/>
      </c>
      <c r="AG395" s="2" t="str">
        <f t="shared" si="186"/>
        <v xml:space="preserve"> </v>
      </c>
      <c r="AH395" t="str">
        <f>CONCATENATE(+Contacts!I395)</f>
        <v>m.spilt@chello.nl</v>
      </c>
      <c r="AI395">
        <v>1500000010</v>
      </c>
      <c r="AJ395" s="5">
        <f t="shared" si="187"/>
        <v>0</v>
      </c>
    </row>
    <row r="396" spans="1:36" x14ac:dyDescent="0.35">
      <c r="A396" s="7" t="str">
        <f t="shared" si="162"/>
        <v/>
      </c>
      <c r="B396" s="7" t="str">
        <f t="shared" si="163"/>
        <v/>
      </c>
      <c r="C396" s="7" t="str">
        <f t="shared" si="164"/>
        <v/>
      </c>
      <c r="D396" t="str">
        <f t="shared" si="165"/>
        <v>&lt;contact&gt;&lt;category&gt;0&lt;/category&gt;&lt;person&gt;&lt;realName&gt;Staal, Ian   &lt;/realName&gt;&lt;/person&gt;</v>
      </c>
      <c r="E396" t="str">
        <f t="shared" si="166"/>
        <v>&lt;telephony nid="0"&gt;&lt;/telephony&gt;</v>
      </c>
      <c r="F396" t="str">
        <f t="shared" si="167"/>
        <v>&lt;telephony nid="0"&gt;</v>
      </c>
      <c r="G396" t="str">
        <f t="shared" si="168"/>
        <v/>
      </c>
      <c r="H396" t="str">
        <f t="shared" si="169"/>
        <v>&lt;services nid="1"&gt;&lt;email id="0" classifier="private"&gt;i_staal@hotmail.com&lt;/email&gt;&lt;/services&gt;&lt;setup /&gt;&lt;mod_time&gt;1500000010&lt;/mod_time&gt;&lt;uniqueid&gt;0&lt;/uniqueid&gt;&lt;/contact&gt;</v>
      </c>
      <c r="I396" t="str">
        <f t="shared" si="170"/>
        <v>&lt;services /&gt;&lt;setup /&gt;&lt;mod_time&gt;1500000010&lt;/mod_time&gt;&lt;uniqueid&gt;0&lt;/uniqueid&gt;&lt;/contact&gt;</v>
      </c>
      <c r="J396" t="str">
        <f t="shared" si="171"/>
        <v>&lt;services nid="1"&gt;&lt;email id="0" classifier="private"&gt;i_staal@hotmail.com&lt;/email&gt;&lt;/services&gt;&lt;setup /&gt;&lt;mod_time&gt;1500000010&lt;/mod_time&gt;&lt;uniqueid&gt;0&lt;/uniqueid&gt;&lt;/contact&gt;</v>
      </c>
      <c r="K396" s="5">
        <f t="shared" si="172"/>
        <v>0</v>
      </c>
      <c r="L396" s="5">
        <f t="shared" si="173"/>
        <v>0</v>
      </c>
      <c r="M396" s="5" t="str">
        <f>CONCATENATE(+Contacts!E396)</f>
        <v/>
      </c>
      <c r="N396" t="str">
        <f t="shared" si="174"/>
        <v/>
      </c>
      <c r="O396" s="5">
        <f t="shared" si="175"/>
        <v>0</v>
      </c>
      <c r="P396" s="5">
        <f t="shared" si="176"/>
        <v>0</v>
      </c>
      <c r="Q396" s="5" t="str">
        <f>CONCATENATE(+Contacts!G396)</f>
        <v/>
      </c>
      <c r="R396" t="str">
        <f t="shared" si="177"/>
        <v/>
      </c>
      <c r="S396" s="5">
        <f t="shared" si="178"/>
        <v>0</v>
      </c>
      <c r="T396" s="5">
        <f t="shared" si="179"/>
        <v>0</v>
      </c>
      <c r="U396" s="5" t="str">
        <f>CONCATENATE(+Contacts!H396)</f>
        <v/>
      </c>
      <c r="V396" t="str">
        <f t="shared" si="180"/>
        <v/>
      </c>
      <c r="W396" s="5">
        <f t="shared" si="181"/>
        <v>0</v>
      </c>
      <c r="X396" s="5">
        <f t="shared" si="182"/>
        <v>0</v>
      </c>
      <c r="Y396" s="5" t="str">
        <f>CONCATENATE(+Contacts!F396)</f>
        <v/>
      </c>
      <c r="Z396" s="2" t="str">
        <f t="shared" si="183"/>
        <v xml:space="preserve">Staal, Ian   </v>
      </c>
      <c r="AA396" s="2" t="str">
        <f>CONCATENATE(+Contacts!C396)</f>
        <v>Staal</v>
      </c>
      <c r="AB396" s="2" t="str">
        <f t="shared" si="184"/>
        <v xml:space="preserve">, </v>
      </c>
      <c r="AC396" s="2" t="str">
        <f>CONCATENATE(+Contacts!A396)</f>
        <v>Ian</v>
      </c>
      <c r="AD396" s="3" t="str">
        <f>CONCATENATE(" ",+Contacts!B396)</f>
        <v xml:space="preserve"> </v>
      </c>
      <c r="AE396" s="2" t="str">
        <f t="shared" si="185"/>
        <v xml:space="preserve"> </v>
      </c>
      <c r="AF396" s="3" t="str">
        <f>CONCATENATE(+Contacts!D396)</f>
        <v/>
      </c>
      <c r="AG396" s="2" t="str">
        <f t="shared" si="186"/>
        <v xml:space="preserve"> </v>
      </c>
      <c r="AH396" t="str">
        <f>CONCATENATE(+Contacts!I396)</f>
        <v>i_staal@hotmail.com</v>
      </c>
      <c r="AI396">
        <v>1500000010</v>
      </c>
      <c r="AJ396" s="5">
        <f t="shared" si="187"/>
        <v>0</v>
      </c>
    </row>
    <row r="397" spans="1:36" x14ac:dyDescent="0.35">
      <c r="A397" s="7" t="str">
        <f t="shared" si="162"/>
        <v/>
      </c>
      <c r="B397" s="7" t="str">
        <f t="shared" si="163"/>
        <v/>
      </c>
      <c r="C397" s="7" t="str">
        <f t="shared" si="164"/>
        <v/>
      </c>
      <c r="D397" t="str">
        <f t="shared" si="165"/>
        <v>&lt;contact&gt;&lt;category&gt;0&lt;/category&gt;&lt;person&gt;&lt;realName&gt;Steens, Dorrit   &lt;/realName&gt;&lt;/person&gt;</v>
      </c>
      <c r="E397" t="str">
        <f t="shared" si="166"/>
        <v>&lt;telephony nid="0"&gt;&lt;/telephony&gt;</v>
      </c>
      <c r="F397" t="str">
        <f t="shared" si="167"/>
        <v>&lt;telephony nid="0"&gt;</v>
      </c>
      <c r="G397" t="str">
        <f t="shared" si="168"/>
        <v/>
      </c>
      <c r="H397" t="str">
        <f t="shared" si="169"/>
        <v>&lt;services nid="1"&gt;&lt;email id="0" classifier="private"&gt;dorritsteens@planet.nl&lt;/email&gt;&lt;/services&gt;&lt;setup /&gt;&lt;mod_time&gt;1500000010&lt;/mod_time&gt;&lt;uniqueid&gt;0&lt;/uniqueid&gt;&lt;/contact&gt;</v>
      </c>
      <c r="I397" t="str">
        <f t="shared" si="170"/>
        <v>&lt;services /&gt;&lt;setup /&gt;&lt;mod_time&gt;1500000010&lt;/mod_time&gt;&lt;uniqueid&gt;0&lt;/uniqueid&gt;&lt;/contact&gt;</v>
      </c>
      <c r="J397" t="str">
        <f t="shared" si="171"/>
        <v>&lt;services nid="1"&gt;&lt;email id="0" classifier="private"&gt;dorritsteens@planet.nl&lt;/email&gt;&lt;/services&gt;&lt;setup /&gt;&lt;mod_time&gt;1500000010&lt;/mod_time&gt;&lt;uniqueid&gt;0&lt;/uniqueid&gt;&lt;/contact&gt;</v>
      </c>
      <c r="K397" s="5">
        <f t="shared" si="172"/>
        <v>0</v>
      </c>
      <c r="L397" s="5">
        <f t="shared" si="173"/>
        <v>0</v>
      </c>
      <c r="M397" s="5" t="str">
        <f>CONCATENATE(+Contacts!E397)</f>
        <v/>
      </c>
      <c r="N397" t="str">
        <f t="shared" si="174"/>
        <v/>
      </c>
      <c r="O397" s="5">
        <f t="shared" si="175"/>
        <v>0</v>
      </c>
      <c r="P397" s="5">
        <f t="shared" si="176"/>
        <v>0</v>
      </c>
      <c r="Q397" s="5" t="str">
        <f>CONCATENATE(+Contacts!G397)</f>
        <v/>
      </c>
      <c r="R397" t="str">
        <f t="shared" si="177"/>
        <v/>
      </c>
      <c r="S397" s="5">
        <f t="shared" si="178"/>
        <v>0</v>
      </c>
      <c r="T397" s="5">
        <f t="shared" si="179"/>
        <v>0</v>
      </c>
      <c r="U397" s="5" t="str">
        <f>CONCATENATE(+Contacts!H397)</f>
        <v/>
      </c>
      <c r="V397" t="str">
        <f t="shared" si="180"/>
        <v/>
      </c>
      <c r="W397" s="5">
        <f t="shared" si="181"/>
        <v>0</v>
      </c>
      <c r="X397" s="5">
        <f t="shared" si="182"/>
        <v>0</v>
      </c>
      <c r="Y397" s="5" t="str">
        <f>CONCATENATE(+Contacts!F397)</f>
        <v/>
      </c>
      <c r="Z397" s="2" t="str">
        <f t="shared" si="183"/>
        <v xml:space="preserve">Steens, Dorrit   </v>
      </c>
      <c r="AA397" s="2" t="str">
        <f>CONCATENATE(+Contacts!C397)</f>
        <v>Steens</v>
      </c>
      <c r="AB397" s="2" t="str">
        <f t="shared" si="184"/>
        <v xml:space="preserve">, </v>
      </c>
      <c r="AC397" s="2" t="str">
        <f>CONCATENATE(+Contacts!A397)</f>
        <v>Dorrit</v>
      </c>
      <c r="AD397" s="3" t="str">
        <f>CONCATENATE(" ",+Contacts!B397)</f>
        <v xml:space="preserve"> </v>
      </c>
      <c r="AE397" s="2" t="str">
        <f t="shared" si="185"/>
        <v xml:space="preserve"> </v>
      </c>
      <c r="AF397" s="3" t="str">
        <f>CONCATENATE(+Contacts!D397)</f>
        <v/>
      </c>
      <c r="AG397" s="2" t="str">
        <f t="shared" si="186"/>
        <v xml:space="preserve"> </v>
      </c>
      <c r="AH397" t="str">
        <f>CONCATENATE(+Contacts!I397)</f>
        <v>dorritsteens@planet.nl</v>
      </c>
      <c r="AI397">
        <v>1500000010</v>
      </c>
      <c r="AJ397" s="5">
        <f t="shared" si="187"/>
        <v>0</v>
      </c>
    </row>
    <row r="398" spans="1:36" x14ac:dyDescent="0.35">
      <c r="A398" s="7" t="str">
        <f t="shared" si="162"/>
        <v>&lt;contact&gt;&lt;category&gt;0&lt;/category&gt;&lt;person&gt;&lt;realName&gt;Sterk, Robin   &lt;/realName&gt;&lt;/person&gt;</v>
      </c>
      <c r="B398" s="7" t="str">
        <f t="shared" si="163"/>
        <v>&lt;telephony nid="1"&gt;&lt;number id="0" prio="1" type="mobile"&gt;31646366608&lt;/number&gt;&lt;/telephony&gt;</v>
      </c>
      <c r="C398" s="7" t="str">
        <f t="shared" si="164"/>
        <v>&lt;services nid="1"&gt;&lt;email id="0" classifier="private"&gt;robin.sterk@outlook.com&lt;/email&gt;&lt;/services&gt;&lt;setup /&gt;&lt;mod_time&gt;1500000010&lt;/mod_time&gt;&lt;uniqueid&gt;1&lt;/uniqueid&gt;&lt;/contact&gt;</v>
      </c>
      <c r="D398" t="str">
        <f t="shared" si="165"/>
        <v>&lt;contact&gt;&lt;category&gt;0&lt;/category&gt;&lt;person&gt;&lt;realName&gt;Sterk, Robin   &lt;/realName&gt;&lt;/person&gt;</v>
      </c>
      <c r="E398" t="str">
        <f t="shared" si="166"/>
        <v>&lt;telephony nid="1"&gt;&lt;number id="0" prio="1" type="mobile"&gt;31646366608&lt;/number&gt;&lt;/telephony&gt;</v>
      </c>
      <c r="F398" t="str">
        <f t="shared" si="167"/>
        <v>&lt;telephony nid="1"&gt;</v>
      </c>
      <c r="G398" t="str">
        <f t="shared" si="168"/>
        <v/>
      </c>
      <c r="H398" t="str">
        <f t="shared" si="169"/>
        <v>&lt;services nid="1"&gt;&lt;email id="0" classifier="private"&gt;robin.sterk@outlook.com&lt;/email&gt;&lt;/services&gt;&lt;setup /&gt;&lt;mod_time&gt;1500000010&lt;/mod_time&gt;&lt;uniqueid&gt;1&lt;/uniqueid&gt;&lt;/contact&gt;</v>
      </c>
      <c r="I398" t="str">
        <f t="shared" si="170"/>
        <v>&lt;services /&gt;&lt;setup /&gt;&lt;mod_time&gt;1500000010&lt;/mod_time&gt;&lt;uniqueid&gt;1&lt;/uniqueid&gt;&lt;/contact&gt;</v>
      </c>
      <c r="J398" t="str">
        <f t="shared" si="171"/>
        <v>&lt;services nid="1"&gt;&lt;email id="0" classifier="private"&gt;robin.sterk@outlook.com&lt;/email&gt;&lt;/services&gt;&lt;setup /&gt;&lt;mod_time&gt;1500000010&lt;/mod_time&gt;&lt;uniqueid&gt;1&lt;/uniqueid&gt;&lt;/contact&gt;</v>
      </c>
      <c r="K398" s="5">
        <f t="shared" si="172"/>
        <v>0</v>
      </c>
      <c r="L398" s="5">
        <f t="shared" si="173"/>
        <v>0</v>
      </c>
      <c r="M398" s="5" t="str">
        <f>CONCATENATE(+Contacts!E398)</f>
        <v/>
      </c>
      <c r="N398" t="str">
        <f t="shared" si="174"/>
        <v/>
      </c>
      <c r="O398" s="5">
        <f t="shared" si="175"/>
        <v>0</v>
      </c>
      <c r="P398" s="5">
        <f t="shared" si="176"/>
        <v>0</v>
      </c>
      <c r="Q398" s="5" t="str">
        <f>CONCATENATE(+Contacts!G398)</f>
        <v/>
      </c>
      <c r="R398" t="str">
        <f t="shared" si="177"/>
        <v>&lt;number id="0" prio="1" type="mobile"&gt;31646366608&lt;/number&gt;</v>
      </c>
      <c r="S398" s="5">
        <f t="shared" si="178"/>
        <v>1</v>
      </c>
      <c r="T398" s="5">
        <f t="shared" si="179"/>
        <v>1</v>
      </c>
      <c r="U398" s="5" t="str">
        <f>CONCATENATE(+Contacts!H398)</f>
        <v>31646366608</v>
      </c>
      <c r="V398" t="str">
        <f t="shared" si="180"/>
        <v/>
      </c>
      <c r="W398" s="5">
        <f t="shared" si="181"/>
        <v>1</v>
      </c>
      <c r="X398" s="5">
        <f t="shared" si="182"/>
        <v>1</v>
      </c>
      <c r="Y398" s="5" t="str">
        <f>CONCATENATE(+Contacts!F398)</f>
        <v/>
      </c>
      <c r="Z398" s="2" t="str">
        <f t="shared" si="183"/>
        <v xml:space="preserve">Sterk, Robin   </v>
      </c>
      <c r="AA398" s="2" t="str">
        <f>CONCATENATE(+Contacts!C398)</f>
        <v>Sterk</v>
      </c>
      <c r="AB398" s="2" t="str">
        <f t="shared" si="184"/>
        <v xml:space="preserve">, </v>
      </c>
      <c r="AC398" s="2" t="str">
        <f>CONCATENATE(+Contacts!A398)</f>
        <v>Robin</v>
      </c>
      <c r="AD398" s="3" t="str">
        <f>CONCATENATE(" ",+Contacts!B398)</f>
        <v xml:space="preserve"> </v>
      </c>
      <c r="AE398" s="2" t="str">
        <f t="shared" si="185"/>
        <v xml:space="preserve"> </v>
      </c>
      <c r="AF398" s="3" t="str">
        <f>CONCATENATE(+Contacts!D398)</f>
        <v/>
      </c>
      <c r="AG398" s="2" t="str">
        <f t="shared" si="186"/>
        <v xml:space="preserve"> </v>
      </c>
      <c r="AH398" t="str">
        <f>CONCATENATE(+Contacts!I398)</f>
        <v>robin.sterk@outlook.com</v>
      </c>
      <c r="AI398">
        <v>1500000010</v>
      </c>
      <c r="AJ398" s="5">
        <f t="shared" si="187"/>
        <v>1</v>
      </c>
    </row>
    <row r="399" spans="1:36" x14ac:dyDescent="0.35">
      <c r="A399" s="7" t="str">
        <f t="shared" si="162"/>
        <v>&lt;contact&gt;&lt;category&gt;0&lt;/category&gt;&lt;person&gt;&lt;realName&gt;Stichting Museumkaart    &lt;/realName&gt;&lt;/person&gt;</v>
      </c>
      <c r="B399" s="7" t="str">
        <f t="shared" si="163"/>
        <v>&lt;telephony nid="1"&gt;&lt;number id="0" prio="1" type="work"&gt;0900 4040910&lt;/number&gt;&lt;/telephony&gt;</v>
      </c>
      <c r="C399" s="7" t="str">
        <f t="shared" si="164"/>
        <v>&lt;services /&gt;&lt;setup /&gt;&lt;mod_time&gt;1500000010&lt;/mod_time&gt;&lt;uniqueid&gt;1&lt;/uniqueid&gt;&lt;/contact&gt;</v>
      </c>
      <c r="D399" t="str">
        <f t="shared" si="165"/>
        <v>&lt;contact&gt;&lt;category&gt;0&lt;/category&gt;&lt;person&gt;&lt;realName&gt;Stichting Museumkaart    &lt;/realName&gt;&lt;/person&gt;</v>
      </c>
      <c r="E399" t="str">
        <f t="shared" si="166"/>
        <v>&lt;telephony nid="1"&gt;&lt;number id="0" prio="1" type="work"&gt;0900 4040910&lt;/number&gt;&lt;/telephony&gt;</v>
      </c>
      <c r="F399" t="str">
        <f t="shared" si="167"/>
        <v>&lt;telephony nid="1"&gt;</v>
      </c>
      <c r="G399" t="str">
        <f t="shared" si="168"/>
        <v>&lt;number id="0" prio="1" type="work"&gt;0900 4040910&lt;/number&gt;</v>
      </c>
      <c r="H399" t="str">
        <f t="shared" si="169"/>
        <v>&lt;services nid="1"&gt;&lt;email id="0" classifier="private"&gt;&lt;/email&gt;&lt;/services&gt;&lt;setup /&gt;&lt;mod_time&gt;1500000010&lt;/mod_time&gt;&lt;uniqueid&gt;1&lt;/uniqueid&gt;&lt;/contact&gt;</v>
      </c>
      <c r="I399" t="str">
        <f t="shared" si="170"/>
        <v>&lt;services /&gt;&lt;setup /&gt;&lt;mod_time&gt;1500000010&lt;/mod_time&gt;&lt;uniqueid&gt;1&lt;/uniqueid&gt;&lt;/contact&gt;</v>
      </c>
      <c r="J399" t="str">
        <f t="shared" si="171"/>
        <v>&lt;services /&gt;&lt;setup /&gt;&lt;mod_time&gt;1500000010&lt;/mod_time&gt;&lt;uniqueid&gt;1&lt;/uniqueid&gt;&lt;/contact&gt;</v>
      </c>
      <c r="K399" s="5">
        <f t="shared" si="172"/>
        <v>1</v>
      </c>
      <c r="L399" s="5">
        <f t="shared" si="173"/>
        <v>1</v>
      </c>
      <c r="M399" s="5" t="str">
        <f>CONCATENATE(+Contacts!E399)</f>
        <v>0900 4040910</v>
      </c>
      <c r="N399" t="str">
        <f t="shared" si="174"/>
        <v/>
      </c>
      <c r="O399" s="5">
        <f t="shared" si="175"/>
        <v>1</v>
      </c>
      <c r="P399" s="5">
        <f t="shared" si="176"/>
        <v>1</v>
      </c>
      <c r="Q399" s="5" t="str">
        <f>CONCATENATE(+Contacts!G399)</f>
        <v/>
      </c>
      <c r="R399" t="str">
        <f t="shared" si="177"/>
        <v/>
      </c>
      <c r="S399" s="5">
        <f t="shared" si="178"/>
        <v>1</v>
      </c>
      <c r="T399" s="5">
        <f t="shared" si="179"/>
        <v>1</v>
      </c>
      <c r="U399" s="5" t="str">
        <f>CONCATENATE(+Contacts!H399)</f>
        <v/>
      </c>
      <c r="V399" t="str">
        <f t="shared" si="180"/>
        <v/>
      </c>
      <c r="W399" s="5">
        <f t="shared" si="181"/>
        <v>1</v>
      </c>
      <c r="X399" s="5">
        <f t="shared" si="182"/>
        <v>1</v>
      </c>
      <c r="Y399" s="5" t="str">
        <f>CONCATENATE(+Contacts!F399)</f>
        <v/>
      </c>
      <c r="Z399" s="2" t="str">
        <f t="shared" si="183"/>
        <v xml:space="preserve">Stichting Museumkaart    </v>
      </c>
      <c r="AA399" s="2" t="str">
        <f>CONCATENATE(+Contacts!C399)</f>
        <v>Stichting Museumkaart</v>
      </c>
      <c r="AB399" s="2" t="str">
        <f t="shared" si="184"/>
        <v xml:space="preserve"> </v>
      </c>
      <c r="AC399" s="2" t="str">
        <f>CONCATENATE(+Contacts!A399)</f>
        <v/>
      </c>
      <c r="AD399" s="3" t="str">
        <f>CONCATENATE(" ",+Contacts!B399)</f>
        <v xml:space="preserve"> </v>
      </c>
      <c r="AE399" s="2" t="str">
        <f t="shared" si="185"/>
        <v xml:space="preserve"> </v>
      </c>
      <c r="AF399" s="3" t="str">
        <f>CONCATENATE(+Contacts!D399)</f>
        <v/>
      </c>
      <c r="AG399" s="2" t="str">
        <f t="shared" si="186"/>
        <v xml:space="preserve"> </v>
      </c>
      <c r="AH399" t="str">
        <f>CONCATENATE(+Contacts!I399)</f>
        <v/>
      </c>
      <c r="AI399">
        <v>1500000010</v>
      </c>
      <c r="AJ399" s="5">
        <f t="shared" si="187"/>
        <v>1</v>
      </c>
    </row>
    <row r="400" spans="1:36" x14ac:dyDescent="0.35">
      <c r="A400" s="7" t="str">
        <f t="shared" si="162"/>
        <v>&lt;contact&gt;&lt;category&gt;0&lt;/category&gt;&lt;person&gt;&lt;realName&gt;Stook, Rob   &lt;/realName&gt;&lt;/person&gt;</v>
      </c>
      <c r="B400" s="7" t="str">
        <f t="shared" si="163"/>
        <v>&lt;telephony nid="1"&gt;&lt;number id="0" prio="1" type="mobile"&gt;+31 644272148&lt;/number&gt;&lt;/telephony&gt;</v>
      </c>
      <c r="C400" s="7" t="str">
        <f t="shared" si="164"/>
        <v>&lt;services nid="1"&gt;&lt;email id="0" classifier="private"&gt;rwstook@gmail.com&lt;/email&gt;&lt;/services&gt;&lt;setup /&gt;&lt;mod_time&gt;1500000010&lt;/mod_time&gt;&lt;uniqueid&gt;1&lt;/uniqueid&gt;&lt;/contact&gt;</v>
      </c>
      <c r="D400" t="str">
        <f t="shared" si="165"/>
        <v>&lt;contact&gt;&lt;category&gt;0&lt;/category&gt;&lt;person&gt;&lt;realName&gt;Stook, Rob   &lt;/realName&gt;&lt;/person&gt;</v>
      </c>
      <c r="E400" t="str">
        <f t="shared" si="166"/>
        <v>&lt;telephony nid="1"&gt;&lt;number id="0" prio="1" type="mobile"&gt;+31 644272148&lt;/number&gt;&lt;/telephony&gt;</v>
      </c>
      <c r="F400" t="str">
        <f t="shared" si="167"/>
        <v>&lt;telephony nid="1"&gt;</v>
      </c>
      <c r="G400" t="str">
        <f t="shared" si="168"/>
        <v/>
      </c>
      <c r="H400" t="str">
        <f t="shared" si="169"/>
        <v>&lt;services nid="1"&gt;&lt;email id="0" classifier="private"&gt;rwstook@gmail.com&lt;/email&gt;&lt;/services&gt;&lt;setup /&gt;&lt;mod_time&gt;1500000010&lt;/mod_time&gt;&lt;uniqueid&gt;1&lt;/uniqueid&gt;&lt;/contact&gt;</v>
      </c>
      <c r="I400" t="str">
        <f t="shared" si="170"/>
        <v>&lt;services /&gt;&lt;setup /&gt;&lt;mod_time&gt;1500000010&lt;/mod_time&gt;&lt;uniqueid&gt;1&lt;/uniqueid&gt;&lt;/contact&gt;</v>
      </c>
      <c r="J400" t="str">
        <f t="shared" si="171"/>
        <v>&lt;services nid="1"&gt;&lt;email id="0" classifier="private"&gt;rwstook@gmail.com&lt;/email&gt;&lt;/services&gt;&lt;setup /&gt;&lt;mod_time&gt;1500000010&lt;/mod_time&gt;&lt;uniqueid&gt;1&lt;/uniqueid&gt;&lt;/contact&gt;</v>
      </c>
      <c r="K400" s="5">
        <f t="shared" si="172"/>
        <v>0</v>
      </c>
      <c r="L400" s="5">
        <f t="shared" si="173"/>
        <v>0</v>
      </c>
      <c r="M400" s="5" t="str">
        <f>CONCATENATE(+Contacts!E400)</f>
        <v/>
      </c>
      <c r="N400" t="str">
        <f t="shared" si="174"/>
        <v/>
      </c>
      <c r="O400" s="5">
        <f t="shared" si="175"/>
        <v>0</v>
      </c>
      <c r="P400" s="5">
        <f t="shared" si="176"/>
        <v>0</v>
      </c>
      <c r="Q400" s="5" t="str">
        <f>CONCATENATE(+Contacts!G400)</f>
        <v/>
      </c>
      <c r="R400" t="str">
        <f t="shared" si="177"/>
        <v>&lt;number id="0" prio="1" type="mobile"&gt;+31 644272148&lt;/number&gt;</v>
      </c>
      <c r="S400" s="5">
        <f t="shared" si="178"/>
        <v>1</v>
      </c>
      <c r="T400" s="5">
        <f t="shared" si="179"/>
        <v>1</v>
      </c>
      <c r="U400" s="5" t="str">
        <f>CONCATENATE(+Contacts!H400)</f>
        <v>+31 644272148</v>
      </c>
      <c r="V400" t="str">
        <f t="shared" si="180"/>
        <v/>
      </c>
      <c r="W400" s="5">
        <f t="shared" si="181"/>
        <v>1</v>
      </c>
      <c r="X400" s="5">
        <f t="shared" si="182"/>
        <v>1</v>
      </c>
      <c r="Y400" s="5" t="str">
        <f>CONCATENATE(+Contacts!F400)</f>
        <v/>
      </c>
      <c r="Z400" s="2" t="str">
        <f t="shared" si="183"/>
        <v xml:space="preserve">Stook, Rob   </v>
      </c>
      <c r="AA400" s="2" t="str">
        <f>CONCATENATE(+Contacts!C400)</f>
        <v>Stook</v>
      </c>
      <c r="AB400" s="2" t="str">
        <f t="shared" si="184"/>
        <v xml:space="preserve">, </v>
      </c>
      <c r="AC400" s="2" t="str">
        <f>CONCATENATE(+Contacts!A400)</f>
        <v>Rob</v>
      </c>
      <c r="AD400" s="3" t="str">
        <f>CONCATENATE(" ",+Contacts!B400)</f>
        <v xml:space="preserve"> </v>
      </c>
      <c r="AE400" s="2" t="str">
        <f t="shared" si="185"/>
        <v xml:space="preserve"> </v>
      </c>
      <c r="AF400" s="3" t="str">
        <f>CONCATENATE(+Contacts!D400)</f>
        <v/>
      </c>
      <c r="AG400" s="2" t="str">
        <f t="shared" si="186"/>
        <v xml:space="preserve"> </v>
      </c>
      <c r="AH400" t="str">
        <f>CONCATENATE(+Contacts!I400)</f>
        <v>rwstook@gmail.com</v>
      </c>
      <c r="AI400">
        <v>1500000010</v>
      </c>
      <c r="AJ400" s="5">
        <f t="shared" si="187"/>
        <v>1</v>
      </c>
    </row>
    <row r="401" spans="1:36" x14ac:dyDescent="0.35">
      <c r="A401" s="7" t="str">
        <f t="shared" si="162"/>
        <v>&lt;contact&gt;&lt;category&gt;0&lt;/category&gt;&lt;person&gt;&lt;realName&gt;Storm, Hetty   &lt;/realName&gt;&lt;/person&gt;</v>
      </c>
      <c r="B401" s="7" t="str">
        <f t="shared" si="163"/>
        <v>&lt;telephony nid="2"&gt;&lt;number id="0" prio="1" type="home"&gt;+31 104209524&lt;/number&gt;&lt;number id="1" prio="0" type="mobile"&gt;+31 624757696&lt;/number&gt;&lt;/telephony&gt;</v>
      </c>
      <c r="C401" s="7" t="str">
        <f t="shared" si="164"/>
        <v>&lt;services nid="1"&gt;&lt;email id="0" classifier="private"&gt;hetty@hoedstorm.nl&lt;/email&gt;&lt;/services&gt;&lt;setup /&gt;&lt;mod_time&gt;1500000010&lt;/mod_time&gt;&lt;uniqueid&gt;1&lt;/uniqueid&gt;&lt;/contact&gt;</v>
      </c>
      <c r="D401" t="str">
        <f t="shared" si="165"/>
        <v>&lt;contact&gt;&lt;category&gt;0&lt;/category&gt;&lt;person&gt;&lt;realName&gt;Storm, Hetty   &lt;/realName&gt;&lt;/person&gt;</v>
      </c>
      <c r="E401" t="str">
        <f t="shared" si="166"/>
        <v>&lt;telephony nid="2"&gt;&lt;number id="0" prio="1" type="home"&gt;+31 104209524&lt;/number&gt;&lt;number id="1" prio="0" type="mobile"&gt;+31 624757696&lt;/number&gt;&lt;/telephony&gt;</v>
      </c>
      <c r="F401" t="str">
        <f t="shared" si="167"/>
        <v>&lt;telephony nid="2"&gt;</v>
      </c>
      <c r="G401" t="str">
        <f t="shared" si="168"/>
        <v/>
      </c>
      <c r="H401" t="str">
        <f t="shared" si="169"/>
        <v>&lt;services nid="1"&gt;&lt;email id="0" classifier="private"&gt;hetty@hoedstorm.nl&lt;/email&gt;&lt;/services&gt;&lt;setup /&gt;&lt;mod_time&gt;1500000010&lt;/mod_time&gt;&lt;uniqueid&gt;1&lt;/uniqueid&gt;&lt;/contact&gt;</v>
      </c>
      <c r="I401" t="str">
        <f t="shared" si="170"/>
        <v>&lt;services /&gt;&lt;setup /&gt;&lt;mod_time&gt;1500000010&lt;/mod_time&gt;&lt;uniqueid&gt;1&lt;/uniqueid&gt;&lt;/contact&gt;</v>
      </c>
      <c r="J401" t="str">
        <f t="shared" si="171"/>
        <v>&lt;services nid="1"&gt;&lt;email id="0" classifier="private"&gt;hetty@hoedstorm.nl&lt;/email&gt;&lt;/services&gt;&lt;setup /&gt;&lt;mod_time&gt;1500000010&lt;/mod_time&gt;&lt;uniqueid&gt;1&lt;/uniqueid&gt;&lt;/contact&gt;</v>
      </c>
      <c r="K401" s="5">
        <f t="shared" si="172"/>
        <v>0</v>
      </c>
      <c r="L401" s="5">
        <f t="shared" si="173"/>
        <v>0</v>
      </c>
      <c r="M401" s="5" t="str">
        <f>CONCATENATE(+Contacts!E401)</f>
        <v/>
      </c>
      <c r="N401" t="str">
        <f t="shared" si="174"/>
        <v>&lt;number id="0" prio="1" type="home"&gt;+31 104209524&lt;/number&gt;</v>
      </c>
      <c r="O401" s="5">
        <f t="shared" si="175"/>
        <v>1</v>
      </c>
      <c r="P401" s="5">
        <f t="shared" si="176"/>
        <v>1</v>
      </c>
      <c r="Q401" s="5" t="str">
        <f>CONCATENATE(+Contacts!G401)</f>
        <v>+31 104209524</v>
      </c>
      <c r="R401" t="str">
        <f t="shared" si="177"/>
        <v>&lt;number id="1" prio="0" type="mobile"&gt;+31 624757696&lt;/number&gt;</v>
      </c>
      <c r="S401" s="5">
        <f t="shared" si="178"/>
        <v>2</v>
      </c>
      <c r="T401" s="5">
        <f t="shared" si="179"/>
        <v>0</v>
      </c>
      <c r="U401" s="5" t="str">
        <f>CONCATENATE(+Contacts!H401)</f>
        <v>+31 624757696</v>
      </c>
      <c r="V401" t="str">
        <f t="shared" si="180"/>
        <v/>
      </c>
      <c r="W401" s="5">
        <f t="shared" si="181"/>
        <v>2</v>
      </c>
      <c r="X401" s="5">
        <f t="shared" si="182"/>
        <v>0</v>
      </c>
      <c r="Y401" s="5" t="str">
        <f>CONCATENATE(+Contacts!F401)</f>
        <v/>
      </c>
      <c r="Z401" s="2" t="str">
        <f t="shared" si="183"/>
        <v xml:space="preserve">Storm, Hetty   </v>
      </c>
      <c r="AA401" s="2" t="str">
        <f>CONCATENATE(+Contacts!C401)</f>
        <v>Storm</v>
      </c>
      <c r="AB401" s="2" t="str">
        <f t="shared" si="184"/>
        <v xml:space="preserve">, </v>
      </c>
      <c r="AC401" s="2" t="str">
        <f>CONCATENATE(+Contacts!A401)</f>
        <v>Hetty</v>
      </c>
      <c r="AD401" s="3" t="str">
        <f>CONCATENATE(" ",+Contacts!B401)</f>
        <v xml:space="preserve"> </v>
      </c>
      <c r="AE401" s="2" t="str">
        <f t="shared" si="185"/>
        <v xml:space="preserve"> </v>
      </c>
      <c r="AF401" s="3" t="str">
        <f>CONCATENATE(+Contacts!D401)</f>
        <v/>
      </c>
      <c r="AG401" s="2" t="str">
        <f t="shared" si="186"/>
        <v xml:space="preserve"> </v>
      </c>
      <c r="AH401" t="str">
        <f>CONCATENATE(+Contacts!I401)</f>
        <v>hetty@hoedstorm.nl</v>
      </c>
      <c r="AI401">
        <v>1500000010</v>
      </c>
      <c r="AJ401" s="5">
        <f t="shared" si="187"/>
        <v>1</v>
      </c>
    </row>
    <row r="402" spans="1:36" x14ac:dyDescent="0.35">
      <c r="A402" s="7" t="str">
        <f t="shared" si="162"/>
        <v>&lt;contact&gt;&lt;category&gt;0&lt;/category&gt;&lt;person&gt;&lt;realName&gt;Storm, Pim   &lt;/realName&gt;&lt;/person&gt;</v>
      </c>
      <c r="B402" s="7" t="str">
        <f t="shared" si="163"/>
        <v>&lt;telephony nid="2"&gt;&lt;number id="0" prio="1" type="home"&gt;+31 104157790&lt;/number&gt;&lt;number id="1" prio="0" type="mobile"&gt;+31 619605872&lt;/number&gt;&lt;/telephony&gt;</v>
      </c>
      <c r="C402" s="7" t="str">
        <f t="shared" si="164"/>
        <v>&lt;services nid="1"&gt;&lt;email id="0" classifier="private"&gt;pimstorm@kpnplanet.nl&lt;/email&gt;&lt;/services&gt;&lt;setup /&gt;&lt;mod_time&gt;1500000010&lt;/mod_time&gt;&lt;uniqueid&gt;1&lt;/uniqueid&gt;&lt;/contact&gt;</v>
      </c>
      <c r="D402" t="str">
        <f t="shared" si="165"/>
        <v>&lt;contact&gt;&lt;category&gt;0&lt;/category&gt;&lt;person&gt;&lt;realName&gt;Storm, Pim   &lt;/realName&gt;&lt;/person&gt;</v>
      </c>
      <c r="E402" t="str">
        <f t="shared" si="166"/>
        <v>&lt;telephony nid="2"&gt;&lt;number id="0" prio="1" type="home"&gt;+31 104157790&lt;/number&gt;&lt;number id="1" prio="0" type="mobile"&gt;+31 619605872&lt;/number&gt;&lt;/telephony&gt;</v>
      </c>
      <c r="F402" t="str">
        <f t="shared" si="167"/>
        <v>&lt;telephony nid="2"&gt;</v>
      </c>
      <c r="G402" t="str">
        <f t="shared" si="168"/>
        <v/>
      </c>
      <c r="H402" t="str">
        <f t="shared" si="169"/>
        <v>&lt;services nid="1"&gt;&lt;email id="0" classifier="private"&gt;pimstorm@kpnplanet.nl&lt;/email&gt;&lt;/services&gt;&lt;setup /&gt;&lt;mod_time&gt;1500000010&lt;/mod_time&gt;&lt;uniqueid&gt;1&lt;/uniqueid&gt;&lt;/contact&gt;</v>
      </c>
      <c r="I402" t="str">
        <f t="shared" si="170"/>
        <v>&lt;services /&gt;&lt;setup /&gt;&lt;mod_time&gt;1500000010&lt;/mod_time&gt;&lt;uniqueid&gt;1&lt;/uniqueid&gt;&lt;/contact&gt;</v>
      </c>
      <c r="J402" t="str">
        <f t="shared" si="171"/>
        <v>&lt;services nid="1"&gt;&lt;email id="0" classifier="private"&gt;pimstorm@kpnplanet.nl&lt;/email&gt;&lt;/services&gt;&lt;setup /&gt;&lt;mod_time&gt;1500000010&lt;/mod_time&gt;&lt;uniqueid&gt;1&lt;/uniqueid&gt;&lt;/contact&gt;</v>
      </c>
      <c r="K402" s="5">
        <f t="shared" si="172"/>
        <v>0</v>
      </c>
      <c r="L402" s="5">
        <f t="shared" si="173"/>
        <v>0</v>
      </c>
      <c r="M402" s="5" t="str">
        <f>CONCATENATE(+Contacts!E402)</f>
        <v/>
      </c>
      <c r="N402" t="str">
        <f t="shared" si="174"/>
        <v>&lt;number id="0" prio="1" type="home"&gt;+31 104157790&lt;/number&gt;</v>
      </c>
      <c r="O402" s="5">
        <f t="shared" si="175"/>
        <v>1</v>
      </c>
      <c r="P402" s="5">
        <f t="shared" si="176"/>
        <v>1</v>
      </c>
      <c r="Q402" s="5" t="str">
        <f>CONCATENATE(+Contacts!G402)</f>
        <v>+31 104157790</v>
      </c>
      <c r="R402" t="str">
        <f t="shared" si="177"/>
        <v>&lt;number id="1" prio="0" type="mobile"&gt;+31 619605872&lt;/number&gt;</v>
      </c>
      <c r="S402" s="5">
        <f t="shared" si="178"/>
        <v>2</v>
      </c>
      <c r="T402" s="5">
        <f t="shared" si="179"/>
        <v>0</v>
      </c>
      <c r="U402" s="5" t="str">
        <f>CONCATENATE(+Contacts!H402)</f>
        <v>+31 619605872</v>
      </c>
      <c r="V402" t="str">
        <f t="shared" si="180"/>
        <v/>
      </c>
      <c r="W402" s="5">
        <f t="shared" si="181"/>
        <v>2</v>
      </c>
      <c r="X402" s="5">
        <f t="shared" si="182"/>
        <v>0</v>
      </c>
      <c r="Y402" s="5" t="str">
        <f>CONCATENATE(+Contacts!F402)</f>
        <v/>
      </c>
      <c r="Z402" s="2" t="str">
        <f t="shared" si="183"/>
        <v xml:space="preserve">Storm, Pim   </v>
      </c>
      <c r="AA402" s="2" t="str">
        <f>CONCATENATE(+Contacts!C402)</f>
        <v>Storm</v>
      </c>
      <c r="AB402" s="2" t="str">
        <f t="shared" si="184"/>
        <v xml:space="preserve">, </v>
      </c>
      <c r="AC402" s="2" t="str">
        <f>CONCATENATE(+Contacts!A402)</f>
        <v>Pim</v>
      </c>
      <c r="AD402" s="3" t="str">
        <f>CONCATENATE(" ",+Contacts!B402)</f>
        <v xml:space="preserve"> </v>
      </c>
      <c r="AE402" s="2" t="str">
        <f t="shared" si="185"/>
        <v xml:space="preserve"> </v>
      </c>
      <c r="AF402" s="3" t="str">
        <f>CONCATENATE(+Contacts!D402)</f>
        <v/>
      </c>
      <c r="AG402" s="2" t="str">
        <f t="shared" si="186"/>
        <v xml:space="preserve"> </v>
      </c>
      <c r="AH402" t="str">
        <f>CONCATENATE(+Contacts!I402)</f>
        <v>pimstorm@kpnplanet.nl</v>
      </c>
      <c r="AI402">
        <v>1500000010</v>
      </c>
      <c r="AJ402" s="5">
        <f t="shared" si="187"/>
        <v>1</v>
      </c>
    </row>
    <row r="403" spans="1:36" x14ac:dyDescent="0.35">
      <c r="A403" s="7" t="str">
        <f t="shared" si="162"/>
        <v>&lt;contact&gt;&lt;category&gt;0&lt;/category&gt;&lt;person&gt;&lt;realName&gt;Storm, Rik   &lt;/realName&gt;&lt;/person&gt;</v>
      </c>
      <c r="B403" s="7" t="str">
        <f t="shared" si="163"/>
        <v>&lt;telephony nid="2"&gt;&lt;number id="0" prio="1" type="home"&gt;+31 104157790&lt;/number&gt;&lt;number id="1" prio="0" type="mobile"&gt;+31 626150335&lt;/number&gt;&lt;/telephony&gt;</v>
      </c>
      <c r="C403" s="7" t="str">
        <f t="shared" si="164"/>
        <v>&lt;services nid="1"&gt;&lt;email id="0" classifier="private"&gt;rikstorm@kpnplanet.nl&lt;/email&gt;&lt;/services&gt;&lt;setup /&gt;&lt;mod_time&gt;1500000010&lt;/mod_time&gt;&lt;uniqueid&gt;1&lt;/uniqueid&gt;&lt;/contact&gt;</v>
      </c>
      <c r="D403" t="str">
        <f t="shared" si="165"/>
        <v>&lt;contact&gt;&lt;category&gt;0&lt;/category&gt;&lt;person&gt;&lt;realName&gt;Storm, Rik   &lt;/realName&gt;&lt;/person&gt;</v>
      </c>
      <c r="E403" t="str">
        <f t="shared" si="166"/>
        <v>&lt;telephony nid="2"&gt;&lt;number id="0" prio="1" type="home"&gt;+31 104157790&lt;/number&gt;&lt;number id="1" prio="0" type="mobile"&gt;+31 626150335&lt;/number&gt;&lt;/telephony&gt;</v>
      </c>
      <c r="F403" t="str">
        <f t="shared" si="167"/>
        <v>&lt;telephony nid="2"&gt;</v>
      </c>
      <c r="G403" t="str">
        <f t="shared" si="168"/>
        <v/>
      </c>
      <c r="H403" t="str">
        <f t="shared" si="169"/>
        <v>&lt;services nid="1"&gt;&lt;email id="0" classifier="private"&gt;rikstorm@kpnplanet.nl&lt;/email&gt;&lt;/services&gt;&lt;setup /&gt;&lt;mod_time&gt;1500000010&lt;/mod_time&gt;&lt;uniqueid&gt;1&lt;/uniqueid&gt;&lt;/contact&gt;</v>
      </c>
      <c r="I403" t="str">
        <f t="shared" si="170"/>
        <v>&lt;services /&gt;&lt;setup /&gt;&lt;mod_time&gt;1500000010&lt;/mod_time&gt;&lt;uniqueid&gt;1&lt;/uniqueid&gt;&lt;/contact&gt;</v>
      </c>
      <c r="J403" t="str">
        <f t="shared" si="171"/>
        <v>&lt;services nid="1"&gt;&lt;email id="0" classifier="private"&gt;rikstorm@kpnplanet.nl&lt;/email&gt;&lt;/services&gt;&lt;setup /&gt;&lt;mod_time&gt;1500000010&lt;/mod_time&gt;&lt;uniqueid&gt;1&lt;/uniqueid&gt;&lt;/contact&gt;</v>
      </c>
      <c r="K403" s="5">
        <f t="shared" si="172"/>
        <v>0</v>
      </c>
      <c r="L403" s="5">
        <f t="shared" si="173"/>
        <v>0</v>
      </c>
      <c r="M403" s="5" t="str">
        <f>CONCATENATE(+Contacts!E403)</f>
        <v/>
      </c>
      <c r="N403" t="str">
        <f t="shared" si="174"/>
        <v>&lt;number id="0" prio="1" type="home"&gt;+31 104157790&lt;/number&gt;</v>
      </c>
      <c r="O403" s="5">
        <f t="shared" si="175"/>
        <v>1</v>
      </c>
      <c r="P403" s="5">
        <f t="shared" si="176"/>
        <v>1</v>
      </c>
      <c r="Q403" s="5" t="str">
        <f>CONCATENATE(+Contacts!G403)</f>
        <v>+31 104157790</v>
      </c>
      <c r="R403" t="str">
        <f t="shared" si="177"/>
        <v>&lt;number id="1" prio="0" type="mobile"&gt;+31 626150335&lt;/number&gt;</v>
      </c>
      <c r="S403" s="5">
        <f t="shared" si="178"/>
        <v>2</v>
      </c>
      <c r="T403" s="5">
        <f t="shared" si="179"/>
        <v>0</v>
      </c>
      <c r="U403" s="5" t="str">
        <f>CONCATENATE(+Contacts!H403)</f>
        <v>+31 626150335</v>
      </c>
      <c r="V403" t="str">
        <f t="shared" si="180"/>
        <v/>
      </c>
      <c r="W403" s="5">
        <f t="shared" si="181"/>
        <v>2</v>
      </c>
      <c r="X403" s="5">
        <f t="shared" si="182"/>
        <v>0</v>
      </c>
      <c r="Y403" s="5" t="str">
        <f>CONCATENATE(+Contacts!F403)</f>
        <v/>
      </c>
      <c r="Z403" s="2" t="str">
        <f t="shared" si="183"/>
        <v xml:space="preserve">Storm, Rik   </v>
      </c>
      <c r="AA403" s="2" t="str">
        <f>CONCATENATE(+Contacts!C403)</f>
        <v>Storm</v>
      </c>
      <c r="AB403" s="2" t="str">
        <f t="shared" si="184"/>
        <v xml:space="preserve">, </v>
      </c>
      <c r="AC403" s="2" t="str">
        <f>CONCATENATE(+Contacts!A403)</f>
        <v>Rik</v>
      </c>
      <c r="AD403" s="3" t="str">
        <f>CONCATENATE(" ",+Contacts!B403)</f>
        <v xml:space="preserve"> </v>
      </c>
      <c r="AE403" s="2" t="str">
        <f t="shared" si="185"/>
        <v xml:space="preserve"> </v>
      </c>
      <c r="AF403" s="3" t="str">
        <f>CONCATENATE(+Contacts!D403)</f>
        <v/>
      </c>
      <c r="AG403" s="2" t="str">
        <f t="shared" si="186"/>
        <v xml:space="preserve"> </v>
      </c>
      <c r="AH403" t="str">
        <f>CONCATENATE(+Contacts!I403)</f>
        <v>rikstorm@kpnplanet.nl</v>
      </c>
      <c r="AI403">
        <v>1500000010</v>
      </c>
      <c r="AJ403" s="5">
        <f t="shared" si="187"/>
        <v>1</v>
      </c>
    </row>
    <row r="404" spans="1:36" x14ac:dyDescent="0.35">
      <c r="A404" s="7" t="str">
        <f t="shared" si="162"/>
        <v>&lt;contact&gt;&lt;category&gt;0&lt;/category&gt;&lt;person&gt;&lt;realName&gt;Streefkerk, Atie   &lt;/realName&gt;&lt;/person&gt;</v>
      </c>
      <c r="B404" s="7" t="str">
        <f t="shared" si="163"/>
        <v>&lt;telephony nid="1"&gt;&lt;number id="0" prio="1" type="home"&gt;+31 104212284&lt;/number&gt;&lt;/telephony&gt;</v>
      </c>
      <c r="C404" s="7" t="str">
        <f t="shared" si="164"/>
        <v>&lt;services nid="1"&gt;&lt;email id="0" classifier="private"&gt;amstreefkerk@icloud.com&lt;/email&gt;&lt;/services&gt;&lt;setup /&gt;&lt;mod_time&gt;1500000010&lt;/mod_time&gt;&lt;uniqueid&gt;1&lt;/uniqueid&gt;&lt;/contact&gt;</v>
      </c>
      <c r="D404" t="str">
        <f t="shared" si="165"/>
        <v>&lt;contact&gt;&lt;category&gt;0&lt;/category&gt;&lt;person&gt;&lt;realName&gt;Streefkerk, Atie   &lt;/realName&gt;&lt;/person&gt;</v>
      </c>
      <c r="E404" t="str">
        <f t="shared" si="166"/>
        <v>&lt;telephony nid="1"&gt;&lt;number id="0" prio="1" type="home"&gt;+31 104212284&lt;/number&gt;&lt;/telephony&gt;</v>
      </c>
      <c r="F404" t="str">
        <f t="shared" si="167"/>
        <v>&lt;telephony nid="1"&gt;</v>
      </c>
      <c r="G404" t="str">
        <f t="shared" si="168"/>
        <v/>
      </c>
      <c r="H404" t="str">
        <f t="shared" si="169"/>
        <v>&lt;services nid="1"&gt;&lt;email id="0" classifier="private"&gt;amstreefkerk@icloud.com&lt;/email&gt;&lt;/services&gt;&lt;setup /&gt;&lt;mod_time&gt;1500000010&lt;/mod_time&gt;&lt;uniqueid&gt;1&lt;/uniqueid&gt;&lt;/contact&gt;</v>
      </c>
      <c r="I404" t="str">
        <f t="shared" si="170"/>
        <v>&lt;services /&gt;&lt;setup /&gt;&lt;mod_time&gt;1500000010&lt;/mod_time&gt;&lt;uniqueid&gt;1&lt;/uniqueid&gt;&lt;/contact&gt;</v>
      </c>
      <c r="J404" t="str">
        <f t="shared" si="171"/>
        <v>&lt;services nid="1"&gt;&lt;email id="0" classifier="private"&gt;amstreefkerk@icloud.com&lt;/email&gt;&lt;/services&gt;&lt;setup /&gt;&lt;mod_time&gt;1500000010&lt;/mod_time&gt;&lt;uniqueid&gt;1&lt;/uniqueid&gt;&lt;/contact&gt;</v>
      </c>
      <c r="K404" s="5">
        <f t="shared" si="172"/>
        <v>0</v>
      </c>
      <c r="L404" s="5">
        <f t="shared" si="173"/>
        <v>0</v>
      </c>
      <c r="M404" s="5" t="str">
        <f>CONCATENATE(+Contacts!E404)</f>
        <v/>
      </c>
      <c r="N404" t="str">
        <f t="shared" si="174"/>
        <v>&lt;number id="0" prio="1" type="home"&gt;+31 104212284&lt;/number&gt;</v>
      </c>
      <c r="O404" s="5">
        <f t="shared" si="175"/>
        <v>1</v>
      </c>
      <c r="P404" s="5">
        <f t="shared" si="176"/>
        <v>1</v>
      </c>
      <c r="Q404" s="5" t="str">
        <f>CONCATENATE(+Contacts!G404)</f>
        <v>+31 104212284</v>
      </c>
      <c r="R404" t="str">
        <f t="shared" si="177"/>
        <v/>
      </c>
      <c r="S404" s="5">
        <f t="shared" si="178"/>
        <v>1</v>
      </c>
      <c r="T404" s="5">
        <f t="shared" si="179"/>
        <v>1</v>
      </c>
      <c r="U404" s="5" t="str">
        <f>CONCATENATE(+Contacts!H404)</f>
        <v/>
      </c>
      <c r="V404" t="str">
        <f t="shared" si="180"/>
        <v/>
      </c>
      <c r="W404" s="5">
        <f t="shared" si="181"/>
        <v>1</v>
      </c>
      <c r="X404" s="5">
        <f t="shared" si="182"/>
        <v>1</v>
      </c>
      <c r="Y404" s="5" t="str">
        <f>CONCATENATE(+Contacts!F404)</f>
        <v/>
      </c>
      <c r="Z404" s="2" t="str">
        <f t="shared" si="183"/>
        <v xml:space="preserve">Streefkerk, Atie   </v>
      </c>
      <c r="AA404" s="2" t="str">
        <f>CONCATENATE(+Contacts!C404)</f>
        <v>Streefkerk</v>
      </c>
      <c r="AB404" s="2" t="str">
        <f t="shared" si="184"/>
        <v xml:space="preserve">, </v>
      </c>
      <c r="AC404" s="2" t="str">
        <f>CONCATENATE(+Contacts!A404)</f>
        <v>Atie</v>
      </c>
      <c r="AD404" s="3" t="str">
        <f>CONCATENATE(" ",+Contacts!B404)</f>
        <v xml:space="preserve"> </v>
      </c>
      <c r="AE404" s="2" t="str">
        <f t="shared" si="185"/>
        <v xml:space="preserve"> </v>
      </c>
      <c r="AF404" s="3" t="str">
        <f>CONCATENATE(+Contacts!D404)</f>
        <v/>
      </c>
      <c r="AG404" s="2" t="str">
        <f t="shared" si="186"/>
        <v xml:space="preserve"> </v>
      </c>
      <c r="AH404" t="str">
        <f>CONCATENATE(+Contacts!I404)</f>
        <v>amstreefkerk@icloud.com</v>
      </c>
      <c r="AI404">
        <v>1500000010</v>
      </c>
      <c r="AJ404" s="5">
        <f t="shared" si="187"/>
        <v>1</v>
      </c>
    </row>
    <row r="405" spans="1:36" x14ac:dyDescent="0.35">
      <c r="A405" s="7" t="str">
        <f t="shared" si="162"/>
        <v>&lt;contact&gt;&lt;category&gt;0&lt;/category&gt;&lt;person&gt;&lt;realName&gt;, Stukadoor Calvin    &lt;/realName&gt;&lt;/person&gt;</v>
      </c>
      <c r="B405" s="7" t="str">
        <f t="shared" si="163"/>
        <v>&lt;telephony nid="1"&gt;&lt;number id="0" prio="1" type="mobile"&gt;+31 6 23 05 50 39&lt;/number&gt;&lt;/telephony&gt;</v>
      </c>
      <c r="C405" s="7" t="str">
        <f t="shared" si="164"/>
        <v>&lt;services /&gt;&lt;setup /&gt;&lt;mod_time&gt;1500000010&lt;/mod_time&gt;&lt;uniqueid&gt;1&lt;/uniqueid&gt;&lt;/contact&gt;</v>
      </c>
      <c r="D405" t="str">
        <f t="shared" si="165"/>
        <v>&lt;contact&gt;&lt;category&gt;0&lt;/category&gt;&lt;person&gt;&lt;realName&gt;, Stukadoor Calvin    &lt;/realName&gt;&lt;/person&gt;</v>
      </c>
      <c r="E405" t="str">
        <f t="shared" si="166"/>
        <v>&lt;telephony nid="1"&gt;&lt;number id="0" prio="1" type="mobile"&gt;+31 6 23 05 50 39&lt;/number&gt;&lt;/telephony&gt;</v>
      </c>
      <c r="F405" t="str">
        <f t="shared" si="167"/>
        <v>&lt;telephony nid="1"&gt;</v>
      </c>
      <c r="G405" t="str">
        <f t="shared" si="168"/>
        <v/>
      </c>
      <c r="H405" t="str">
        <f t="shared" si="169"/>
        <v>&lt;services nid="1"&gt;&lt;email id="0" classifier="private"&gt;&lt;/email&gt;&lt;/services&gt;&lt;setup /&gt;&lt;mod_time&gt;1500000010&lt;/mod_time&gt;&lt;uniqueid&gt;1&lt;/uniqueid&gt;&lt;/contact&gt;</v>
      </c>
      <c r="I405" t="str">
        <f t="shared" si="170"/>
        <v>&lt;services /&gt;&lt;setup /&gt;&lt;mod_time&gt;1500000010&lt;/mod_time&gt;&lt;uniqueid&gt;1&lt;/uniqueid&gt;&lt;/contact&gt;</v>
      </c>
      <c r="J405" t="str">
        <f t="shared" si="171"/>
        <v>&lt;services /&gt;&lt;setup /&gt;&lt;mod_time&gt;1500000010&lt;/mod_time&gt;&lt;uniqueid&gt;1&lt;/uniqueid&gt;&lt;/contact&gt;</v>
      </c>
      <c r="K405" s="5">
        <f t="shared" si="172"/>
        <v>0</v>
      </c>
      <c r="L405" s="5">
        <f t="shared" si="173"/>
        <v>0</v>
      </c>
      <c r="M405" s="5" t="str">
        <f>CONCATENATE(+Contacts!E405)</f>
        <v/>
      </c>
      <c r="N405" t="str">
        <f t="shared" si="174"/>
        <v/>
      </c>
      <c r="O405" s="5">
        <f t="shared" si="175"/>
        <v>0</v>
      </c>
      <c r="P405" s="5">
        <f t="shared" si="176"/>
        <v>0</v>
      </c>
      <c r="Q405" s="5" t="str">
        <f>CONCATENATE(+Contacts!G405)</f>
        <v/>
      </c>
      <c r="R405" t="str">
        <f t="shared" si="177"/>
        <v>&lt;number id="0" prio="1" type="mobile"&gt;+31 6 23 05 50 39&lt;/number&gt;</v>
      </c>
      <c r="S405" s="5">
        <f t="shared" si="178"/>
        <v>1</v>
      </c>
      <c r="T405" s="5">
        <f t="shared" si="179"/>
        <v>1</v>
      </c>
      <c r="U405" s="5" t="str">
        <f>CONCATENATE(+Contacts!H405)</f>
        <v>+31 6 23 05 50 39</v>
      </c>
      <c r="V405" t="str">
        <f t="shared" si="180"/>
        <v/>
      </c>
      <c r="W405" s="5">
        <f t="shared" si="181"/>
        <v>1</v>
      </c>
      <c r="X405" s="5">
        <f t="shared" si="182"/>
        <v>1</v>
      </c>
      <c r="Y405" s="5" t="str">
        <f>CONCATENATE(+Contacts!F405)</f>
        <v/>
      </c>
      <c r="Z405" s="2" t="str">
        <f t="shared" si="183"/>
        <v xml:space="preserve">, Stukadoor Calvin    </v>
      </c>
      <c r="AA405" s="2" t="str">
        <f>CONCATENATE(+Contacts!C405)</f>
        <v/>
      </c>
      <c r="AB405" s="2" t="str">
        <f t="shared" si="184"/>
        <v xml:space="preserve">, </v>
      </c>
      <c r="AC405" s="2" t="str">
        <f>CONCATENATE(+Contacts!A405)</f>
        <v xml:space="preserve">Stukadoor Calvin </v>
      </c>
      <c r="AD405" s="3" t="str">
        <f>CONCATENATE(" ",+Contacts!B405)</f>
        <v xml:space="preserve"> </v>
      </c>
      <c r="AE405" s="2" t="str">
        <f t="shared" si="185"/>
        <v xml:space="preserve"> </v>
      </c>
      <c r="AF405" s="3" t="str">
        <f>CONCATENATE(+Contacts!D405)</f>
        <v/>
      </c>
      <c r="AG405" s="2" t="str">
        <f t="shared" si="186"/>
        <v xml:space="preserve"> </v>
      </c>
      <c r="AH405" t="str">
        <f>CONCATENATE(+Contacts!I405)</f>
        <v/>
      </c>
      <c r="AI405">
        <v>1500000010</v>
      </c>
      <c r="AJ405" s="5">
        <f t="shared" si="187"/>
        <v>1</v>
      </c>
    </row>
    <row r="406" spans="1:36" x14ac:dyDescent="0.35">
      <c r="A406" s="7" t="str">
        <f t="shared" si="162"/>
        <v>&lt;contact&gt;&lt;category&gt;0&lt;/category&gt;&lt;person&gt;&lt;realName&gt;Swanborn, Jean (Optiek)&lt;/realName&gt;&lt;/person&gt;</v>
      </c>
      <c r="B406" s="7" t="str">
        <f t="shared" si="163"/>
        <v>&lt;telephony nid="1"&gt;&lt;number id="0" prio="1" type="work"&gt;+31 104205334&lt;/number&gt;&lt;/telephony&gt;</v>
      </c>
      <c r="C406" s="7" t="str">
        <f t="shared" si="164"/>
        <v>&lt;services /&gt;&lt;setup /&gt;&lt;mod_time&gt;1500000010&lt;/mod_time&gt;&lt;uniqueid&gt;1&lt;/uniqueid&gt;&lt;/contact&gt;</v>
      </c>
      <c r="D406" t="str">
        <f t="shared" si="165"/>
        <v>&lt;contact&gt;&lt;category&gt;0&lt;/category&gt;&lt;person&gt;&lt;realName&gt;Swanborn, Jean (Optiek)&lt;/realName&gt;&lt;/person&gt;</v>
      </c>
      <c r="E406" t="str">
        <f t="shared" si="166"/>
        <v>&lt;telephony nid="1"&gt;&lt;number id="0" prio="1" type="work"&gt;+31 104205334&lt;/number&gt;&lt;/telephony&gt;</v>
      </c>
      <c r="F406" t="str">
        <f t="shared" si="167"/>
        <v>&lt;telephony nid="1"&gt;</v>
      </c>
      <c r="G406" t="str">
        <f t="shared" si="168"/>
        <v>&lt;number id="0" prio="1" type="work"&gt;+31 104205334&lt;/number&gt;</v>
      </c>
      <c r="H406" t="str">
        <f t="shared" si="169"/>
        <v>&lt;services nid="1"&gt;&lt;email id="0" classifier="private"&gt;&lt;/email&gt;&lt;/services&gt;&lt;setup /&gt;&lt;mod_time&gt;1500000010&lt;/mod_time&gt;&lt;uniqueid&gt;1&lt;/uniqueid&gt;&lt;/contact&gt;</v>
      </c>
      <c r="I406" t="str">
        <f t="shared" si="170"/>
        <v>&lt;services /&gt;&lt;setup /&gt;&lt;mod_time&gt;1500000010&lt;/mod_time&gt;&lt;uniqueid&gt;1&lt;/uniqueid&gt;&lt;/contact&gt;</v>
      </c>
      <c r="J406" t="str">
        <f t="shared" si="171"/>
        <v>&lt;services /&gt;&lt;setup /&gt;&lt;mod_time&gt;1500000010&lt;/mod_time&gt;&lt;uniqueid&gt;1&lt;/uniqueid&gt;&lt;/contact&gt;</v>
      </c>
      <c r="K406" s="5">
        <f t="shared" si="172"/>
        <v>1</v>
      </c>
      <c r="L406" s="5">
        <f t="shared" si="173"/>
        <v>1</v>
      </c>
      <c r="M406" s="5" t="str">
        <f>CONCATENATE(+Contacts!E406)</f>
        <v>+31 104205334</v>
      </c>
      <c r="N406" t="str">
        <f t="shared" si="174"/>
        <v/>
      </c>
      <c r="O406" s="5">
        <f t="shared" si="175"/>
        <v>1</v>
      </c>
      <c r="P406" s="5">
        <f t="shared" si="176"/>
        <v>1</v>
      </c>
      <c r="Q406" s="5" t="str">
        <f>CONCATENATE(+Contacts!G406)</f>
        <v/>
      </c>
      <c r="R406" t="str">
        <f t="shared" si="177"/>
        <v/>
      </c>
      <c r="S406" s="5">
        <f t="shared" si="178"/>
        <v>1</v>
      </c>
      <c r="T406" s="5">
        <f t="shared" si="179"/>
        <v>1</v>
      </c>
      <c r="U406" s="5" t="str">
        <f>CONCATENATE(+Contacts!H406)</f>
        <v/>
      </c>
      <c r="V406" t="str">
        <f t="shared" si="180"/>
        <v/>
      </c>
      <c r="W406" s="5">
        <f t="shared" si="181"/>
        <v>1</v>
      </c>
      <c r="X406" s="5">
        <f t="shared" si="182"/>
        <v>1</v>
      </c>
      <c r="Y406" s="5" t="str">
        <f>CONCATENATE(+Contacts!F406)</f>
        <v/>
      </c>
      <c r="Z406" s="2" t="str">
        <f t="shared" si="183"/>
        <v>Swanborn, Jean (Optiek)</v>
      </c>
      <c r="AA406" s="2" t="str">
        <f>CONCATENATE(+Contacts!C406)</f>
        <v>Swanborn</v>
      </c>
      <c r="AB406" s="2" t="str">
        <f t="shared" si="184"/>
        <v xml:space="preserve">, </v>
      </c>
      <c r="AC406" s="2" t="str">
        <f>CONCATENATE(+Contacts!A406)</f>
        <v>Jean</v>
      </c>
      <c r="AD406" s="3" t="str">
        <f>CONCATENATE(" ",+Contacts!B406)</f>
        <v xml:space="preserve"> </v>
      </c>
      <c r="AE406" s="2" t="str">
        <f t="shared" si="185"/>
        <v>(</v>
      </c>
      <c r="AF406" s="3" t="str">
        <f>CONCATENATE(+Contacts!D406)</f>
        <v>Optiek</v>
      </c>
      <c r="AG406" s="2" t="str">
        <f t="shared" si="186"/>
        <v>)</v>
      </c>
      <c r="AH406" t="str">
        <f>CONCATENATE(+Contacts!I406)</f>
        <v/>
      </c>
      <c r="AI406">
        <v>1500000010</v>
      </c>
      <c r="AJ406" s="5">
        <f t="shared" si="187"/>
        <v>1</v>
      </c>
    </row>
    <row r="407" spans="1:36" x14ac:dyDescent="0.35">
      <c r="A407" s="7" t="str">
        <f t="shared" si="162"/>
        <v>&lt;contact&gt;&lt;category&gt;0&lt;/category&gt;&lt;person&gt;&lt;realName&gt;Tandarts  (Tandarts)&lt;/realName&gt;&lt;/person&gt;</v>
      </c>
      <c r="B407" s="7" t="str">
        <f t="shared" si="163"/>
        <v>&lt;telephony nid="1"&gt;&lt;number id="0" prio="1" type="work"&gt;+31 108208191&lt;/number&gt;&lt;/telephony&gt;</v>
      </c>
      <c r="C407" s="7" t="str">
        <f t="shared" si="164"/>
        <v>&lt;services nid="1"&gt;&lt;email id="0" classifier="private"&gt;info@mondzorgkanaalweg.nl&lt;/email&gt;&lt;/services&gt;&lt;setup /&gt;&lt;mod_time&gt;1500000010&lt;/mod_time&gt;&lt;uniqueid&gt;1&lt;/uniqueid&gt;&lt;/contact&gt;</v>
      </c>
      <c r="D407" t="str">
        <f t="shared" si="165"/>
        <v>&lt;contact&gt;&lt;category&gt;0&lt;/category&gt;&lt;person&gt;&lt;realName&gt;Tandarts  (Tandarts)&lt;/realName&gt;&lt;/person&gt;</v>
      </c>
      <c r="E407" t="str">
        <f t="shared" si="166"/>
        <v>&lt;telephony nid="1"&gt;&lt;number id="0" prio="1" type="work"&gt;+31 108208191&lt;/number&gt;&lt;/telephony&gt;</v>
      </c>
      <c r="F407" t="str">
        <f t="shared" si="167"/>
        <v>&lt;telephony nid="1"&gt;</v>
      </c>
      <c r="G407" t="str">
        <f t="shared" si="168"/>
        <v>&lt;number id="0" prio="1" type="work"&gt;+31 108208191&lt;/number&gt;</v>
      </c>
      <c r="H407" t="str">
        <f t="shared" si="169"/>
        <v>&lt;services nid="1"&gt;&lt;email id="0" classifier="private"&gt;info@mondzorgkanaalweg.nl&lt;/email&gt;&lt;/services&gt;&lt;setup /&gt;&lt;mod_time&gt;1500000010&lt;/mod_time&gt;&lt;uniqueid&gt;1&lt;/uniqueid&gt;&lt;/contact&gt;</v>
      </c>
      <c r="I407" t="str">
        <f t="shared" si="170"/>
        <v>&lt;services /&gt;&lt;setup /&gt;&lt;mod_time&gt;1500000010&lt;/mod_time&gt;&lt;uniqueid&gt;1&lt;/uniqueid&gt;&lt;/contact&gt;</v>
      </c>
      <c r="J407" t="str">
        <f t="shared" si="171"/>
        <v>&lt;services nid="1"&gt;&lt;email id="0" classifier="private"&gt;info@mondzorgkanaalweg.nl&lt;/email&gt;&lt;/services&gt;&lt;setup /&gt;&lt;mod_time&gt;1500000010&lt;/mod_time&gt;&lt;uniqueid&gt;1&lt;/uniqueid&gt;&lt;/contact&gt;</v>
      </c>
      <c r="K407" s="5">
        <f t="shared" si="172"/>
        <v>1</v>
      </c>
      <c r="L407" s="5">
        <f t="shared" si="173"/>
        <v>1</v>
      </c>
      <c r="M407" s="5" t="str">
        <f>CONCATENATE(+Contacts!E407)</f>
        <v>+31 108208191</v>
      </c>
      <c r="N407" t="str">
        <f t="shared" si="174"/>
        <v/>
      </c>
      <c r="O407" s="5">
        <f t="shared" si="175"/>
        <v>1</v>
      </c>
      <c r="P407" s="5">
        <f t="shared" si="176"/>
        <v>1</v>
      </c>
      <c r="Q407" s="5" t="str">
        <f>CONCATENATE(+Contacts!G407)</f>
        <v/>
      </c>
      <c r="R407" t="str">
        <f t="shared" si="177"/>
        <v/>
      </c>
      <c r="S407" s="5">
        <f t="shared" si="178"/>
        <v>1</v>
      </c>
      <c r="T407" s="5">
        <f t="shared" si="179"/>
        <v>1</v>
      </c>
      <c r="U407" s="5" t="str">
        <f>CONCATENATE(+Contacts!H407)</f>
        <v/>
      </c>
      <c r="V407" t="str">
        <f t="shared" si="180"/>
        <v/>
      </c>
      <c r="W407" s="5">
        <f t="shared" si="181"/>
        <v>1</v>
      </c>
      <c r="X407" s="5">
        <f t="shared" si="182"/>
        <v>1</v>
      </c>
      <c r="Y407" s="5" t="str">
        <f>CONCATENATE(+Contacts!F407)</f>
        <v/>
      </c>
      <c r="Z407" s="2" t="str">
        <f t="shared" si="183"/>
        <v>Tandarts  (Tandarts)</v>
      </c>
      <c r="AA407" s="2" t="str">
        <f>CONCATENATE(+Contacts!C407)</f>
        <v>Tandarts</v>
      </c>
      <c r="AB407" s="2" t="str">
        <f t="shared" si="184"/>
        <v xml:space="preserve"> </v>
      </c>
      <c r="AC407" s="2" t="str">
        <f>CONCATENATE(+Contacts!A407)</f>
        <v/>
      </c>
      <c r="AD407" s="3" t="str">
        <f>CONCATENATE(" ",+Contacts!B407)</f>
        <v xml:space="preserve"> </v>
      </c>
      <c r="AE407" s="2" t="str">
        <f t="shared" si="185"/>
        <v>(</v>
      </c>
      <c r="AF407" s="3" t="str">
        <f>CONCATENATE(+Contacts!D407)</f>
        <v>Tandarts</v>
      </c>
      <c r="AG407" s="2" t="str">
        <f t="shared" si="186"/>
        <v>)</v>
      </c>
      <c r="AH407" t="str">
        <f>CONCATENATE(+Contacts!I407)</f>
        <v>info@mondzorgkanaalweg.nl</v>
      </c>
      <c r="AI407">
        <v>1500000010</v>
      </c>
      <c r="AJ407" s="5">
        <f t="shared" si="187"/>
        <v>1</v>
      </c>
    </row>
    <row r="408" spans="1:36" x14ac:dyDescent="0.35">
      <c r="A408" s="7" t="str">
        <f t="shared" si="162"/>
        <v>&lt;contact&gt;&lt;category&gt;0&lt;/category&gt;&lt;person&gt;&lt;realName&gt;Teeuwisse, Johan   &lt;/realName&gt;&lt;/person&gt;</v>
      </c>
      <c r="B408" s="7" t="str">
        <f t="shared" si="163"/>
        <v>&lt;telephony nid="1"&gt;&lt;number id="0" prio="1" type="mobile"&gt;+31 6 28 449084&lt;/number&gt;&lt;/telephony&gt;</v>
      </c>
      <c r="C408" s="7" t="str">
        <f t="shared" si="164"/>
        <v>&lt;services nid="1"&gt;&lt;email id="0" classifier="private"&gt;johanteeuwisse@outlook.com&lt;/email&gt;&lt;/services&gt;&lt;setup /&gt;&lt;mod_time&gt;1500000010&lt;/mod_time&gt;&lt;uniqueid&gt;1&lt;/uniqueid&gt;&lt;/contact&gt;</v>
      </c>
      <c r="D408" t="str">
        <f t="shared" si="165"/>
        <v>&lt;contact&gt;&lt;category&gt;0&lt;/category&gt;&lt;person&gt;&lt;realName&gt;Teeuwisse, Johan   &lt;/realName&gt;&lt;/person&gt;</v>
      </c>
      <c r="E408" t="str">
        <f t="shared" si="166"/>
        <v>&lt;telephony nid="1"&gt;&lt;number id="0" prio="1" type="mobile"&gt;+31 6 28 449084&lt;/number&gt;&lt;/telephony&gt;</v>
      </c>
      <c r="F408" t="str">
        <f t="shared" si="167"/>
        <v>&lt;telephony nid="1"&gt;</v>
      </c>
      <c r="G408" t="str">
        <f t="shared" si="168"/>
        <v/>
      </c>
      <c r="H408" t="str">
        <f t="shared" si="169"/>
        <v>&lt;services nid="1"&gt;&lt;email id="0" classifier="private"&gt;johanteeuwisse@outlook.com&lt;/email&gt;&lt;/services&gt;&lt;setup /&gt;&lt;mod_time&gt;1500000010&lt;/mod_time&gt;&lt;uniqueid&gt;1&lt;/uniqueid&gt;&lt;/contact&gt;</v>
      </c>
      <c r="I408" t="str">
        <f t="shared" si="170"/>
        <v>&lt;services /&gt;&lt;setup /&gt;&lt;mod_time&gt;1500000010&lt;/mod_time&gt;&lt;uniqueid&gt;1&lt;/uniqueid&gt;&lt;/contact&gt;</v>
      </c>
      <c r="J408" t="str">
        <f t="shared" si="171"/>
        <v>&lt;services nid="1"&gt;&lt;email id="0" classifier="private"&gt;johanteeuwisse@outlook.com&lt;/email&gt;&lt;/services&gt;&lt;setup /&gt;&lt;mod_time&gt;1500000010&lt;/mod_time&gt;&lt;uniqueid&gt;1&lt;/uniqueid&gt;&lt;/contact&gt;</v>
      </c>
      <c r="K408" s="5">
        <f t="shared" si="172"/>
        <v>0</v>
      </c>
      <c r="L408" s="5">
        <f t="shared" si="173"/>
        <v>0</v>
      </c>
      <c r="M408" s="5" t="str">
        <f>CONCATENATE(+Contacts!E408)</f>
        <v/>
      </c>
      <c r="N408" t="str">
        <f t="shared" si="174"/>
        <v/>
      </c>
      <c r="O408" s="5">
        <f t="shared" si="175"/>
        <v>0</v>
      </c>
      <c r="P408" s="5">
        <f t="shared" si="176"/>
        <v>0</v>
      </c>
      <c r="Q408" s="5" t="str">
        <f>CONCATENATE(+Contacts!G408)</f>
        <v/>
      </c>
      <c r="R408" t="str">
        <f t="shared" si="177"/>
        <v>&lt;number id="0" prio="1" type="mobile"&gt;+31 6 28 449084&lt;/number&gt;</v>
      </c>
      <c r="S408" s="5">
        <f t="shared" si="178"/>
        <v>1</v>
      </c>
      <c r="T408" s="5">
        <f t="shared" si="179"/>
        <v>1</v>
      </c>
      <c r="U408" s="5" t="str">
        <f>CONCATENATE(+Contacts!H408)</f>
        <v>+31 6 28 449084</v>
      </c>
      <c r="V408" t="str">
        <f t="shared" si="180"/>
        <v/>
      </c>
      <c r="W408" s="5">
        <f t="shared" si="181"/>
        <v>1</v>
      </c>
      <c r="X408" s="5">
        <f t="shared" si="182"/>
        <v>1</v>
      </c>
      <c r="Y408" s="5" t="str">
        <f>CONCATENATE(+Contacts!F408)</f>
        <v/>
      </c>
      <c r="Z408" s="2" t="str">
        <f t="shared" si="183"/>
        <v xml:space="preserve">Teeuwisse, Johan   </v>
      </c>
      <c r="AA408" s="2" t="str">
        <f>CONCATENATE(+Contacts!C408)</f>
        <v>Teeuwisse</v>
      </c>
      <c r="AB408" s="2" t="str">
        <f t="shared" si="184"/>
        <v xml:space="preserve">, </v>
      </c>
      <c r="AC408" s="2" t="str">
        <f>CONCATENATE(+Contacts!A408)</f>
        <v>Johan</v>
      </c>
      <c r="AD408" s="3" t="str">
        <f>CONCATENATE(" ",+Contacts!B408)</f>
        <v xml:space="preserve"> </v>
      </c>
      <c r="AE408" s="2" t="str">
        <f t="shared" si="185"/>
        <v xml:space="preserve"> </v>
      </c>
      <c r="AF408" s="3" t="str">
        <f>CONCATENATE(+Contacts!D408)</f>
        <v/>
      </c>
      <c r="AG408" s="2" t="str">
        <f t="shared" si="186"/>
        <v xml:space="preserve"> </v>
      </c>
      <c r="AH408" t="str">
        <f>CONCATENATE(+Contacts!I408)</f>
        <v>johanteeuwisse@outlook.com</v>
      </c>
      <c r="AI408">
        <v>1500000010</v>
      </c>
      <c r="AJ408" s="5">
        <f t="shared" si="187"/>
        <v>1</v>
      </c>
    </row>
    <row r="409" spans="1:36" x14ac:dyDescent="0.35">
      <c r="A409" s="7" t="str">
        <f t="shared" si="162"/>
        <v>&lt;contact&gt;&lt;category&gt;0&lt;/category&gt;&lt;person&gt;&lt;realName&gt;Terlouw, Ada   &lt;/realName&gt;&lt;/person&gt;</v>
      </c>
      <c r="B409" s="7" t="str">
        <f t="shared" si="163"/>
        <v>&lt;telephony nid="2"&gt;&lt;number id="0" prio="1" type="home"&gt;00 31 10 220 29 48&lt;/number&gt;&lt;number id="1" prio="0" type="mobile"&gt;+31 612309114&lt;/number&gt;&lt;/telephony&gt;</v>
      </c>
      <c r="C409" s="7" t="str">
        <f t="shared" si="164"/>
        <v>&lt;services nid="1"&gt;&lt;email id="0" classifier="private"&gt;a.ter80@kpnmail.nl&lt;/email&gt;&lt;/services&gt;&lt;setup /&gt;&lt;mod_time&gt;1500000010&lt;/mod_time&gt;&lt;uniqueid&gt;1&lt;/uniqueid&gt;&lt;/contact&gt;</v>
      </c>
      <c r="D409" t="str">
        <f t="shared" si="165"/>
        <v>&lt;contact&gt;&lt;category&gt;0&lt;/category&gt;&lt;person&gt;&lt;realName&gt;Terlouw, Ada   &lt;/realName&gt;&lt;/person&gt;</v>
      </c>
      <c r="E409" t="str">
        <f t="shared" si="166"/>
        <v>&lt;telephony nid="2"&gt;&lt;number id="0" prio="1" type="home"&gt;00 31 10 220 29 48&lt;/number&gt;&lt;number id="1" prio="0" type="mobile"&gt;+31 612309114&lt;/number&gt;&lt;/telephony&gt;</v>
      </c>
      <c r="F409" t="str">
        <f t="shared" si="167"/>
        <v>&lt;telephony nid="2"&gt;</v>
      </c>
      <c r="G409" t="str">
        <f t="shared" si="168"/>
        <v/>
      </c>
      <c r="H409" t="str">
        <f t="shared" si="169"/>
        <v>&lt;services nid="1"&gt;&lt;email id="0" classifier="private"&gt;a.ter80@kpnmail.nl&lt;/email&gt;&lt;/services&gt;&lt;setup /&gt;&lt;mod_time&gt;1500000010&lt;/mod_time&gt;&lt;uniqueid&gt;1&lt;/uniqueid&gt;&lt;/contact&gt;</v>
      </c>
      <c r="I409" t="str">
        <f t="shared" si="170"/>
        <v>&lt;services /&gt;&lt;setup /&gt;&lt;mod_time&gt;1500000010&lt;/mod_time&gt;&lt;uniqueid&gt;1&lt;/uniqueid&gt;&lt;/contact&gt;</v>
      </c>
      <c r="J409" t="str">
        <f t="shared" si="171"/>
        <v>&lt;services nid="1"&gt;&lt;email id="0" classifier="private"&gt;a.ter80@kpnmail.nl&lt;/email&gt;&lt;/services&gt;&lt;setup /&gt;&lt;mod_time&gt;1500000010&lt;/mod_time&gt;&lt;uniqueid&gt;1&lt;/uniqueid&gt;&lt;/contact&gt;</v>
      </c>
      <c r="K409" s="5">
        <f t="shared" si="172"/>
        <v>0</v>
      </c>
      <c r="L409" s="5">
        <f t="shared" si="173"/>
        <v>0</v>
      </c>
      <c r="M409" s="5" t="str">
        <f>CONCATENATE(+Contacts!E409)</f>
        <v/>
      </c>
      <c r="N409" t="str">
        <f t="shared" si="174"/>
        <v>&lt;number id="0" prio="1" type="home"&gt;00 31 10 220 29 48&lt;/number&gt;</v>
      </c>
      <c r="O409" s="5">
        <f t="shared" si="175"/>
        <v>1</v>
      </c>
      <c r="P409" s="5">
        <f t="shared" si="176"/>
        <v>1</v>
      </c>
      <c r="Q409" s="5" t="str">
        <f>CONCATENATE(+Contacts!G409)</f>
        <v>00 31 10 220 29 48</v>
      </c>
      <c r="R409" t="str">
        <f t="shared" si="177"/>
        <v>&lt;number id="1" prio="0" type="mobile"&gt;+31 612309114&lt;/number&gt;</v>
      </c>
      <c r="S409" s="5">
        <f t="shared" si="178"/>
        <v>2</v>
      </c>
      <c r="T409" s="5">
        <f t="shared" si="179"/>
        <v>0</v>
      </c>
      <c r="U409" s="5" t="str">
        <f>CONCATENATE(+Contacts!H409)</f>
        <v>+31 612309114</v>
      </c>
      <c r="V409" t="str">
        <f t="shared" si="180"/>
        <v/>
      </c>
      <c r="W409" s="5">
        <f t="shared" si="181"/>
        <v>2</v>
      </c>
      <c r="X409" s="5">
        <f t="shared" si="182"/>
        <v>0</v>
      </c>
      <c r="Y409" s="5" t="str">
        <f>CONCATENATE(+Contacts!F409)</f>
        <v/>
      </c>
      <c r="Z409" s="2" t="str">
        <f t="shared" si="183"/>
        <v xml:space="preserve">Terlouw, Ada   </v>
      </c>
      <c r="AA409" s="2" t="str">
        <f>CONCATENATE(+Contacts!C409)</f>
        <v>Terlouw</v>
      </c>
      <c r="AB409" s="2" t="str">
        <f t="shared" si="184"/>
        <v xml:space="preserve">, </v>
      </c>
      <c r="AC409" s="2" t="str">
        <f>CONCATENATE(+Contacts!A409)</f>
        <v>Ada</v>
      </c>
      <c r="AD409" s="3" t="str">
        <f>CONCATENATE(" ",+Contacts!B409)</f>
        <v xml:space="preserve"> </v>
      </c>
      <c r="AE409" s="2" t="str">
        <f t="shared" si="185"/>
        <v xml:space="preserve"> </v>
      </c>
      <c r="AF409" s="3" t="str">
        <f>CONCATENATE(+Contacts!D409)</f>
        <v/>
      </c>
      <c r="AG409" s="2" t="str">
        <f t="shared" si="186"/>
        <v xml:space="preserve"> </v>
      </c>
      <c r="AH409" t="str">
        <f>CONCATENATE(+Contacts!I409)</f>
        <v>a.ter80@kpnmail.nl</v>
      </c>
      <c r="AI409">
        <v>1500000010</v>
      </c>
      <c r="AJ409" s="5">
        <f t="shared" si="187"/>
        <v>1</v>
      </c>
    </row>
    <row r="410" spans="1:36" x14ac:dyDescent="0.35">
      <c r="A410" s="7" t="str">
        <f t="shared" si="162"/>
        <v>&lt;contact&gt;&lt;category&gt;0&lt;/category&gt;&lt;person&gt;&lt;realName&gt;Terlouw, Caja   &lt;/realName&gt;&lt;/person&gt;</v>
      </c>
      <c r="B410" s="7" t="str">
        <f t="shared" si="163"/>
        <v>&lt;telephony nid="1"&gt;&lt;number id="0" prio="1" type="mobile"&gt;31623097475&lt;/number&gt;&lt;/telephony&gt;</v>
      </c>
      <c r="C410" s="7" t="str">
        <f t="shared" si="164"/>
        <v>&lt;services nid="1"&gt;&lt;email id="0" classifier="private"&gt;caja.ter@outlook.com&lt;/email&gt;&lt;/services&gt;&lt;setup /&gt;&lt;mod_time&gt;1500000010&lt;/mod_time&gt;&lt;uniqueid&gt;1&lt;/uniqueid&gt;&lt;/contact&gt;</v>
      </c>
      <c r="D410" t="str">
        <f t="shared" si="165"/>
        <v>&lt;contact&gt;&lt;category&gt;0&lt;/category&gt;&lt;person&gt;&lt;realName&gt;Terlouw, Caja   &lt;/realName&gt;&lt;/person&gt;</v>
      </c>
      <c r="E410" t="str">
        <f t="shared" si="166"/>
        <v>&lt;telephony nid="1"&gt;&lt;number id="0" prio="1" type="mobile"&gt;31623097475&lt;/number&gt;&lt;/telephony&gt;</v>
      </c>
      <c r="F410" t="str">
        <f t="shared" si="167"/>
        <v>&lt;telephony nid="1"&gt;</v>
      </c>
      <c r="G410" t="str">
        <f t="shared" si="168"/>
        <v/>
      </c>
      <c r="H410" t="str">
        <f t="shared" si="169"/>
        <v>&lt;services nid="1"&gt;&lt;email id="0" classifier="private"&gt;caja.ter@outlook.com&lt;/email&gt;&lt;/services&gt;&lt;setup /&gt;&lt;mod_time&gt;1500000010&lt;/mod_time&gt;&lt;uniqueid&gt;1&lt;/uniqueid&gt;&lt;/contact&gt;</v>
      </c>
      <c r="I410" t="str">
        <f t="shared" si="170"/>
        <v>&lt;services /&gt;&lt;setup /&gt;&lt;mod_time&gt;1500000010&lt;/mod_time&gt;&lt;uniqueid&gt;1&lt;/uniqueid&gt;&lt;/contact&gt;</v>
      </c>
      <c r="J410" t="str">
        <f t="shared" si="171"/>
        <v>&lt;services nid="1"&gt;&lt;email id="0" classifier="private"&gt;caja.ter@outlook.com&lt;/email&gt;&lt;/services&gt;&lt;setup /&gt;&lt;mod_time&gt;1500000010&lt;/mod_time&gt;&lt;uniqueid&gt;1&lt;/uniqueid&gt;&lt;/contact&gt;</v>
      </c>
      <c r="K410" s="5">
        <f t="shared" si="172"/>
        <v>0</v>
      </c>
      <c r="L410" s="5">
        <f t="shared" si="173"/>
        <v>0</v>
      </c>
      <c r="M410" s="5" t="str">
        <f>CONCATENATE(+Contacts!E410)</f>
        <v/>
      </c>
      <c r="N410" t="str">
        <f t="shared" si="174"/>
        <v/>
      </c>
      <c r="O410" s="5">
        <f t="shared" si="175"/>
        <v>0</v>
      </c>
      <c r="P410" s="5">
        <f t="shared" si="176"/>
        <v>0</v>
      </c>
      <c r="Q410" s="5" t="str">
        <f>CONCATENATE(+Contacts!G410)</f>
        <v/>
      </c>
      <c r="R410" t="str">
        <f t="shared" si="177"/>
        <v>&lt;number id="0" prio="1" type="mobile"&gt;31623097475&lt;/number&gt;</v>
      </c>
      <c r="S410" s="5">
        <f t="shared" si="178"/>
        <v>1</v>
      </c>
      <c r="T410" s="5">
        <f t="shared" si="179"/>
        <v>1</v>
      </c>
      <c r="U410" s="5" t="str">
        <f>CONCATENATE(+Contacts!H410)</f>
        <v>31623097475</v>
      </c>
      <c r="V410" t="str">
        <f t="shared" si="180"/>
        <v/>
      </c>
      <c r="W410" s="5">
        <f t="shared" si="181"/>
        <v>1</v>
      </c>
      <c r="X410" s="5">
        <f t="shared" si="182"/>
        <v>1</v>
      </c>
      <c r="Y410" s="5" t="str">
        <f>CONCATENATE(+Contacts!F410)</f>
        <v/>
      </c>
      <c r="Z410" s="2" t="str">
        <f t="shared" si="183"/>
        <v xml:space="preserve">Terlouw, Caja   </v>
      </c>
      <c r="AA410" s="2" t="str">
        <f>CONCATENATE(+Contacts!C410)</f>
        <v>Terlouw</v>
      </c>
      <c r="AB410" s="2" t="str">
        <f t="shared" si="184"/>
        <v xml:space="preserve">, </v>
      </c>
      <c r="AC410" s="2" t="str">
        <f>CONCATENATE(+Contacts!A410)</f>
        <v>Caja</v>
      </c>
      <c r="AD410" s="3" t="str">
        <f>CONCATENATE(" ",+Contacts!B410)</f>
        <v xml:space="preserve"> </v>
      </c>
      <c r="AE410" s="2" t="str">
        <f t="shared" si="185"/>
        <v xml:space="preserve"> </v>
      </c>
      <c r="AF410" s="3" t="str">
        <f>CONCATENATE(+Contacts!D410)</f>
        <v/>
      </c>
      <c r="AG410" s="2" t="str">
        <f t="shared" si="186"/>
        <v xml:space="preserve"> </v>
      </c>
      <c r="AH410" t="str">
        <f>CONCATENATE(+Contacts!I410)</f>
        <v>caja.ter@outlook.com</v>
      </c>
      <c r="AI410">
        <v>1500000010</v>
      </c>
      <c r="AJ410" s="5">
        <f t="shared" si="187"/>
        <v>1</v>
      </c>
    </row>
    <row r="411" spans="1:36" x14ac:dyDescent="0.35">
      <c r="A411" s="7" t="str">
        <f t="shared" si="162"/>
        <v>&lt;contact&gt;&lt;category&gt;0&lt;/category&gt;&lt;person&gt;&lt;realName&gt;Termorshuizen, Koos   &lt;/realName&gt;&lt;/person&gt;</v>
      </c>
      <c r="B411" s="7" t="str">
        <f t="shared" si="163"/>
        <v>&lt;telephony nid="2"&gt;&lt;number id="0" prio="1" type="home"&gt;+31 334806763&lt;/number&gt;&lt;number id="1" prio="0" type="mobile"&gt;+31 622477252&lt;/number&gt;&lt;/telephony&gt;</v>
      </c>
      <c r="C411" s="7" t="str">
        <f t="shared" si="164"/>
        <v>&lt;services nid="1"&gt;&lt;email id="0" classifier="private"&gt;koos@termorshuizen.nl&lt;/email&gt;&lt;/services&gt;&lt;setup /&gt;&lt;mod_time&gt;1500000010&lt;/mod_time&gt;&lt;uniqueid&gt;1&lt;/uniqueid&gt;&lt;/contact&gt;</v>
      </c>
      <c r="D411" t="str">
        <f t="shared" si="165"/>
        <v>&lt;contact&gt;&lt;category&gt;0&lt;/category&gt;&lt;person&gt;&lt;realName&gt;Termorshuizen, Koos   &lt;/realName&gt;&lt;/person&gt;</v>
      </c>
      <c r="E411" t="str">
        <f t="shared" si="166"/>
        <v>&lt;telephony nid="2"&gt;&lt;number id="0" prio="1" type="home"&gt;+31 334806763&lt;/number&gt;&lt;number id="1" prio="0" type="mobile"&gt;+31 622477252&lt;/number&gt;&lt;/telephony&gt;</v>
      </c>
      <c r="F411" t="str">
        <f t="shared" si="167"/>
        <v>&lt;telephony nid="2"&gt;</v>
      </c>
      <c r="G411" t="str">
        <f t="shared" si="168"/>
        <v/>
      </c>
      <c r="H411" t="str">
        <f t="shared" si="169"/>
        <v>&lt;services nid="1"&gt;&lt;email id="0" classifier="private"&gt;koos@termorshuizen.nl&lt;/email&gt;&lt;/services&gt;&lt;setup /&gt;&lt;mod_time&gt;1500000010&lt;/mod_time&gt;&lt;uniqueid&gt;1&lt;/uniqueid&gt;&lt;/contact&gt;</v>
      </c>
      <c r="I411" t="str">
        <f t="shared" si="170"/>
        <v>&lt;services /&gt;&lt;setup /&gt;&lt;mod_time&gt;1500000010&lt;/mod_time&gt;&lt;uniqueid&gt;1&lt;/uniqueid&gt;&lt;/contact&gt;</v>
      </c>
      <c r="J411" t="str">
        <f t="shared" si="171"/>
        <v>&lt;services nid="1"&gt;&lt;email id="0" classifier="private"&gt;koos@termorshuizen.nl&lt;/email&gt;&lt;/services&gt;&lt;setup /&gt;&lt;mod_time&gt;1500000010&lt;/mod_time&gt;&lt;uniqueid&gt;1&lt;/uniqueid&gt;&lt;/contact&gt;</v>
      </c>
      <c r="K411" s="5">
        <f t="shared" si="172"/>
        <v>0</v>
      </c>
      <c r="L411" s="5">
        <f t="shared" si="173"/>
        <v>0</v>
      </c>
      <c r="M411" s="5" t="str">
        <f>CONCATENATE(+Contacts!E411)</f>
        <v/>
      </c>
      <c r="N411" t="str">
        <f t="shared" si="174"/>
        <v>&lt;number id="0" prio="1" type="home"&gt;+31 334806763&lt;/number&gt;</v>
      </c>
      <c r="O411" s="5">
        <f t="shared" si="175"/>
        <v>1</v>
      </c>
      <c r="P411" s="5">
        <f t="shared" si="176"/>
        <v>1</v>
      </c>
      <c r="Q411" s="5" t="str">
        <f>CONCATENATE(+Contacts!G411)</f>
        <v>+31 334806763</v>
      </c>
      <c r="R411" t="str">
        <f t="shared" si="177"/>
        <v>&lt;number id="1" prio="0" type="mobile"&gt;+31 622477252&lt;/number&gt;</v>
      </c>
      <c r="S411" s="5">
        <f t="shared" si="178"/>
        <v>2</v>
      </c>
      <c r="T411" s="5">
        <f t="shared" si="179"/>
        <v>0</v>
      </c>
      <c r="U411" s="5" t="str">
        <f>CONCATENATE(+Contacts!H411)</f>
        <v>+31 622477252</v>
      </c>
      <c r="V411" t="str">
        <f t="shared" si="180"/>
        <v/>
      </c>
      <c r="W411" s="5">
        <f t="shared" si="181"/>
        <v>2</v>
      </c>
      <c r="X411" s="5">
        <f t="shared" si="182"/>
        <v>0</v>
      </c>
      <c r="Y411" s="5" t="str">
        <f>CONCATENATE(+Contacts!F411)</f>
        <v/>
      </c>
      <c r="Z411" s="2" t="str">
        <f t="shared" si="183"/>
        <v xml:space="preserve">Termorshuizen, Koos   </v>
      </c>
      <c r="AA411" s="2" t="str">
        <f>CONCATENATE(+Contacts!C411)</f>
        <v>Termorshuizen</v>
      </c>
      <c r="AB411" s="2" t="str">
        <f t="shared" si="184"/>
        <v xml:space="preserve">, </v>
      </c>
      <c r="AC411" s="2" t="str">
        <f>CONCATENATE(+Contacts!A411)</f>
        <v>Koos</v>
      </c>
      <c r="AD411" s="3" t="str">
        <f>CONCATENATE(" ",+Contacts!B411)</f>
        <v xml:space="preserve"> </v>
      </c>
      <c r="AE411" s="2" t="str">
        <f t="shared" si="185"/>
        <v xml:space="preserve"> </v>
      </c>
      <c r="AF411" s="3" t="str">
        <f>CONCATENATE(+Contacts!D411)</f>
        <v/>
      </c>
      <c r="AG411" s="2" t="str">
        <f t="shared" si="186"/>
        <v xml:space="preserve"> </v>
      </c>
      <c r="AH411" t="str">
        <f>CONCATENATE(+Contacts!I411)</f>
        <v>koos@termorshuizen.nl</v>
      </c>
      <c r="AI411">
        <v>1500000010</v>
      </c>
      <c r="AJ411" s="5">
        <f t="shared" si="187"/>
        <v>1</v>
      </c>
    </row>
    <row r="412" spans="1:36" x14ac:dyDescent="0.35">
      <c r="A412" s="7" t="str">
        <f t="shared" si="162"/>
        <v>&lt;contact&gt;&lt;category&gt;0&lt;/category&gt;&lt;person&gt;&lt;realName&gt;Theehuis De Dames  (Restaurant)&lt;/realName&gt;&lt;/person&gt;</v>
      </c>
      <c r="B412" s="7" t="str">
        <f t="shared" si="163"/>
        <v>&lt;telephony nid="1"&gt;&lt;number id="0" prio="1" type="work"&gt;+31 180323414&lt;/number&gt;&lt;/telephony&gt;</v>
      </c>
      <c r="C412" s="7" t="str">
        <f t="shared" si="164"/>
        <v>&lt;services /&gt;&lt;setup /&gt;&lt;mod_time&gt;1500000010&lt;/mod_time&gt;&lt;uniqueid&gt;1&lt;/uniqueid&gt;&lt;/contact&gt;</v>
      </c>
      <c r="D412" t="str">
        <f t="shared" si="165"/>
        <v>&lt;contact&gt;&lt;category&gt;0&lt;/category&gt;&lt;person&gt;&lt;realName&gt;Theehuis De Dames  (Restaurant)&lt;/realName&gt;&lt;/person&gt;</v>
      </c>
      <c r="E412" t="str">
        <f t="shared" si="166"/>
        <v>&lt;telephony nid="1"&gt;&lt;number id="0" prio="1" type="work"&gt;+31 180323414&lt;/number&gt;&lt;/telephony&gt;</v>
      </c>
      <c r="F412" t="str">
        <f t="shared" si="167"/>
        <v>&lt;telephony nid="1"&gt;</v>
      </c>
      <c r="G412" t="str">
        <f t="shared" si="168"/>
        <v>&lt;number id="0" prio="1" type="work"&gt;+31 180323414&lt;/number&gt;</v>
      </c>
      <c r="H412" t="str">
        <f t="shared" si="169"/>
        <v>&lt;services nid="1"&gt;&lt;email id="0" classifier="private"&gt;&lt;/email&gt;&lt;/services&gt;&lt;setup /&gt;&lt;mod_time&gt;1500000010&lt;/mod_time&gt;&lt;uniqueid&gt;1&lt;/uniqueid&gt;&lt;/contact&gt;</v>
      </c>
      <c r="I412" t="str">
        <f t="shared" si="170"/>
        <v>&lt;services /&gt;&lt;setup /&gt;&lt;mod_time&gt;1500000010&lt;/mod_time&gt;&lt;uniqueid&gt;1&lt;/uniqueid&gt;&lt;/contact&gt;</v>
      </c>
      <c r="J412" t="str">
        <f t="shared" si="171"/>
        <v>&lt;services /&gt;&lt;setup /&gt;&lt;mod_time&gt;1500000010&lt;/mod_time&gt;&lt;uniqueid&gt;1&lt;/uniqueid&gt;&lt;/contact&gt;</v>
      </c>
      <c r="K412" s="5">
        <f t="shared" si="172"/>
        <v>1</v>
      </c>
      <c r="L412" s="5">
        <f t="shared" si="173"/>
        <v>1</v>
      </c>
      <c r="M412" s="5" t="str">
        <f>CONCATENATE(+Contacts!E412)</f>
        <v>+31 180323414</v>
      </c>
      <c r="N412" t="str">
        <f t="shared" si="174"/>
        <v/>
      </c>
      <c r="O412" s="5">
        <f t="shared" si="175"/>
        <v>1</v>
      </c>
      <c r="P412" s="5">
        <f t="shared" si="176"/>
        <v>1</v>
      </c>
      <c r="Q412" s="5" t="str">
        <f>CONCATENATE(+Contacts!G412)</f>
        <v/>
      </c>
      <c r="R412" t="str">
        <f t="shared" si="177"/>
        <v/>
      </c>
      <c r="S412" s="5">
        <f t="shared" si="178"/>
        <v>1</v>
      </c>
      <c r="T412" s="5">
        <f t="shared" si="179"/>
        <v>1</v>
      </c>
      <c r="U412" s="5" t="str">
        <f>CONCATENATE(+Contacts!H412)</f>
        <v/>
      </c>
      <c r="V412" t="str">
        <f t="shared" si="180"/>
        <v/>
      </c>
      <c r="W412" s="5">
        <f t="shared" si="181"/>
        <v>1</v>
      </c>
      <c r="X412" s="5">
        <f t="shared" si="182"/>
        <v>1</v>
      </c>
      <c r="Y412" s="5" t="str">
        <f>CONCATENATE(+Contacts!F412)</f>
        <v/>
      </c>
      <c r="Z412" s="2" t="str">
        <f t="shared" si="183"/>
        <v>Theehuis De Dames  (Restaurant)</v>
      </c>
      <c r="AA412" s="2" t="str">
        <f>CONCATENATE(+Contacts!C412)</f>
        <v>Theehuis De Dames</v>
      </c>
      <c r="AB412" s="2" t="str">
        <f t="shared" si="184"/>
        <v xml:space="preserve"> </v>
      </c>
      <c r="AC412" s="2" t="str">
        <f>CONCATENATE(+Contacts!A412)</f>
        <v/>
      </c>
      <c r="AD412" s="3" t="str">
        <f>CONCATENATE(" ",+Contacts!B412)</f>
        <v xml:space="preserve"> </v>
      </c>
      <c r="AE412" s="2" t="str">
        <f t="shared" si="185"/>
        <v>(</v>
      </c>
      <c r="AF412" s="3" t="str">
        <f>CONCATENATE(+Contacts!D412)</f>
        <v>Restaurant</v>
      </c>
      <c r="AG412" s="2" t="str">
        <f t="shared" si="186"/>
        <v>)</v>
      </c>
      <c r="AH412" t="str">
        <f>CONCATENATE(+Contacts!I412)</f>
        <v/>
      </c>
      <c r="AI412">
        <v>1500000010</v>
      </c>
      <c r="AJ412" s="5">
        <f t="shared" si="187"/>
        <v>1</v>
      </c>
    </row>
    <row r="413" spans="1:36" x14ac:dyDescent="0.35">
      <c r="A413" s="7" t="str">
        <f t="shared" si="162"/>
        <v>&lt;contact&gt;&lt;category&gt;0&lt;/category&gt;&lt;person&gt;&lt;realName&gt;Thermogas  (Verwarmingsmonteur)&lt;/realName&gt;&lt;/person&gt;</v>
      </c>
      <c r="B413" s="7" t="str">
        <f t="shared" si="163"/>
        <v>&lt;telephony nid="1"&gt;&lt;number id="0" prio="1" type="work"&gt;+31 104215000&lt;/number&gt;&lt;/telephony&gt;</v>
      </c>
      <c r="C413" s="7" t="str">
        <f t="shared" si="164"/>
        <v>&lt;services /&gt;&lt;setup /&gt;&lt;mod_time&gt;1500000010&lt;/mod_time&gt;&lt;uniqueid&gt;1&lt;/uniqueid&gt;&lt;/contact&gt;</v>
      </c>
      <c r="D413" t="str">
        <f t="shared" si="165"/>
        <v>&lt;contact&gt;&lt;category&gt;0&lt;/category&gt;&lt;person&gt;&lt;realName&gt;Thermogas  (Verwarmingsmonteur)&lt;/realName&gt;&lt;/person&gt;</v>
      </c>
      <c r="E413" t="str">
        <f t="shared" si="166"/>
        <v>&lt;telephony nid="1"&gt;&lt;number id="0" prio="1" type="work"&gt;+31 104215000&lt;/number&gt;&lt;/telephony&gt;</v>
      </c>
      <c r="F413" t="str">
        <f t="shared" si="167"/>
        <v>&lt;telephony nid="1"&gt;</v>
      </c>
      <c r="G413" t="str">
        <f t="shared" si="168"/>
        <v>&lt;number id="0" prio="1" type="work"&gt;+31 104215000&lt;/number&gt;</v>
      </c>
      <c r="H413" t="str">
        <f t="shared" si="169"/>
        <v>&lt;services nid="1"&gt;&lt;email id="0" classifier="private"&gt;&lt;/email&gt;&lt;/services&gt;&lt;setup /&gt;&lt;mod_time&gt;1500000010&lt;/mod_time&gt;&lt;uniqueid&gt;1&lt;/uniqueid&gt;&lt;/contact&gt;</v>
      </c>
      <c r="I413" t="str">
        <f t="shared" si="170"/>
        <v>&lt;services /&gt;&lt;setup /&gt;&lt;mod_time&gt;1500000010&lt;/mod_time&gt;&lt;uniqueid&gt;1&lt;/uniqueid&gt;&lt;/contact&gt;</v>
      </c>
      <c r="J413" t="str">
        <f t="shared" si="171"/>
        <v>&lt;services /&gt;&lt;setup /&gt;&lt;mod_time&gt;1500000010&lt;/mod_time&gt;&lt;uniqueid&gt;1&lt;/uniqueid&gt;&lt;/contact&gt;</v>
      </c>
      <c r="K413" s="5">
        <f t="shared" si="172"/>
        <v>1</v>
      </c>
      <c r="L413" s="5">
        <f t="shared" si="173"/>
        <v>1</v>
      </c>
      <c r="M413" s="5" t="str">
        <f>CONCATENATE(+Contacts!E413)</f>
        <v>+31 104215000</v>
      </c>
      <c r="N413" t="str">
        <f t="shared" si="174"/>
        <v/>
      </c>
      <c r="O413" s="5">
        <f t="shared" si="175"/>
        <v>1</v>
      </c>
      <c r="P413" s="5">
        <f t="shared" si="176"/>
        <v>1</v>
      </c>
      <c r="Q413" s="5" t="str">
        <f>CONCATENATE(+Contacts!G413)</f>
        <v/>
      </c>
      <c r="R413" t="str">
        <f t="shared" si="177"/>
        <v/>
      </c>
      <c r="S413" s="5">
        <f t="shared" si="178"/>
        <v>1</v>
      </c>
      <c r="T413" s="5">
        <f t="shared" si="179"/>
        <v>1</v>
      </c>
      <c r="U413" s="5" t="str">
        <f>CONCATENATE(+Contacts!H413)</f>
        <v/>
      </c>
      <c r="V413" t="str">
        <f t="shared" si="180"/>
        <v/>
      </c>
      <c r="W413" s="5">
        <f t="shared" si="181"/>
        <v>1</v>
      </c>
      <c r="X413" s="5">
        <f t="shared" si="182"/>
        <v>1</v>
      </c>
      <c r="Y413" s="5" t="str">
        <f>CONCATENATE(+Contacts!F413)</f>
        <v/>
      </c>
      <c r="Z413" s="2" t="str">
        <f t="shared" si="183"/>
        <v>Thermogas  (Verwarmingsmonteur)</v>
      </c>
      <c r="AA413" s="2" t="str">
        <f>CONCATENATE(+Contacts!C413)</f>
        <v>Thermogas</v>
      </c>
      <c r="AB413" s="2" t="str">
        <f t="shared" si="184"/>
        <v xml:space="preserve"> </v>
      </c>
      <c r="AC413" s="2" t="str">
        <f>CONCATENATE(+Contacts!A413)</f>
        <v/>
      </c>
      <c r="AD413" s="3" t="str">
        <f>CONCATENATE(" ",+Contacts!B413)</f>
        <v xml:space="preserve"> </v>
      </c>
      <c r="AE413" s="2" t="str">
        <f t="shared" si="185"/>
        <v>(</v>
      </c>
      <c r="AF413" s="3" t="str">
        <f>CONCATENATE(+Contacts!D413)</f>
        <v>Verwarmingsmonteur</v>
      </c>
      <c r="AG413" s="2" t="str">
        <f t="shared" si="186"/>
        <v>)</v>
      </c>
      <c r="AH413" t="str">
        <f>CONCATENATE(+Contacts!I413)</f>
        <v/>
      </c>
      <c r="AI413">
        <v>1500000010</v>
      </c>
      <c r="AJ413" s="5">
        <f t="shared" si="187"/>
        <v>1</v>
      </c>
    </row>
    <row r="414" spans="1:36" x14ac:dyDescent="0.35">
      <c r="A414" s="7" t="str">
        <f t="shared" si="162"/>
        <v>&lt;contact&gt;&lt;category&gt;0&lt;/category&gt;&lt;person&gt;&lt;realName&gt;Tijl, Corry   &lt;/realName&gt;&lt;/person&gt;</v>
      </c>
      <c r="B414" s="7" t="str">
        <f t="shared" si="163"/>
        <v>&lt;telephony nid="2"&gt;&lt;number id="0" prio="1" type="home"&gt;+31 104216277&lt;/number&gt;&lt;number id="1" prio="0" type="mobile"&gt;+31 644669296&lt;/number&gt;&lt;/telephony&gt;</v>
      </c>
      <c r="C414" s="7" t="str">
        <f t="shared" si="164"/>
        <v>&lt;services nid="1"&gt;&lt;email id="0" classifier="private"&gt;corry.den.hoed@gmail.com&lt;/email&gt;&lt;/services&gt;&lt;setup /&gt;&lt;mod_time&gt;1500000010&lt;/mod_time&gt;&lt;uniqueid&gt;1&lt;/uniqueid&gt;&lt;/contact&gt;</v>
      </c>
      <c r="D414" t="str">
        <f t="shared" si="165"/>
        <v>&lt;contact&gt;&lt;category&gt;0&lt;/category&gt;&lt;person&gt;&lt;realName&gt;Tijl, Corry   &lt;/realName&gt;&lt;/person&gt;</v>
      </c>
      <c r="E414" t="str">
        <f t="shared" si="166"/>
        <v>&lt;telephony nid="2"&gt;&lt;number id="0" prio="1" type="home"&gt;+31 104216277&lt;/number&gt;&lt;number id="1" prio="0" type="mobile"&gt;+31 644669296&lt;/number&gt;&lt;/telephony&gt;</v>
      </c>
      <c r="F414" t="str">
        <f t="shared" si="167"/>
        <v>&lt;telephony nid="2"&gt;</v>
      </c>
      <c r="G414" t="str">
        <f t="shared" si="168"/>
        <v/>
      </c>
      <c r="H414" t="str">
        <f t="shared" si="169"/>
        <v>&lt;services nid="1"&gt;&lt;email id="0" classifier="private"&gt;corry.den.hoed@gmail.com&lt;/email&gt;&lt;/services&gt;&lt;setup /&gt;&lt;mod_time&gt;1500000010&lt;/mod_time&gt;&lt;uniqueid&gt;1&lt;/uniqueid&gt;&lt;/contact&gt;</v>
      </c>
      <c r="I414" t="str">
        <f t="shared" si="170"/>
        <v>&lt;services /&gt;&lt;setup /&gt;&lt;mod_time&gt;1500000010&lt;/mod_time&gt;&lt;uniqueid&gt;1&lt;/uniqueid&gt;&lt;/contact&gt;</v>
      </c>
      <c r="J414" t="str">
        <f t="shared" si="171"/>
        <v>&lt;services nid="1"&gt;&lt;email id="0" classifier="private"&gt;corry.den.hoed@gmail.com&lt;/email&gt;&lt;/services&gt;&lt;setup /&gt;&lt;mod_time&gt;1500000010&lt;/mod_time&gt;&lt;uniqueid&gt;1&lt;/uniqueid&gt;&lt;/contact&gt;</v>
      </c>
      <c r="K414" s="5">
        <f t="shared" si="172"/>
        <v>0</v>
      </c>
      <c r="L414" s="5">
        <f t="shared" si="173"/>
        <v>0</v>
      </c>
      <c r="M414" s="5" t="str">
        <f>CONCATENATE(+Contacts!E414)</f>
        <v/>
      </c>
      <c r="N414" t="str">
        <f t="shared" si="174"/>
        <v>&lt;number id="0" prio="1" type="home"&gt;+31 104216277&lt;/number&gt;</v>
      </c>
      <c r="O414" s="5">
        <f t="shared" si="175"/>
        <v>1</v>
      </c>
      <c r="P414" s="5">
        <f t="shared" si="176"/>
        <v>1</v>
      </c>
      <c r="Q414" s="5" t="str">
        <f>CONCATENATE(+Contacts!G414)</f>
        <v>+31 104216277</v>
      </c>
      <c r="R414" t="str">
        <f t="shared" si="177"/>
        <v>&lt;number id="1" prio="0" type="mobile"&gt;+31 644669296&lt;/number&gt;</v>
      </c>
      <c r="S414" s="5">
        <f t="shared" si="178"/>
        <v>2</v>
      </c>
      <c r="T414" s="5">
        <f t="shared" si="179"/>
        <v>0</v>
      </c>
      <c r="U414" s="5" t="str">
        <f>CONCATENATE(+Contacts!H414)</f>
        <v>+31 644669296</v>
      </c>
      <c r="V414" t="str">
        <f t="shared" si="180"/>
        <v/>
      </c>
      <c r="W414" s="5">
        <f t="shared" si="181"/>
        <v>2</v>
      </c>
      <c r="X414" s="5">
        <f t="shared" si="182"/>
        <v>0</v>
      </c>
      <c r="Y414" s="5" t="str">
        <f>CONCATENATE(+Contacts!F414)</f>
        <v/>
      </c>
      <c r="Z414" s="2" t="str">
        <f t="shared" si="183"/>
        <v xml:space="preserve">Tijl, Corry   </v>
      </c>
      <c r="AA414" s="2" t="str">
        <f>CONCATENATE(+Contacts!C414)</f>
        <v>Tijl</v>
      </c>
      <c r="AB414" s="2" t="str">
        <f t="shared" si="184"/>
        <v xml:space="preserve">, </v>
      </c>
      <c r="AC414" s="2" t="str">
        <f>CONCATENATE(+Contacts!A414)</f>
        <v>Corry</v>
      </c>
      <c r="AD414" s="3" t="str">
        <f>CONCATENATE(" ",+Contacts!B414)</f>
        <v xml:space="preserve"> </v>
      </c>
      <c r="AE414" s="2" t="str">
        <f t="shared" si="185"/>
        <v xml:space="preserve"> </v>
      </c>
      <c r="AF414" s="3" t="str">
        <f>CONCATENATE(+Contacts!D414)</f>
        <v/>
      </c>
      <c r="AG414" s="2" t="str">
        <f t="shared" si="186"/>
        <v xml:space="preserve"> </v>
      </c>
      <c r="AH414" t="str">
        <f>CONCATENATE(+Contacts!I414)</f>
        <v>corry.den.hoed@gmail.com</v>
      </c>
      <c r="AI414">
        <v>1500000010</v>
      </c>
      <c r="AJ414" s="5">
        <f t="shared" si="187"/>
        <v>1</v>
      </c>
    </row>
    <row r="415" spans="1:36" x14ac:dyDescent="0.35">
      <c r="A415" s="7" t="str">
        <f t="shared" si="162"/>
        <v/>
      </c>
      <c r="B415" s="7" t="str">
        <f t="shared" si="163"/>
        <v/>
      </c>
      <c r="C415" s="7" t="str">
        <f t="shared" si="164"/>
        <v/>
      </c>
      <c r="D415" t="str">
        <f t="shared" si="165"/>
        <v>&lt;contact&gt;&lt;category&gt;0&lt;/category&gt;&lt;person&gt;&lt;realName&gt;Tijl, Diet   &lt;/realName&gt;&lt;/person&gt;</v>
      </c>
      <c r="E415" t="str">
        <f t="shared" si="166"/>
        <v>&lt;telephony nid="0"&gt;&lt;/telephony&gt;</v>
      </c>
      <c r="F415" t="str">
        <f t="shared" si="167"/>
        <v>&lt;telephony nid="0"&gt;</v>
      </c>
      <c r="G415" t="str">
        <f t="shared" si="168"/>
        <v/>
      </c>
      <c r="H415" t="str">
        <f t="shared" si="169"/>
        <v>&lt;services nid="1"&gt;&lt;email id="0" classifier="private"&gt;&lt;/email&gt;&lt;/services&gt;&lt;setup /&gt;&lt;mod_time&gt;1500000010&lt;/mod_time&gt;&lt;uniqueid&gt;0&lt;/uniqueid&gt;&lt;/contact&gt;</v>
      </c>
      <c r="I415" t="str">
        <f t="shared" si="170"/>
        <v>&lt;services /&gt;&lt;setup /&gt;&lt;mod_time&gt;1500000010&lt;/mod_time&gt;&lt;uniqueid&gt;0&lt;/uniqueid&gt;&lt;/contact&gt;</v>
      </c>
      <c r="J415" t="str">
        <f t="shared" si="171"/>
        <v>&lt;services /&gt;&lt;setup /&gt;&lt;mod_time&gt;1500000010&lt;/mod_time&gt;&lt;uniqueid&gt;0&lt;/uniqueid&gt;&lt;/contact&gt;</v>
      </c>
      <c r="K415" s="5">
        <f t="shared" si="172"/>
        <v>0</v>
      </c>
      <c r="L415" s="5">
        <f t="shared" si="173"/>
        <v>0</v>
      </c>
      <c r="M415" s="5" t="str">
        <f>CONCATENATE(+Contacts!E415)</f>
        <v/>
      </c>
      <c r="N415" t="str">
        <f t="shared" si="174"/>
        <v/>
      </c>
      <c r="O415" s="5">
        <f t="shared" si="175"/>
        <v>0</v>
      </c>
      <c r="P415" s="5">
        <f t="shared" si="176"/>
        <v>0</v>
      </c>
      <c r="Q415" s="5" t="str">
        <f>CONCATENATE(+Contacts!G415)</f>
        <v/>
      </c>
      <c r="R415" t="str">
        <f t="shared" si="177"/>
        <v/>
      </c>
      <c r="S415" s="5">
        <f t="shared" si="178"/>
        <v>0</v>
      </c>
      <c r="T415" s="5">
        <f t="shared" si="179"/>
        <v>0</v>
      </c>
      <c r="U415" s="5" t="str">
        <f>CONCATENATE(+Contacts!H415)</f>
        <v/>
      </c>
      <c r="V415" t="str">
        <f t="shared" si="180"/>
        <v/>
      </c>
      <c r="W415" s="5">
        <f t="shared" si="181"/>
        <v>0</v>
      </c>
      <c r="X415" s="5">
        <f t="shared" si="182"/>
        <v>0</v>
      </c>
      <c r="Y415" s="5" t="str">
        <f>CONCATENATE(+Contacts!F415)</f>
        <v/>
      </c>
      <c r="Z415" s="2" t="str">
        <f t="shared" si="183"/>
        <v xml:space="preserve">Tijl, Diet   </v>
      </c>
      <c r="AA415" s="2" t="str">
        <f>CONCATENATE(+Contacts!C415)</f>
        <v>Tijl</v>
      </c>
      <c r="AB415" s="2" t="str">
        <f t="shared" si="184"/>
        <v xml:space="preserve">, </v>
      </c>
      <c r="AC415" s="2" t="str">
        <f>CONCATENATE(+Contacts!A415)</f>
        <v>Diet</v>
      </c>
      <c r="AD415" s="3" t="str">
        <f>CONCATENATE(" ",+Contacts!B415)</f>
        <v xml:space="preserve"> </v>
      </c>
      <c r="AE415" s="2" t="str">
        <f t="shared" si="185"/>
        <v xml:space="preserve"> </v>
      </c>
      <c r="AF415" s="3" t="str">
        <f>CONCATENATE(+Contacts!D415)</f>
        <v/>
      </c>
      <c r="AG415" s="2" t="str">
        <f t="shared" si="186"/>
        <v xml:space="preserve"> </v>
      </c>
      <c r="AH415" t="str">
        <f>CONCATENATE(+Contacts!I415)</f>
        <v/>
      </c>
      <c r="AI415">
        <v>1500000010</v>
      </c>
      <c r="AJ415" s="5">
        <f t="shared" si="187"/>
        <v>0</v>
      </c>
    </row>
    <row r="416" spans="1:36" x14ac:dyDescent="0.35">
      <c r="A416" s="7" t="str">
        <f t="shared" si="162"/>
        <v/>
      </c>
      <c r="B416" s="7" t="str">
        <f t="shared" si="163"/>
        <v/>
      </c>
      <c r="C416" s="7" t="str">
        <f t="shared" si="164"/>
        <v/>
      </c>
      <c r="D416" t="str">
        <f t="shared" si="165"/>
        <v>&lt;contact&gt;&lt;category&gt;0&lt;/category&gt;&lt;person&gt;&lt;realName&gt;Tillemans, Paul   &lt;/realName&gt;&lt;/person&gt;</v>
      </c>
      <c r="E416" t="str">
        <f t="shared" si="166"/>
        <v>&lt;telephony nid="0"&gt;&lt;/telephony&gt;</v>
      </c>
      <c r="F416" t="str">
        <f t="shared" si="167"/>
        <v>&lt;telephony nid="0"&gt;</v>
      </c>
      <c r="G416" t="str">
        <f t="shared" si="168"/>
        <v/>
      </c>
      <c r="H416" t="str">
        <f t="shared" si="169"/>
        <v>&lt;services nid="1"&gt;&lt;email id="0" classifier="private"&gt;paul.tillemans@orange.fr&lt;/email&gt;&lt;/services&gt;&lt;setup /&gt;&lt;mod_time&gt;1500000010&lt;/mod_time&gt;&lt;uniqueid&gt;0&lt;/uniqueid&gt;&lt;/contact&gt;</v>
      </c>
      <c r="I416" t="str">
        <f t="shared" si="170"/>
        <v>&lt;services /&gt;&lt;setup /&gt;&lt;mod_time&gt;1500000010&lt;/mod_time&gt;&lt;uniqueid&gt;0&lt;/uniqueid&gt;&lt;/contact&gt;</v>
      </c>
      <c r="J416" t="str">
        <f t="shared" si="171"/>
        <v>&lt;services nid="1"&gt;&lt;email id="0" classifier="private"&gt;paul.tillemans@orange.fr&lt;/email&gt;&lt;/services&gt;&lt;setup /&gt;&lt;mod_time&gt;1500000010&lt;/mod_time&gt;&lt;uniqueid&gt;0&lt;/uniqueid&gt;&lt;/contact&gt;</v>
      </c>
      <c r="K416" s="5">
        <f t="shared" si="172"/>
        <v>0</v>
      </c>
      <c r="L416" s="5">
        <f t="shared" si="173"/>
        <v>0</v>
      </c>
      <c r="M416" s="5" t="str">
        <f>CONCATENATE(+Contacts!E416)</f>
        <v/>
      </c>
      <c r="N416" t="str">
        <f t="shared" si="174"/>
        <v/>
      </c>
      <c r="O416" s="5">
        <f t="shared" si="175"/>
        <v>0</v>
      </c>
      <c r="P416" s="5">
        <f t="shared" si="176"/>
        <v>0</v>
      </c>
      <c r="Q416" s="5" t="str">
        <f>CONCATENATE(+Contacts!G416)</f>
        <v/>
      </c>
      <c r="R416" t="str">
        <f t="shared" si="177"/>
        <v/>
      </c>
      <c r="S416" s="5">
        <f t="shared" si="178"/>
        <v>0</v>
      </c>
      <c r="T416" s="5">
        <f t="shared" si="179"/>
        <v>0</v>
      </c>
      <c r="U416" s="5" t="str">
        <f>CONCATENATE(+Contacts!H416)</f>
        <v/>
      </c>
      <c r="V416" t="str">
        <f t="shared" si="180"/>
        <v/>
      </c>
      <c r="W416" s="5">
        <f t="shared" si="181"/>
        <v>0</v>
      </c>
      <c r="X416" s="5">
        <f t="shared" si="182"/>
        <v>0</v>
      </c>
      <c r="Y416" s="5" t="str">
        <f>CONCATENATE(+Contacts!F416)</f>
        <v/>
      </c>
      <c r="Z416" s="2" t="str">
        <f t="shared" si="183"/>
        <v xml:space="preserve">Tillemans, Paul   </v>
      </c>
      <c r="AA416" s="2" t="str">
        <f>CONCATENATE(+Contacts!C416)</f>
        <v>Tillemans</v>
      </c>
      <c r="AB416" s="2" t="str">
        <f t="shared" si="184"/>
        <v xml:space="preserve">, </v>
      </c>
      <c r="AC416" s="2" t="str">
        <f>CONCATENATE(+Contacts!A416)</f>
        <v>Paul</v>
      </c>
      <c r="AD416" s="3" t="str">
        <f>CONCATENATE(" ",+Contacts!B416)</f>
        <v xml:space="preserve"> </v>
      </c>
      <c r="AE416" s="2" t="str">
        <f t="shared" si="185"/>
        <v xml:space="preserve"> </v>
      </c>
      <c r="AF416" s="3" t="str">
        <f>CONCATENATE(+Contacts!D416)</f>
        <v/>
      </c>
      <c r="AG416" s="2" t="str">
        <f t="shared" si="186"/>
        <v xml:space="preserve"> </v>
      </c>
      <c r="AH416" t="str">
        <f>CONCATENATE(+Contacts!I416)</f>
        <v>paul.tillemans@orange.fr</v>
      </c>
      <c r="AI416">
        <v>1500000010</v>
      </c>
      <c r="AJ416" s="5">
        <f t="shared" si="187"/>
        <v>0</v>
      </c>
    </row>
    <row r="417" spans="1:36" x14ac:dyDescent="0.35">
      <c r="A417" s="7" t="str">
        <f t="shared" si="162"/>
        <v>&lt;contact&gt;&lt;category&gt;0&lt;/category&gt;&lt;person&gt;&lt;realName&gt;Tilman, Han   &lt;/realName&gt;&lt;/person&gt;</v>
      </c>
      <c r="B417" s="7" t="str">
        <f t="shared" si="163"/>
        <v>&lt;telephony nid="1"&gt;&lt;number id="0" prio="1" type="mobile"&gt;+31 630255302&lt;/number&gt;&lt;/telephony&gt;</v>
      </c>
      <c r="C417" s="7" t="str">
        <f t="shared" si="164"/>
        <v>&lt;services nid="1"&gt;&lt;email id="0" classifier="private"&gt;kottil@upcmail.nl&lt;/email&gt;&lt;/services&gt;&lt;setup /&gt;&lt;mod_time&gt;1500000010&lt;/mod_time&gt;&lt;uniqueid&gt;1&lt;/uniqueid&gt;&lt;/contact&gt;</v>
      </c>
      <c r="D417" t="str">
        <f t="shared" si="165"/>
        <v>&lt;contact&gt;&lt;category&gt;0&lt;/category&gt;&lt;person&gt;&lt;realName&gt;Tilman, Han   &lt;/realName&gt;&lt;/person&gt;</v>
      </c>
      <c r="E417" t="str">
        <f t="shared" si="166"/>
        <v>&lt;telephony nid="1"&gt;&lt;number id="0" prio="1" type="mobile"&gt;+31 630255302&lt;/number&gt;&lt;/telephony&gt;</v>
      </c>
      <c r="F417" t="str">
        <f t="shared" si="167"/>
        <v>&lt;telephony nid="1"&gt;</v>
      </c>
      <c r="G417" t="str">
        <f t="shared" si="168"/>
        <v/>
      </c>
      <c r="H417" t="str">
        <f t="shared" si="169"/>
        <v>&lt;services nid="1"&gt;&lt;email id="0" classifier="private"&gt;kottil@upcmail.nl&lt;/email&gt;&lt;/services&gt;&lt;setup /&gt;&lt;mod_time&gt;1500000010&lt;/mod_time&gt;&lt;uniqueid&gt;1&lt;/uniqueid&gt;&lt;/contact&gt;</v>
      </c>
      <c r="I417" t="str">
        <f t="shared" si="170"/>
        <v>&lt;services /&gt;&lt;setup /&gt;&lt;mod_time&gt;1500000010&lt;/mod_time&gt;&lt;uniqueid&gt;1&lt;/uniqueid&gt;&lt;/contact&gt;</v>
      </c>
      <c r="J417" t="str">
        <f t="shared" si="171"/>
        <v>&lt;services nid="1"&gt;&lt;email id="0" classifier="private"&gt;kottil@upcmail.nl&lt;/email&gt;&lt;/services&gt;&lt;setup /&gt;&lt;mod_time&gt;1500000010&lt;/mod_time&gt;&lt;uniqueid&gt;1&lt;/uniqueid&gt;&lt;/contact&gt;</v>
      </c>
      <c r="K417" s="5">
        <f t="shared" si="172"/>
        <v>0</v>
      </c>
      <c r="L417" s="5">
        <f t="shared" si="173"/>
        <v>0</v>
      </c>
      <c r="M417" s="5" t="str">
        <f>CONCATENATE(+Contacts!E417)</f>
        <v/>
      </c>
      <c r="N417" t="str">
        <f t="shared" si="174"/>
        <v/>
      </c>
      <c r="O417" s="5">
        <f t="shared" si="175"/>
        <v>0</v>
      </c>
      <c r="P417" s="5">
        <f t="shared" si="176"/>
        <v>0</v>
      </c>
      <c r="Q417" s="5" t="str">
        <f>CONCATENATE(+Contacts!G417)</f>
        <v/>
      </c>
      <c r="R417" t="str">
        <f t="shared" si="177"/>
        <v>&lt;number id="0" prio="1" type="mobile"&gt;+31 630255302&lt;/number&gt;</v>
      </c>
      <c r="S417" s="5">
        <f t="shared" si="178"/>
        <v>1</v>
      </c>
      <c r="T417" s="5">
        <f t="shared" si="179"/>
        <v>1</v>
      </c>
      <c r="U417" s="5" t="str">
        <f>CONCATENATE(+Contacts!H417)</f>
        <v>+31 630255302</v>
      </c>
      <c r="V417" t="str">
        <f t="shared" si="180"/>
        <v/>
      </c>
      <c r="W417" s="5">
        <f t="shared" si="181"/>
        <v>1</v>
      </c>
      <c r="X417" s="5">
        <f t="shared" si="182"/>
        <v>1</v>
      </c>
      <c r="Y417" s="5" t="str">
        <f>CONCATENATE(+Contacts!F417)</f>
        <v/>
      </c>
      <c r="Z417" s="2" t="str">
        <f t="shared" si="183"/>
        <v xml:space="preserve">Tilman, Han   </v>
      </c>
      <c r="AA417" s="2" t="str">
        <f>CONCATENATE(+Contacts!C417)</f>
        <v>Tilman</v>
      </c>
      <c r="AB417" s="2" t="str">
        <f t="shared" si="184"/>
        <v xml:space="preserve">, </v>
      </c>
      <c r="AC417" s="2" t="str">
        <f>CONCATENATE(+Contacts!A417)</f>
        <v>Han</v>
      </c>
      <c r="AD417" s="3" t="str">
        <f>CONCATENATE(" ",+Contacts!B417)</f>
        <v xml:space="preserve"> </v>
      </c>
      <c r="AE417" s="2" t="str">
        <f t="shared" si="185"/>
        <v xml:space="preserve"> </v>
      </c>
      <c r="AF417" s="3" t="str">
        <f>CONCATENATE(+Contacts!D417)</f>
        <v/>
      </c>
      <c r="AG417" s="2" t="str">
        <f t="shared" si="186"/>
        <v xml:space="preserve"> </v>
      </c>
      <c r="AH417" t="str">
        <f>CONCATENATE(+Contacts!I417)</f>
        <v>kottil@upcmail.nl</v>
      </c>
      <c r="AI417">
        <v>1500000010</v>
      </c>
      <c r="AJ417" s="5">
        <f t="shared" si="187"/>
        <v>1</v>
      </c>
    </row>
    <row r="418" spans="1:36" x14ac:dyDescent="0.35">
      <c r="A418" s="7" t="str">
        <f t="shared" si="162"/>
        <v>&lt;contact&gt;&lt;category&gt;0&lt;/category&gt;&lt;person&gt;&lt;realName&gt;, Timmerman Kattenmeubel   &lt;/realName&gt;&lt;/person&gt;</v>
      </c>
      <c r="B418" s="7" t="str">
        <f t="shared" si="163"/>
        <v>&lt;telephony nid="1"&gt;&lt;number id="0" prio="1" type="home"&gt;(06) 20 88 22 55&lt;/number&gt;&lt;/telephony&gt;</v>
      </c>
      <c r="C418" s="7" t="str">
        <f t="shared" si="164"/>
        <v>&lt;services /&gt;&lt;setup /&gt;&lt;mod_time&gt;1500000010&lt;/mod_time&gt;&lt;uniqueid&gt;1&lt;/uniqueid&gt;&lt;/contact&gt;</v>
      </c>
      <c r="D418" t="str">
        <f t="shared" si="165"/>
        <v>&lt;contact&gt;&lt;category&gt;0&lt;/category&gt;&lt;person&gt;&lt;realName&gt;, Timmerman Kattenmeubel   &lt;/realName&gt;&lt;/person&gt;</v>
      </c>
      <c r="E418" t="str">
        <f t="shared" si="166"/>
        <v>&lt;telephony nid="1"&gt;&lt;number id="0" prio="1" type="home"&gt;(06) 20 88 22 55&lt;/number&gt;&lt;/telephony&gt;</v>
      </c>
      <c r="F418" t="str">
        <f t="shared" si="167"/>
        <v>&lt;telephony nid="1"&gt;</v>
      </c>
      <c r="G418" t="str">
        <f t="shared" si="168"/>
        <v/>
      </c>
      <c r="H418" t="str">
        <f t="shared" si="169"/>
        <v>&lt;services nid="1"&gt;&lt;email id="0" classifier="private"&gt;&lt;/email&gt;&lt;/services&gt;&lt;setup /&gt;&lt;mod_time&gt;1500000010&lt;/mod_time&gt;&lt;uniqueid&gt;1&lt;/uniqueid&gt;&lt;/contact&gt;</v>
      </c>
      <c r="I418" t="str">
        <f t="shared" si="170"/>
        <v>&lt;services /&gt;&lt;setup /&gt;&lt;mod_time&gt;1500000010&lt;/mod_time&gt;&lt;uniqueid&gt;1&lt;/uniqueid&gt;&lt;/contact&gt;</v>
      </c>
      <c r="J418" t="str">
        <f t="shared" si="171"/>
        <v>&lt;services /&gt;&lt;setup /&gt;&lt;mod_time&gt;1500000010&lt;/mod_time&gt;&lt;uniqueid&gt;1&lt;/uniqueid&gt;&lt;/contact&gt;</v>
      </c>
      <c r="K418" s="5">
        <f t="shared" si="172"/>
        <v>0</v>
      </c>
      <c r="L418" s="5">
        <f t="shared" si="173"/>
        <v>0</v>
      </c>
      <c r="M418" s="5" t="str">
        <f>CONCATENATE(+Contacts!E418)</f>
        <v/>
      </c>
      <c r="N418" t="str">
        <f t="shared" si="174"/>
        <v>&lt;number id="0" prio="1" type="home"&gt;(06) 20 88 22 55&lt;/number&gt;</v>
      </c>
      <c r="O418" s="5">
        <f t="shared" si="175"/>
        <v>1</v>
      </c>
      <c r="P418" s="5">
        <f t="shared" si="176"/>
        <v>1</v>
      </c>
      <c r="Q418" s="5" t="str">
        <f>CONCATENATE(+Contacts!G418)</f>
        <v>(06) 20 88 22 55</v>
      </c>
      <c r="R418" t="str">
        <f t="shared" si="177"/>
        <v/>
      </c>
      <c r="S418" s="5">
        <f t="shared" si="178"/>
        <v>1</v>
      </c>
      <c r="T418" s="5">
        <f t="shared" si="179"/>
        <v>1</v>
      </c>
      <c r="U418" s="5" t="str">
        <f>CONCATENATE(+Contacts!H418)</f>
        <v/>
      </c>
      <c r="V418" t="str">
        <f t="shared" si="180"/>
        <v/>
      </c>
      <c r="W418" s="5">
        <f t="shared" si="181"/>
        <v>1</v>
      </c>
      <c r="X418" s="5">
        <f t="shared" si="182"/>
        <v>1</v>
      </c>
      <c r="Y418" s="5" t="str">
        <f>CONCATENATE(+Contacts!F418)</f>
        <v/>
      </c>
      <c r="Z418" s="2" t="str">
        <f t="shared" si="183"/>
        <v xml:space="preserve">, Timmerman Kattenmeubel   </v>
      </c>
      <c r="AA418" s="2" t="str">
        <f>CONCATENATE(+Contacts!C418)</f>
        <v/>
      </c>
      <c r="AB418" s="2" t="str">
        <f t="shared" si="184"/>
        <v xml:space="preserve">, </v>
      </c>
      <c r="AC418" s="2" t="str">
        <f>CONCATENATE(+Contacts!A418)</f>
        <v>Timmerman Kattenmeubel</v>
      </c>
      <c r="AD418" s="3" t="str">
        <f>CONCATENATE(" ",+Contacts!B418)</f>
        <v xml:space="preserve"> </v>
      </c>
      <c r="AE418" s="2" t="str">
        <f t="shared" si="185"/>
        <v xml:space="preserve"> </v>
      </c>
      <c r="AF418" s="3" t="str">
        <f>CONCATENATE(+Contacts!D418)</f>
        <v/>
      </c>
      <c r="AG418" s="2" t="str">
        <f t="shared" si="186"/>
        <v xml:space="preserve"> </v>
      </c>
      <c r="AH418" t="str">
        <f>CONCATENATE(+Contacts!I418)</f>
        <v/>
      </c>
      <c r="AI418">
        <v>1500000010</v>
      </c>
      <c r="AJ418" s="5">
        <f t="shared" si="187"/>
        <v>1</v>
      </c>
    </row>
    <row r="419" spans="1:36" x14ac:dyDescent="0.35">
      <c r="A419" s="7" t="str">
        <f t="shared" si="162"/>
        <v>&lt;contact&gt;&lt;category&gt;0&lt;/category&gt;&lt;person&gt;&lt;realName&gt;Tournois, Juliette   &lt;/realName&gt;&lt;/person&gt;</v>
      </c>
      <c r="B419" s="7" t="str">
        <f t="shared" si="163"/>
        <v>&lt;telephony nid="2"&gt;&lt;number id="0" prio="1" type="mobile"&gt;+31 627139688&lt;/number&gt;&lt;number id="1" prio="0" type="work"&gt;+33 6 29 72 22 66&lt;/number&gt;&lt;/telephony&gt;</v>
      </c>
      <c r="C419" s="7" t="str">
        <f t="shared" si="164"/>
        <v>&lt;services nid="1"&gt;&lt;email id="0" classifier="private"&gt;juliettetournois@hotmail.com&lt;/email&gt;&lt;/services&gt;&lt;setup /&gt;&lt;mod_time&gt;1500000010&lt;/mod_time&gt;&lt;uniqueid&gt;1&lt;/uniqueid&gt;&lt;/contact&gt;</v>
      </c>
      <c r="D419" t="str">
        <f t="shared" si="165"/>
        <v>&lt;contact&gt;&lt;category&gt;0&lt;/category&gt;&lt;person&gt;&lt;realName&gt;Tournois, Juliette   &lt;/realName&gt;&lt;/person&gt;</v>
      </c>
      <c r="E419" t="str">
        <f t="shared" si="166"/>
        <v>&lt;telephony nid="2"&gt;&lt;number id="0" prio="1" type="mobile"&gt;+31 627139688&lt;/number&gt;&lt;number id="1" prio="0" type="work"&gt;+33 6 29 72 22 66&lt;/number&gt;&lt;/telephony&gt;</v>
      </c>
      <c r="F419" t="str">
        <f t="shared" si="167"/>
        <v>&lt;telephony nid="2"&gt;</v>
      </c>
      <c r="G419" t="str">
        <f t="shared" si="168"/>
        <v/>
      </c>
      <c r="H419" t="str">
        <f t="shared" si="169"/>
        <v>&lt;services nid="1"&gt;&lt;email id="0" classifier="private"&gt;juliettetournois@hotmail.com&lt;/email&gt;&lt;/services&gt;&lt;setup /&gt;&lt;mod_time&gt;1500000010&lt;/mod_time&gt;&lt;uniqueid&gt;1&lt;/uniqueid&gt;&lt;/contact&gt;</v>
      </c>
      <c r="I419" t="str">
        <f t="shared" si="170"/>
        <v>&lt;services /&gt;&lt;setup /&gt;&lt;mod_time&gt;1500000010&lt;/mod_time&gt;&lt;uniqueid&gt;1&lt;/uniqueid&gt;&lt;/contact&gt;</v>
      </c>
      <c r="J419" t="str">
        <f t="shared" si="171"/>
        <v>&lt;services nid="1"&gt;&lt;email id="0" classifier="private"&gt;juliettetournois@hotmail.com&lt;/email&gt;&lt;/services&gt;&lt;setup /&gt;&lt;mod_time&gt;1500000010&lt;/mod_time&gt;&lt;uniqueid&gt;1&lt;/uniqueid&gt;&lt;/contact&gt;</v>
      </c>
      <c r="K419" s="5">
        <f t="shared" si="172"/>
        <v>0</v>
      </c>
      <c r="L419" s="5">
        <f t="shared" si="173"/>
        <v>0</v>
      </c>
      <c r="M419" s="5" t="str">
        <f>CONCATENATE(+Contacts!E419)</f>
        <v/>
      </c>
      <c r="N419" t="str">
        <f t="shared" si="174"/>
        <v/>
      </c>
      <c r="O419" s="5">
        <f t="shared" si="175"/>
        <v>0</v>
      </c>
      <c r="P419" s="5">
        <f t="shared" si="176"/>
        <v>0</v>
      </c>
      <c r="Q419" s="5" t="str">
        <f>CONCATENATE(+Contacts!G419)</f>
        <v/>
      </c>
      <c r="R419" t="str">
        <f t="shared" si="177"/>
        <v>&lt;number id="0" prio="1" type="mobile"&gt;+31 627139688&lt;/number&gt;</v>
      </c>
      <c r="S419" s="5">
        <f t="shared" si="178"/>
        <v>1</v>
      </c>
      <c r="T419" s="5">
        <f t="shared" si="179"/>
        <v>1</v>
      </c>
      <c r="U419" s="5" t="str">
        <f>CONCATENATE(+Contacts!H419)</f>
        <v>+31 627139688</v>
      </c>
      <c r="V419" t="str">
        <f t="shared" si="180"/>
        <v>&lt;number id="1" prio="0" type="work"&gt;+33 6 29 72 22 66&lt;/number&gt;</v>
      </c>
      <c r="W419" s="5">
        <f t="shared" si="181"/>
        <v>2</v>
      </c>
      <c r="X419" s="5">
        <f t="shared" si="182"/>
        <v>0</v>
      </c>
      <c r="Y419" s="5" t="str">
        <f>CONCATENATE(+Contacts!F419)</f>
        <v>+33 6 29 72 22 66</v>
      </c>
      <c r="Z419" s="2" t="str">
        <f t="shared" si="183"/>
        <v xml:space="preserve">Tournois, Juliette   </v>
      </c>
      <c r="AA419" s="2" t="str">
        <f>CONCATENATE(+Contacts!C419)</f>
        <v>Tournois</v>
      </c>
      <c r="AB419" s="2" t="str">
        <f t="shared" si="184"/>
        <v xml:space="preserve">, </v>
      </c>
      <c r="AC419" s="2" t="str">
        <f>CONCATENATE(+Contacts!A419)</f>
        <v>Juliette</v>
      </c>
      <c r="AD419" s="3" t="str">
        <f>CONCATENATE(" ",+Contacts!B419)</f>
        <v xml:space="preserve"> </v>
      </c>
      <c r="AE419" s="2" t="str">
        <f t="shared" si="185"/>
        <v xml:space="preserve"> </v>
      </c>
      <c r="AF419" s="3" t="str">
        <f>CONCATENATE(+Contacts!D419)</f>
        <v/>
      </c>
      <c r="AG419" s="2" t="str">
        <f t="shared" si="186"/>
        <v xml:space="preserve"> </v>
      </c>
      <c r="AH419" t="str">
        <f>CONCATENATE(+Contacts!I419)</f>
        <v>juliettetournois@hotmail.com</v>
      </c>
      <c r="AI419">
        <v>1500000010</v>
      </c>
      <c r="AJ419" s="5">
        <f t="shared" si="187"/>
        <v>1</v>
      </c>
    </row>
    <row r="420" spans="1:36" x14ac:dyDescent="0.35">
      <c r="A420" s="7" t="str">
        <f t="shared" si="162"/>
        <v>&lt;contact&gt;&lt;category&gt;0&lt;/category&gt;&lt;person&gt;&lt;realName&gt;Trapman, Sybo   &lt;/realName&gt;&lt;/person&gt;</v>
      </c>
      <c r="B420" s="7" t="str">
        <f t="shared" si="163"/>
        <v>&lt;telephony nid="1"&gt;&lt;number id="0" prio="1" type="mobile"&gt;+31 655193007&lt;/number&gt;&lt;/telephony&gt;</v>
      </c>
      <c r="C420" s="7" t="str">
        <f t="shared" si="164"/>
        <v>&lt;services /&gt;&lt;setup /&gt;&lt;mod_time&gt;1500000010&lt;/mod_time&gt;&lt;uniqueid&gt;1&lt;/uniqueid&gt;&lt;/contact&gt;</v>
      </c>
      <c r="D420" t="str">
        <f t="shared" si="165"/>
        <v>&lt;contact&gt;&lt;category&gt;0&lt;/category&gt;&lt;person&gt;&lt;realName&gt;Trapman, Sybo   &lt;/realName&gt;&lt;/person&gt;</v>
      </c>
      <c r="E420" t="str">
        <f t="shared" si="166"/>
        <v>&lt;telephony nid="1"&gt;&lt;number id="0" prio="1" type="mobile"&gt;+31 655193007&lt;/number&gt;&lt;/telephony&gt;</v>
      </c>
      <c r="F420" t="str">
        <f t="shared" si="167"/>
        <v>&lt;telephony nid="1"&gt;</v>
      </c>
      <c r="G420" t="str">
        <f t="shared" si="168"/>
        <v/>
      </c>
      <c r="H420" t="str">
        <f t="shared" si="169"/>
        <v>&lt;services nid="1"&gt;&lt;email id="0" classifier="private"&gt;&lt;/email&gt;&lt;/services&gt;&lt;setup /&gt;&lt;mod_time&gt;1500000010&lt;/mod_time&gt;&lt;uniqueid&gt;1&lt;/uniqueid&gt;&lt;/contact&gt;</v>
      </c>
      <c r="I420" t="str">
        <f t="shared" si="170"/>
        <v>&lt;services /&gt;&lt;setup /&gt;&lt;mod_time&gt;1500000010&lt;/mod_time&gt;&lt;uniqueid&gt;1&lt;/uniqueid&gt;&lt;/contact&gt;</v>
      </c>
      <c r="J420" t="str">
        <f t="shared" si="171"/>
        <v>&lt;services /&gt;&lt;setup /&gt;&lt;mod_time&gt;1500000010&lt;/mod_time&gt;&lt;uniqueid&gt;1&lt;/uniqueid&gt;&lt;/contact&gt;</v>
      </c>
      <c r="K420" s="5">
        <f t="shared" si="172"/>
        <v>0</v>
      </c>
      <c r="L420" s="5">
        <f t="shared" si="173"/>
        <v>0</v>
      </c>
      <c r="M420" s="5" t="str">
        <f>CONCATENATE(+Contacts!E420)</f>
        <v/>
      </c>
      <c r="N420" t="str">
        <f t="shared" si="174"/>
        <v/>
      </c>
      <c r="O420" s="5">
        <f t="shared" si="175"/>
        <v>0</v>
      </c>
      <c r="P420" s="5">
        <f t="shared" si="176"/>
        <v>0</v>
      </c>
      <c r="Q420" s="5" t="str">
        <f>CONCATENATE(+Contacts!G420)</f>
        <v/>
      </c>
      <c r="R420" t="str">
        <f t="shared" si="177"/>
        <v>&lt;number id="0" prio="1" type="mobile"&gt;+31 655193007&lt;/number&gt;</v>
      </c>
      <c r="S420" s="5">
        <f t="shared" si="178"/>
        <v>1</v>
      </c>
      <c r="T420" s="5">
        <f t="shared" si="179"/>
        <v>1</v>
      </c>
      <c r="U420" s="5" t="str">
        <f>CONCATENATE(+Contacts!H420)</f>
        <v>+31 655193007</v>
      </c>
      <c r="V420" t="str">
        <f t="shared" si="180"/>
        <v/>
      </c>
      <c r="W420" s="5">
        <f t="shared" si="181"/>
        <v>1</v>
      </c>
      <c r="X420" s="5">
        <f t="shared" si="182"/>
        <v>1</v>
      </c>
      <c r="Y420" s="5" t="str">
        <f>CONCATENATE(+Contacts!F420)</f>
        <v/>
      </c>
      <c r="Z420" s="2" t="str">
        <f t="shared" si="183"/>
        <v xml:space="preserve">Trapman, Sybo   </v>
      </c>
      <c r="AA420" s="2" t="str">
        <f>CONCATENATE(+Contacts!C420)</f>
        <v>Trapman</v>
      </c>
      <c r="AB420" s="2" t="str">
        <f t="shared" si="184"/>
        <v xml:space="preserve">, </v>
      </c>
      <c r="AC420" s="2" t="str">
        <f>CONCATENATE(+Contacts!A420)</f>
        <v>Sybo</v>
      </c>
      <c r="AD420" s="3" t="str">
        <f>CONCATENATE(" ",+Contacts!B420)</f>
        <v xml:space="preserve"> </v>
      </c>
      <c r="AE420" s="2" t="str">
        <f t="shared" si="185"/>
        <v xml:space="preserve"> </v>
      </c>
      <c r="AF420" s="3" t="str">
        <f>CONCATENATE(+Contacts!D420)</f>
        <v/>
      </c>
      <c r="AG420" s="2" t="str">
        <f t="shared" si="186"/>
        <v xml:space="preserve"> </v>
      </c>
      <c r="AH420" t="str">
        <f>CONCATENATE(+Contacts!I420)</f>
        <v/>
      </c>
      <c r="AI420">
        <v>1500000010</v>
      </c>
      <c r="AJ420" s="5">
        <f t="shared" si="187"/>
        <v>1</v>
      </c>
    </row>
    <row r="421" spans="1:36" x14ac:dyDescent="0.35">
      <c r="A421" s="7" t="str">
        <f t="shared" si="162"/>
        <v>&lt;contact&gt;&lt;category&gt;0&lt;/category&gt;&lt;person&gt;&lt;realName&gt;Travelcare  (Nationale Nederlanden)&lt;/realName&gt;&lt;/person&gt;</v>
      </c>
      <c r="B421" s="7" t="str">
        <f t="shared" si="163"/>
        <v>&lt;telephony nid="1"&gt;&lt;number id="0" prio="1" type="work"&gt;+31 703147575&lt;/number&gt;&lt;/telephony&gt;</v>
      </c>
      <c r="C421" s="7" t="str">
        <f t="shared" si="164"/>
        <v>&lt;services nid="1"&gt;&lt;email id="0" classifier="private"&gt;travelcare@nn.nl&lt;/email&gt;&lt;/services&gt;&lt;setup /&gt;&lt;mod_time&gt;1500000010&lt;/mod_time&gt;&lt;uniqueid&gt;1&lt;/uniqueid&gt;&lt;/contact&gt;</v>
      </c>
      <c r="D421" t="str">
        <f t="shared" si="165"/>
        <v>&lt;contact&gt;&lt;category&gt;0&lt;/category&gt;&lt;person&gt;&lt;realName&gt;Travelcare  (Nationale Nederlanden)&lt;/realName&gt;&lt;/person&gt;</v>
      </c>
      <c r="E421" t="str">
        <f t="shared" si="166"/>
        <v>&lt;telephony nid="1"&gt;&lt;number id="0" prio="1" type="work"&gt;+31 703147575&lt;/number&gt;&lt;/telephony&gt;</v>
      </c>
      <c r="F421" t="str">
        <f t="shared" si="167"/>
        <v>&lt;telephony nid="1"&gt;</v>
      </c>
      <c r="G421" t="str">
        <f t="shared" si="168"/>
        <v>&lt;number id="0" prio="1" type="work"&gt;+31 703147575&lt;/number&gt;</v>
      </c>
      <c r="H421" t="str">
        <f t="shared" si="169"/>
        <v>&lt;services nid="1"&gt;&lt;email id="0" classifier="private"&gt;travelcare@nn.nl&lt;/email&gt;&lt;/services&gt;&lt;setup /&gt;&lt;mod_time&gt;1500000010&lt;/mod_time&gt;&lt;uniqueid&gt;1&lt;/uniqueid&gt;&lt;/contact&gt;</v>
      </c>
      <c r="I421" t="str">
        <f t="shared" si="170"/>
        <v>&lt;services /&gt;&lt;setup /&gt;&lt;mod_time&gt;1500000010&lt;/mod_time&gt;&lt;uniqueid&gt;1&lt;/uniqueid&gt;&lt;/contact&gt;</v>
      </c>
      <c r="J421" t="str">
        <f t="shared" si="171"/>
        <v>&lt;services nid="1"&gt;&lt;email id="0" classifier="private"&gt;travelcare@nn.nl&lt;/email&gt;&lt;/services&gt;&lt;setup /&gt;&lt;mod_time&gt;1500000010&lt;/mod_time&gt;&lt;uniqueid&gt;1&lt;/uniqueid&gt;&lt;/contact&gt;</v>
      </c>
      <c r="K421" s="5">
        <f t="shared" si="172"/>
        <v>1</v>
      </c>
      <c r="L421" s="5">
        <f t="shared" si="173"/>
        <v>1</v>
      </c>
      <c r="M421" s="5" t="str">
        <f>CONCATENATE(+Contacts!E421)</f>
        <v>+31 703147575</v>
      </c>
      <c r="N421" t="str">
        <f t="shared" si="174"/>
        <v/>
      </c>
      <c r="O421" s="5">
        <f t="shared" si="175"/>
        <v>1</v>
      </c>
      <c r="P421" s="5">
        <f t="shared" si="176"/>
        <v>1</v>
      </c>
      <c r="Q421" s="5" t="str">
        <f>CONCATENATE(+Contacts!G421)</f>
        <v/>
      </c>
      <c r="R421" t="str">
        <f t="shared" si="177"/>
        <v/>
      </c>
      <c r="S421" s="5">
        <f t="shared" si="178"/>
        <v>1</v>
      </c>
      <c r="T421" s="5">
        <f t="shared" si="179"/>
        <v>1</v>
      </c>
      <c r="U421" s="5" t="str">
        <f>CONCATENATE(+Contacts!H421)</f>
        <v/>
      </c>
      <c r="V421" t="str">
        <f t="shared" si="180"/>
        <v/>
      </c>
      <c r="W421" s="5">
        <f t="shared" si="181"/>
        <v>1</v>
      </c>
      <c r="X421" s="5">
        <f t="shared" si="182"/>
        <v>1</v>
      </c>
      <c r="Y421" s="5" t="str">
        <f>CONCATENATE(+Contacts!F421)</f>
        <v/>
      </c>
      <c r="Z421" s="2" t="str">
        <f t="shared" si="183"/>
        <v>Travelcare  (Nationale Nederlanden)</v>
      </c>
      <c r="AA421" s="2" t="str">
        <f>CONCATENATE(+Contacts!C421)</f>
        <v>Travelcare</v>
      </c>
      <c r="AB421" s="2" t="str">
        <f t="shared" si="184"/>
        <v xml:space="preserve"> </v>
      </c>
      <c r="AC421" s="2" t="str">
        <f>CONCATENATE(+Contacts!A421)</f>
        <v/>
      </c>
      <c r="AD421" s="3" t="str">
        <f>CONCATENATE(" ",+Contacts!B421)</f>
        <v xml:space="preserve"> </v>
      </c>
      <c r="AE421" s="2" t="str">
        <f t="shared" si="185"/>
        <v>(</v>
      </c>
      <c r="AF421" s="3" t="str">
        <f>CONCATENATE(+Contacts!D421)</f>
        <v>Nationale Nederlanden</v>
      </c>
      <c r="AG421" s="2" t="str">
        <f t="shared" si="186"/>
        <v>)</v>
      </c>
      <c r="AH421" t="str">
        <f>CONCATENATE(+Contacts!I421)</f>
        <v>travelcare@nn.nl</v>
      </c>
      <c r="AI421">
        <v>1500000010</v>
      </c>
      <c r="AJ421" s="5">
        <f t="shared" si="187"/>
        <v>1</v>
      </c>
    </row>
    <row r="422" spans="1:36" x14ac:dyDescent="0.35">
      <c r="A422" s="7" t="str">
        <f t="shared" si="162"/>
        <v>&lt;contact&gt;&lt;category&gt;0&lt;/category&gt;&lt;person&gt;&lt;realName&gt;, Trevvel (Taxivervoer)&lt;/realName&gt;&lt;/person&gt;</v>
      </c>
      <c r="B422" s="7" t="str">
        <f t="shared" si="163"/>
        <v>&lt;telephony nid="1"&gt;&lt;number id="0" prio="1" type="home"&gt;(088) 130 30 30&lt;/number&gt;&lt;/telephony&gt;</v>
      </c>
      <c r="C422" s="7" t="str">
        <f t="shared" si="164"/>
        <v>&lt;services /&gt;&lt;setup /&gt;&lt;mod_time&gt;1500000010&lt;/mod_time&gt;&lt;uniqueid&gt;1&lt;/uniqueid&gt;&lt;/contact&gt;</v>
      </c>
      <c r="D422" t="str">
        <f t="shared" si="165"/>
        <v>&lt;contact&gt;&lt;category&gt;0&lt;/category&gt;&lt;person&gt;&lt;realName&gt;, Trevvel (Taxivervoer)&lt;/realName&gt;&lt;/person&gt;</v>
      </c>
      <c r="E422" t="str">
        <f t="shared" si="166"/>
        <v>&lt;telephony nid="1"&gt;&lt;number id="0" prio="1" type="home"&gt;(088) 130 30 30&lt;/number&gt;&lt;/telephony&gt;</v>
      </c>
      <c r="F422" t="str">
        <f t="shared" si="167"/>
        <v>&lt;telephony nid="1"&gt;</v>
      </c>
      <c r="G422" t="str">
        <f t="shared" si="168"/>
        <v/>
      </c>
      <c r="H422" t="str">
        <f t="shared" si="169"/>
        <v>&lt;services nid="1"&gt;&lt;email id="0" classifier="private"&gt;&lt;/email&gt;&lt;/services&gt;&lt;setup /&gt;&lt;mod_time&gt;1500000010&lt;/mod_time&gt;&lt;uniqueid&gt;1&lt;/uniqueid&gt;&lt;/contact&gt;</v>
      </c>
      <c r="I422" t="str">
        <f t="shared" si="170"/>
        <v>&lt;services /&gt;&lt;setup /&gt;&lt;mod_time&gt;1500000010&lt;/mod_time&gt;&lt;uniqueid&gt;1&lt;/uniqueid&gt;&lt;/contact&gt;</v>
      </c>
      <c r="J422" t="str">
        <f t="shared" si="171"/>
        <v>&lt;services /&gt;&lt;setup /&gt;&lt;mod_time&gt;1500000010&lt;/mod_time&gt;&lt;uniqueid&gt;1&lt;/uniqueid&gt;&lt;/contact&gt;</v>
      </c>
      <c r="K422" s="5">
        <f t="shared" si="172"/>
        <v>0</v>
      </c>
      <c r="L422" s="5">
        <f t="shared" si="173"/>
        <v>0</v>
      </c>
      <c r="M422" s="5" t="str">
        <f>CONCATENATE(+Contacts!E422)</f>
        <v/>
      </c>
      <c r="N422" t="str">
        <f t="shared" si="174"/>
        <v>&lt;number id="0" prio="1" type="home"&gt;(088) 130 30 30&lt;/number&gt;</v>
      </c>
      <c r="O422" s="5">
        <f t="shared" si="175"/>
        <v>1</v>
      </c>
      <c r="P422" s="5">
        <f t="shared" si="176"/>
        <v>1</v>
      </c>
      <c r="Q422" s="5" t="str">
        <f>CONCATENATE(+Contacts!G422)</f>
        <v>(088) 130 30 30</v>
      </c>
      <c r="R422" t="str">
        <f t="shared" si="177"/>
        <v/>
      </c>
      <c r="S422" s="5">
        <f t="shared" si="178"/>
        <v>1</v>
      </c>
      <c r="T422" s="5">
        <f t="shared" si="179"/>
        <v>1</v>
      </c>
      <c r="U422" s="5" t="str">
        <f>CONCATENATE(+Contacts!H422)</f>
        <v/>
      </c>
      <c r="V422" t="str">
        <f t="shared" si="180"/>
        <v/>
      </c>
      <c r="W422" s="5">
        <f t="shared" si="181"/>
        <v>1</v>
      </c>
      <c r="X422" s="5">
        <f t="shared" si="182"/>
        <v>1</v>
      </c>
      <c r="Y422" s="5" t="str">
        <f>CONCATENATE(+Contacts!F422)</f>
        <v/>
      </c>
      <c r="Z422" s="2" t="str">
        <f t="shared" si="183"/>
        <v>, Trevvel (Taxivervoer)</v>
      </c>
      <c r="AA422" s="2" t="str">
        <f>CONCATENATE(+Contacts!C422)</f>
        <v/>
      </c>
      <c r="AB422" s="2" t="str">
        <f t="shared" si="184"/>
        <v xml:space="preserve">, </v>
      </c>
      <c r="AC422" s="2" t="str">
        <f>CONCATENATE(+Contacts!A422)</f>
        <v>Trevvel</v>
      </c>
      <c r="AD422" s="3" t="str">
        <f>CONCATENATE(" ",+Contacts!B422)</f>
        <v xml:space="preserve"> </v>
      </c>
      <c r="AE422" s="2" t="str">
        <f t="shared" si="185"/>
        <v>(</v>
      </c>
      <c r="AF422" s="3" t="str">
        <f>CONCATENATE(+Contacts!D422)</f>
        <v>Taxivervoer</v>
      </c>
      <c r="AG422" s="2" t="str">
        <f t="shared" si="186"/>
        <v>)</v>
      </c>
      <c r="AH422" t="str">
        <f>CONCATENATE(+Contacts!I422)</f>
        <v/>
      </c>
      <c r="AI422">
        <v>1500000010</v>
      </c>
      <c r="AJ422" s="5">
        <f t="shared" si="187"/>
        <v>1</v>
      </c>
    </row>
    <row r="423" spans="1:36" x14ac:dyDescent="0.35">
      <c r="A423" s="7" t="str">
        <f t="shared" si="162"/>
        <v>&lt;contact&gt;&lt;category&gt;0&lt;/category&gt;&lt;person&gt;&lt;realName&gt;, Urologie   &lt;/realName&gt;&lt;/person&gt;</v>
      </c>
      <c r="B423" s="7" t="str">
        <f t="shared" si="163"/>
        <v>&lt;telephony nid="1"&gt;&lt;number id="0" prio="1" type="home"&gt;(010) 258 59 80&lt;/number&gt;&lt;/telephony&gt;</v>
      </c>
      <c r="C423" s="7" t="str">
        <f t="shared" si="164"/>
        <v>&lt;services /&gt;&lt;setup /&gt;&lt;mod_time&gt;1500000010&lt;/mod_time&gt;&lt;uniqueid&gt;1&lt;/uniqueid&gt;&lt;/contact&gt;</v>
      </c>
      <c r="D423" t="str">
        <f t="shared" si="165"/>
        <v>&lt;contact&gt;&lt;category&gt;0&lt;/category&gt;&lt;person&gt;&lt;realName&gt;, Urologie   &lt;/realName&gt;&lt;/person&gt;</v>
      </c>
      <c r="E423" t="str">
        <f t="shared" si="166"/>
        <v>&lt;telephony nid="1"&gt;&lt;number id="0" prio="1" type="home"&gt;(010) 258 59 80&lt;/number&gt;&lt;/telephony&gt;</v>
      </c>
      <c r="F423" t="str">
        <f t="shared" si="167"/>
        <v>&lt;telephony nid="1"&gt;</v>
      </c>
      <c r="G423" t="str">
        <f t="shared" si="168"/>
        <v/>
      </c>
      <c r="H423" t="str">
        <f t="shared" si="169"/>
        <v>&lt;services nid="1"&gt;&lt;email id="0" classifier="private"&gt;&lt;/email&gt;&lt;/services&gt;&lt;setup /&gt;&lt;mod_time&gt;1500000010&lt;/mod_time&gt;&lt;uniqueid&gt;1&lt;/uniqueid&gt;&lt;/contact&gt;</v>
      </c>
      <c r="I423" t="str">
        <f t="shared" si="170"/>
        <v>&lt;services /&gt;&lt;setup /&gt;&lt;mod_time&gt;1500000010&lt;/mod_time&gt;&lt;uniqueid&gt;1&lt;/uniqueid&gt;&lt;/contact&gt;</v>
      </c>
      <c r="J423" t="str">
        <f t="shared" si="171"/>
        <v>&lt;services /&gt;&lt;setup /&gt;&lt;mod_time&gt;1500000010&lt;/mod_time&gt;&lt;uniqueid&gt;1&lt;/uniqueid&gt;&lt;/contact&gt;</v>
      </c>
      <c r="K423" s="5">
        <f t="shared" si="172"/>
        <v>0</v>
      </c>
      <c r="L423" s="5">
        <f t="shared" si="173"/>
        <v>0</v>
      </c>
      <c r="M423" s="5" t="str">
        <f>CONCATENATE(+Contacts!E423)</f>
        <v/>
      </c>
      <c r="N423" t="str">
        <f t="shared" si="174"/>
        <v>&lt;number id="0" prio="1" type="home"&gt;(010) 258 59 80&lt;/number&gt;</v>
      </c>
      <c r="O423" s="5">
        <f t="shared" si="175"/>
        <v>1</v>
      </c>
      <c r="P423" s="5">
        <f t="shared" si="176"/>
        <v>1</v>
      </c>
      <c r="Q423" s="5" t="str">
        <f>CONCATENATE(+Contacts!G423)</f>
        <v>(010) 258 59 80</v>
      </c>
      <c r="R423" t="str">
        <f t="shared" si="177"/>
        <v/>
      </c>
      <c r="S423" s="5">
        <f t="shared" si="178"/>
        <v>1</v>
      </c>
      <c r="T423" s="5">
        <f t="shared" si="179"/>
        <v>1</v>
      </c>
      <c r="U423" s="5" t="str">
        <f>CONCATENATE(+Contacts!H423)</f>
        <v/>
      </c>
      <c r="V423" t="str">
        <f t="shared" si="180"/>
        <v/>
      </c>
      <c r="W423" s="5">
        <f t="shared" si="181"/>
        <v>1</v>
      </c>
      <c r="X423" s="5">
        <f t="shared" si="182"/>
        <v>1</v>
      </c>
      <c r="Y423" s="5" t="str">
        <f>CONCATENATE(+Contacts!F423)</f>
        <v/>
      </c>
      <c r="Z423" s="2" t="str">
        <f t="shared" si="183"/>
        <v xml:space="preserve">, Urologie   </v>
      </c>
      <c r="AA423" s="2" t="str">
        <f>CONCATENATE(+Contacts!C423)</f>
        <v/>
      </c>
      <c r="AB423" s="2" t="str">
        <f t="shared" si="184"/>
        <v xml:space="preserve">, </v>
      </c>
      <c r="AC423" s="2" t="str">
        <f>CONCATENATE(+Contacts!A423)</f>
        <v>Urologie</v>
      </c>
      <c r="AD423" s="3" t="str">
        <f>CONCATENATE(" ",+Contacts!B423)</f>
        <v xml:space="preserve"> </v>
      </c>
      <c r="AE423" s="2" t="str">
        <f t="shared" si="185"/>
        <v xml:space="preserve"> </v>
      </c>
      <c r="AF423" s="3" t="str">
        <f>CONCATENATE(+Contacts!D423)</f>
        <v/>
      </c>
      <c r="AG423" s="2" t="str">
        <f t="shared" si="186"/>
        <v xml:space="preserve"> </v>
      </c>
      <c r="AH423" t="str">
        <f>CONCATENATE(+Contacts!I423)</f>
        <v/>
      </c>
      <c r="AI423">
        <v>1500000010</v>
      </c>
      <c r="AJ423" s="5">
        <f t="shared" si="187"/>
        <v>1</v>
      </c>
    </row>
    <row r="424" spans="1:36" x14ac:dyDescent="0.35">
      <c r="A424" s="7" t="str">
        <f t="shared" si="162"/>
        <v>&lt;contact&gt;&lt;category&gt;0&lt;/category&gt;&lt;person&gt;&lt;realName&gt;Vaal, Thea de  &lt;/realName&gt;&lt;/person&gt;</v>
      </c>
      <c r="B424" s="7" t="str">
        <f t="shared" si="163"/>
        <v>&lt;telephony nid="2"&gt;&lt;number id="0" prio="1" type="home"&gt;+31 0180443354&lt;/number&gt;&lt;number id="1" prio="0" type="mobile"&gt;+31 648791020&lt;/number&gt;&lt;/telephony&gt;</v>
      </c>
      <c r="C424" s="7" t="str">
        <f t="shared" si="164"/>
        <v>&lt;services nid="1"&gt;&lt;email id="0" classifier="private"&gt;theakemner@gmail.com&lt;/email&gt;&lt;/services&gt;&lt;setup /&gt;&lt;mod_time&gt;1500000010&lt;/mod_time&gt;&lt;uniqueid&gt;1&lt;/uniqueid&gt;&lt;/contact&gt;</v>
      </c>
      <c r="D424" t="str">
        <f t="shared" si="165"/>
        <v>&lt;contact&gt;&lt;category&gt;0&lt;/category&gt;&lt;person&gt;&lt;realName&gt;Vaal, Thea de  &lt;/realName&gt;&lt;/person&gt;</v>
      </c>
      <c r="E424" t="str">
        <f t="shared" si="166"/>
        <v>&lt;telephony nid="2"&gt;&lt;number id="0" prio="1" type="home"&gt;+31 0180443354&lt;/number&gt;&lt;number id="1" prio="0" type="mobile"&gt;+31 648791020&lt;/number&gt;&lt;/telephony&gt;</v>
      </c>
      <c r="F424" t="str">
        <f t="shared" si="167"/>
        <v>&lt;telephony nid="2"&gt;</v>
      </c>
      <c r="G424" t="str">
        <f t="shared" si="168"/>
        <v/>
      </c>
      <c r="H424" t="str">
        <f t="shared" si="169"/>
        <v>&lt;services nid="1"&gt;&lt;email id="0" classifier="private"&gt;theakemner@gmail.com&lt;/email&gt;&lt;/services&gt;&lt;setup /&gt;&lt;mod_time&gt;1500000010&lt;/mod_time&gt;&lt;uniqueid&gt;1&lt;/uniqueid&gt;&lt;/contact&gt;</v>
      </c>
      <c r="I424" t="str">
        <f t="shared" si="170"/>
        <v>&lt;services /&gt;&lt;setup /&gt;&lt;mod_time&gt;1500000010&lt;/mod_time&gt;&lt;uniqueid&gt;1&lt;/uniqueid&gt;&lt;/contact&gt;</v>
      </c>
      <c r="J424" t="str">
        <f t="shared" si="171"/>
        <v>&lt;services nid="1"&gt;&lt;email id="0" classifier="private"&gt;theakemner@gmail.com&lt;/email&gt;&lt;/services&gt;&lt;setup /&gt;&lt;mod_time&gt;1500000010&lt;/mod_time&gt;&lt;uniqueid&gt;1&lt;/uniqueid&gt;&lt;/contact&gt;</v>
      </c>
      <c r="K424" s="5">
        <f t="shared" si="172"/>
        <v>0</v>
      </c>
      <c r="L424" s="5">
        <f t="shared" si="173"/>
        <v>0</v>
      </c>
      <c r="M424" s="5" t="str">
        <f>CONCATENATE(+Contacts!E424)</f>
        <v/>
      </c>
      <c r="N424" t="str">
        <f t="shared" si="174"/>
        <v>&lt;number id="0" prio="1" type="home"&gt;+31 0180443354&lt;/number&gt;</v>
      </c>
      <c r="O424" s="5">
        <f t="shared" si="175"/>
        <v>1</v>
      </c>
      <c r="P424" s="5">
        <f t="shared" si="176"/>
        <v>1</v>
      </c>
      <c r="Q424" s="5" t="str">
        <f>CONCATENATE(+Contacts!G424)</f>
        <v>+31 0180443354</v>
      </c>
      <c r="R424" t="str">
        <f t="shared" si="177"/>
        <v>&lt;number id="1" prio="0" type="mobile"&gt;+31 648791020&lt;/number&gt;</v>
      </c>
      <c r="S424" s="5">
        <f t="shared" si="178"/>
        <v>2</v>
      </c>
      <c r="T424" s="5">
        <f t="shared" si="179"/>
        <v>0</v>
      </c>
      <c r="U424" s="5" t="str">
        <f>CONCATENATE(+Contacts!H424)</f>
        <v>+31 648791020</v>
      </c>
      <c r="V424" t="str">
        <f t="shared" si="180"/>
        <v/>
      </c>
      <c r="W424" s="5">
        <f t="shared" si="181"/>
        <v>2</v>
      </c>
      <c r="X424" s="5">
        <f t="shared" si="182"/>
        <v>0</v>
      </c>
      <c r="Y424" s="5" t="str">
        <f>CONCATENATE(+Contacts!F424)</f>
        <v/>
      </c>
      <c r="Z424" s="2" t="str">
        <f t="shared" si="183"/>
        <v xml:space="preserve">Vaal, Thea de  </v>
      </c>
      <c r="AA424" s="2" t="str">
        <f>CONCATENATE(+Contacts!C424)</f>
        <v>Vaal</v>
      </c>
      <c r="AB424" s="2" t="str">
        <f t="shared" si="184"/>
        <v xml:space="preserve">, </v>
      </c>
      <c r="AC424" s="2" t="str">
        <f>CONCATENATE(+Contacts!A424)</f>
        <v>Thea</v>
      </c>
      <c r="AD424" s="3" t="str">
        <f>CONCATENATE(" ",+Contacts!B424)</f>
        <v xml:space="preserve"> de</v>
      </c>
      <c r="AE424" s="2" t="str">
        <f t="shared" si="185"/>
        <v xml:space="preserve"> </v>
      </c>
      <c r="AF424" s="3" t="str">
        <f>CONCATENATE(+Contacts!D424)</f>
        <v/>
      </c>
      <c r="AG424" s="2" t="str">
        <f t="shared" si="186"/>
        <v xml:space="preserve"> </v>
      </c>
      <c r="AH424" t="str">
        <f>CONCATENATE(+Contacts!I424)</f>
        <v>theakemner@gmail.com</v>
      </c>
      <c r="AI424">
        <v>1500000010</v>
      </c>
      <c r="AJ424" s="5">
        <f t="shared" si="187"/>
        <v>1</v>
      </c>
    </row>
    <row r="425" spans="1:36" x14ac:dyDescent="0.35">
      <c r="A425" s="7" t="str">
        <f t="shared" si="162"/>
        <v>&lt;contact&gt;&lt;category&gt;0&lt;/category&gt;&lt;person&gt;&lt;realName&gt;VakantieXperts/ D Reizen    &lt;/realName&gt;&lt;/person&gt;</v>
      </c>
      <c r="B425" s="7" t="str">
        <f t="shared" si="163"/>
        <v>&lt;telephony nid="1"&gt;&lt;number id="0" prio="1" type="work"&gt;+31 104553050&lt;/number&gt;&lt;/telephony&gt;</v>
      </c>
      <c r="C425" s="7" t="str">
        <f t="shared" si="164"/>
        <v>&lt;services nid="1"&gt;&lt;email id="0" classifier="private"&gt;hesseplaats@vx.nl&lt;/email&gt;&lt;/services&gt;&lt;setup /&gt;&lt;mod_time&gt;1500000010&lt;/mod_time&gt;&lt;uniqueid&gt;1&lt;/uniqueid&gt;&lt;/contact&gt;</v>
      </c>
      <c r="D425" t="str">
        <f t="shared" si="165"/>
        <v>&lt;contact&gt;&lt;category&gt;0&lt;/category&gt;&lt;person&gt;&lt;realName&gt;VakantieXperts/ D Reizen    &lt;/realName&gt;&lt;/person&gt;</v>
      </c>
      <c r="E425" t="str">
        <f t="shared" si="166"/>
        <v>&lt;telephony nid="1"&gt;&lt;number id="0" prio="1" type="work"&gt;+31 104553050&lt;/number&gt;&lt;/telephony&gt;</v>
      </c>
      <c r="F425" t="str">
        <f t="shared" si="167"/>
        <v>&lt;telephony nid="1"&gt;</v>
      </c>
      <c r="G425" t="str">
        <f t="shared" si="168"/>
        <v>&lt;number id="0" prio="1" type="work"&gt;+31 104553050&lt;/number&gt;</v>
      </c>
      <c r="H425" t="str">
        <f t="shared" si="169"/>
        <v>&lt;services nid="1"&gt;&lt;email id="0" classifier="private"&gt;hesseplaats@vx.nl&lt;/email&gt;&lt;/services&gt;&lt;setup /&gt;&lt;mod_time&gt;1500000010&lt;/mod_time&gt;&lt;uniqueid&gt;1&lt;/uniqueid&gt;&lt;/contact&gt;</v>
      </c>
      <c r="I425" t="str">
        <f t="shared" si="170"/>
        <v>&lt;services /&gt;&lt;setup /&gt;&lt;mod_time&gt;1500000010&lt;/mod_time&gt;&lt;uniqueid&gt;1&lt;/uniqueid&gt;&lt;/contact&gt;</v>
      </c>
      <c r="J425" t="str">
        <f t="shared" si="171"/>
        <v>&lt;services nid="1"&gt;&lt;email id="0" classifier="private"&gt;hesseplaats@vx.nl&lt;/email&gt;&lt;/services&gt;&lt;setup /&gt;&lt;mod_time&gt;1500000010&lt;/mod_time&gt;&lt;uniqueid&gt;1&lt;/uniqueid&gt;&lt;/contact&gt;</v>
      </c>
      <c r="K425" s="5">
        <f t="shared" si="172"/>
        <v>1</v>
      </c>
      <c r="L425" s="5">
        <f t="shared" si="173"/>
        <v>1</v>
      </c>
      <c r="M425" s="5" t="str">
        <f>CONCATENATE(+Contacts!E425)</f>
        <v>+31 104553050</v>
      </c>
      <c r="N425" t="str">
        <f t="shared" si="174"/>
        <v/>
      </c>
      <c r="O425" s="5">
        <f t="shared" si="175"/>
        <v>1</v>
      </c>
      <c r="P425" s="5">
        <f t="shared" si="176"/>
        <v>1</v>
      </c>
      <c r="Q425" s="5" t="str">
        <f>CONCATENATE(+Contacts!G425)</f>
        <v/>
      </c>
      <c r="R425" t="str">
        <f t="shared" si="177"/>
        <v/>
      </c>
      <c r="S425" s="5">
        <f t="shared" si="178"/>
        <v>1</v>
      </c>
      <c r="T425" s="5">
        <f t="shared" si="179"/>
        <v>1</v>
      </c>
      <c r="U425" s="5" t="str">
        <f>CONCATENATE(+Contacts!H425)</f>
        <v/>
      </c>
      <c r="V425" t="str">
        <f t="shared" si="180"/>
        <v/>
      </c>
      <c r="W425" s="5">
        <f t="shared" si="181"/>
        <v>1</v>
      </c>
      <c r="X425" s="5">
        <f t="shared" si="182"/>
        <v>1</v>
      </c>
      <c r="Y425" s="5" t="str">
        <f>CONCATENATE(+Contacts!F425)</f>
        <v/>
      </c>
      <c r="Z425" s="2" t="str">
        <f t="shared" si="183"/>
        <v xml:space="preserve">VakantieXperts/ D Reizen    </v>
      </c>
      <c r="AA425" s="2" t="str">
        <f>CONCATENATE(+Contacts!C425)</f>
        <v>VakantieXperts/ D Reizen</v>
      </c>
      <c r="AB425" s="2" t="str">
        <f t="shared" si="184"/>
        <v xml:space="preserve"> </v>
      </c>
      <c r="AC425" s="2" t="str">
        <f>CONCATENATE(+Contacts!A425)</f>
        <v/>
      </c>
      <c r="AD425" s="3" t="str">
        <f>CONCATENATE(" ",+Contacts!B425)</f>
        <v xml:space="preserve"> </v>
      </c>
      <c r="AE425" s="2" t="str">
        <f t="shared" si="185"/>
        <v xml:space="preserve"> </v>
      </c>
      <c r="AF425" s="3" t="str">
        <f>CONCATENATE(+Contacts!D425)</f>
        <v/>
      </c>
      <c r="AG425" s="2" t="str">
        <f t="shared" si="186"/>
        <v xml:space="preserve"> </v>
      </c>
      <c r="AH425" t="str">
        <f>CONCATENATE(+Contacts!I425)</f>
        <v>hesseplaats@vx.nl</v>
      </c>
      <c r="AI425">
        <v>1500000010</v>
      </c>
      <c r="AJ425" s="5">
        <f t="shared" si="187"/>
        <v>1</v>
      </c>
    </row>
    <row r="426" spans="1:36" x14ac:dyDescent="0.35">
      <c r="A426" s="7" t="str">
        <f t="shared" si="162"/>
        <v>&lt;contact&gt;&lt;category&gt;0&lt;/category&gt;&lt;person&gt;&lt;realName&gt;Valies, Ria (Humanitas Akropolis ( Klantadviseur))&lt;/realName&gt;&lt;/person&gt;</v>
      </c>
      <c r="B426" s="7" t="str">
        <f t="shared" si="163"/>
        <v>&lt;telephony nid="1"&gt;&lt;number id="0" prio="1" type="home"&gt;00 31 6 19 41 23 49&lt;/number&gt;&lt;/telephony&gt;</v>
      </c>
      <c r="C426" s="7" t="str">
        <f t="shared" si="164"/>
        <v>&lt;services nid="1"&gt;&lt;email id="0" classifier="private"&gt;rvalies@stichtinghumanitas.nl&lt;/email&gt;&lt;/services&gt;&lt;setup /&gt;&lt;mod_time&gt;1500000010&lt;/mod_time&gt;&lt;uniqueid&gt;1&lt;/uniqueid&gt;&lt;/contact&gt;</v>
      </c>
      <c r="D426" t="str">
        <f t="shared" si="165"/>
        <v>&lt;contact&gt;&lt;category&gt;0&lt;/category&gt;&lt;person&gt;&lt;realName&gt;Valies, Ria (Humanitas Akropolis ( Klantadviseur))&lt;/realName&gt;&lt;/person&gt;</v>
      </c>
      <c r="E426" t="str">
        <f t="shared" si="166"/>
        <v>&lt;telephony nid="1"&gt;&lt;number id="0" prio="1" type="home"&gt;00 31 6 19 41 23 49&lt;/number&gt;&lt;/telephony&gt;</v>
      </c>
      <c r="F426" t="str">
        <f t="shared" si="167"/>
        <v>&lt;telephony nid="1"&gt;</v>
      </c>
      <c r="G426" t="str">
        <f t="shared" si="168"/>
        <v/>
      </c>
      <c r="H426" t="str">
        <f t="shared" si="169"/>
        <v>&lt;services nid="1"&gt;&lt;email id="0" classifier="private"&gt;rvalies@stichtinghumanitas.nl&lt;/email&gt;&lt;/services&gt;&lt;setup /&gt;&lt;mod_time&gt;1500000010&lt;/mod_time&gt;&lt;uniqueid&gt;1&lt;/uniqueid&gt;&lt;/contact&gt;</v>
      </c>
      <c r="I426" t="str">
        <f t="shared" si="170"/>
        <v>&lt;services /&gt;&lt;setup /&gt;&lt;mod_time&gt;1500000010&lt;/mod_time&gt;&lt;uniqueid&gt;1&lt;/uniqueid&gt;&lt;/contact&gt;</v>
      </c>
      <c r="J426" t="str">
        <f t="shared" si="171"/>
        <v>&lt;services nid="1"&gt;&lt;email id="0" classifier="private"&gt;rvalies@stichtinghumanitas.nl&lt;/email&gt;&lt;/services&gt;&lt;setup /&gt;&lt;mod_time&gt;1500000010&lt;/mod_time&gt;&lt;uniqueid&gt;1&lt;/uniqueid&gt;&lt;/contact&gt;</v>
      </c>
      <c r="K426" s="5">
        <f t="shared" si="172"/>
        <v>0</v>
      </c>
      <c r="L426" s="5">
        <f t="shared" si="173"/>
        <v>0</v>
      </c>
      <c r="M426" s="5" t="str">
        <f>CONCATENATE(+Contacts!E426)</f>
        <v/>
      </c>
      <c r="N426" t="str">
        <f t="shared" si="174"/>
        <v>&lt;number id="0" prio="1" type="home"&gt;00 31 6 19 41 23 49&lt;/number&gt;</v>
      </c>
      <c r="O426" s="5">
        <f t="shared" si="175"/>
        <v>1</v>
      </c>
      <c r="P426" s="5">
        <f t="shared" si="176"/>
        <v>1</v>
      </c>
      <c r="Q426" s="5" t="str">
        <f>CONCATENATE(+Contacts!G426)</f>
        <v>00 31 6 19 41 23 49</v>
      </c>
      <c r="R426" t="str">
        <f t="shared" si="177"/>
        <v/>
      </c>
      <c r="S426" s="5">
        <f t="shared" si="178"/>
        <v>1</v>
      </c>
      <c r="T426" s="5">
        <f t="shared" si="179"/>
        <v>1</v>
      </c>
      <c r="U426" s="5" t="str">
        <f>CONCATENATE(+Contacts!H426)</f>
        <v/>
      </c>
      <c r="V426" t="str">
        <f t="shared" si="180"/>
        <v/>
      </c>
      <c r="W426" s="5">
        <f t="shared" si="181"/>
        <v>1</v>
      </c>
      <c r="X426" s="5">
        <f t="shared" si="182"/>
        <v>1</v>
      </c>
      <c r="Y426" s="5" t="str">
        <f>CONCATENATE(+Contacts!F426)</f>
        <v/>
      </c>
      <c r="Z426" s="2" t="str">
        <f t="shared" si="183"/>
        <v>Valies, Ria (Humanitas Akropolis ( Klantadviseur))</v>
      </c>
      <c r="AA426" s="2" t="str">
        <f>CONCATENATE(+Contacts!C426)</f>
        <v>Valies</v>
      </c>
      <c r="AB426" s="2" t="str">
        <f t="shared" si="184"/>
        <v xml:space="preserve">, </v>
      </c>
      <c r="AC426" s="2" t="str">
        <f>CONCATENATE(+Contacts!A426)</f>
        <v>Ria</v>
      </c>
      <c r="AD426" s="3" t="str">
        <f>CONCATENATE(" ",+Contacts!B426)</f>
        <v xml:space="preserve"> </v>
      </c>
      <c r="AE426" s="2" t="str">
        <f t="shared" si="185"/>
        <v>(</v>
      </c>
      <c r="AF426" s="3" t="str">
        <f>CONCATENATE(+Contacts!D426)</f>
        <v>Humanitas Akropolis ( Klantadviseur)</v>
      </c>
      <c r="AG426" s="2" t="str">
        <f t="shared" si="186"/>
        <v>)</v>
      </c>
      <c r="AH426" t="str">
        <f>CONCATENATE(+Contacts!I426)</f>
        <v>rvalies@stichtinghumanitas.nl</v>
      </c>
      <c r="AI426">
        <v>1500000010</v>
      </c>
      <c r="AJ426" s="5">
        <f t="shared" si="187"/>
        <v>1</v>
      </c>
    </row>
    <row r="427" spans="1:36" x14ac:dyDescent="0.35">
      <c r="A427" s="7" t="str">
        <f t="shared" si="162"/>
        <v>&lt;contact&gt;&lt;category&gt;0&lt;/category&gt;&lt;person&gt;&lt;realName&gt;Van de Fliert, Judith (Boymans Van Beuningen (Depot))&lt;/realName&gt;&lt;/person&gt;</v>
      </c>
      <c r="B427" s="7" t="str">
        <f t="shared" si="163"/>
        <v>&lt;telephony nid="1"&gt;&lt;number id="0" prio="1" type="mobile"&gt;+31 6 54 32 28 85&lt;/number&gt;&lt;/telephony&gt;</v>
      </c>
      <c r="C427" s="7" t="str">
        <f t="shared" si="164"/>
        <v>&lt;services /&gt;&lt;setup /&gt;&lt;mod_time&gt;1500000010&lt;/mod_time&gt;&lt;uniqueid&gt;1&lt;/uniqueid&gt;&lt;/contact&gt;</v>
      </c>
      <c r="D427" t="str">
        <f t="shared" si="165"/>
        <v>&lt;contact&gt;&lt;category&gt;0&lt;/category&gt;&lt;person&gt;&lt;realName&gt;Van de Fliert, Judith (Boymans Van Beuningen (Depot))&lt;/realName&gt;&lt;/person&gt;</v>
      </c>
      <c r="E427" t="str">
        <f t="shared" si="166"/>
        <v>&lt;telephony nid="1"&gt;&lt;number id="0" prio="1" type="mobile"&gt;+31 6 54 32 28 85&lt;/number&gt;&lt;/telephony&gt;</v>
      </c>
      <c r="F427" t="str">
        <f t="shared" si="167"/>
        <v>&lt;telephony nid="1"&gt;</v>
      </c>
      <c r="G427" t="str">
        <f t="shared" si="168"/>
        <v/>
      </c>
      <c r="H427" t="str">
        <f t="shared" si="169"/>
        <v>&lt;services nid="1"&gt;&lt;email id="0" classifier="private"&gt;&lt;/email&gt;&lt;/services&gt;&lt;setup /&gt;&lt;mod_time&gt;1500000010&lt;/mod_time&gt;&lt;uniqueid&gt;1&lt;/uniqueid&gt;&lt;/contact&gt;</v>
      </c>
      <c r="I427" t="str">
        <f t="shared" si="170"/>
        <v>&lt;services /&gt;&lt;setup /&gt;&lt;mod_time&gt;1500000010&lt;/mod_time&gt;&lt;uniqueid&gt;1&lt;/uniqueid&gt;&lt;/contact&gt;</v>
      </c>
      <c r="J427" t="str">
        <f t="shared" si="171"/>
        <v>&lt;services /&gt;&lt;setup /&gt;&lt;mod_time&gt;1500000010&lt;/mod_time&gt;&lt;uniqueid&gt;1&lt;/uniqueid&gt;&lt;/contact&gt;</v>
      </c>
      <c r="K427" s="5">
        <f t="shared" si="172"/>
        <v>0</v>
      </c>
      <c r="L427" s="5">
        <f t="shared" si="173"/>
        <v>0</v>
      </c>
      <c r="M427" s="5" t="str">
        <f>CONCATENATE(+Contacts!E427)</f>
        <v/>
      </c>
      <c r="N427" t="str">
        <f t="shared" si="174"/>
        <v/>
      </c>
      <c r="O427" s="5">
        <f t="shared" si="175"/>
        <v>0</v>
      </c>
      <c r="P427" s="5">
        <f t="shared" si="176"/>
        <v>0</v>
      </c>
      <c r="Q427" s="5" t="str">
        <f>CONCATENATE(+Contacts!G427)</f>
        <v/>
      </c>
      <c r="R427" t="str">
        <f t="shared" si="177"/>
        <v>&lt;number id="0" prio="1" type="mobile"&gt;+31 6 54 32 28 85&lt;/number&gt;</v>
      </c>
      <c r="S427" s="5">
        <f t="shared" si="178"/>
        <v>1</v>
      </c>
      <c r="T427" s="5">
        <f t="shared" si="179"/>
        <v>1</v>
      </c>
      <c r="U427" s="5" t="str">
        <f>CONCATENATE(+Contacts!H427)</f>
        <v>+31 6 54 32 28 85</v>
      </c>
      <c r="V427" t="str">
        <f t="shared" si="180"/>
        <v/>
      </c>
      <c r="W427" s="5">
        <f t="shared" si="181"/>
        <v>1</v>
      </c>
      <c r="X427" s="5">
        <f t="shared" si="182"/>
        <v>1</v>
      </c>
      <c r="Y427" s="5" t="str">
        <f>CONCATENATE(+Contacts!F427)</f>
        <v/>
      </c>
      <c r="Z427" s="2" t="str">
        <f t="shared" si="183"/>
        <v>Van de Fliert, Judith (Boymans Van Beuningen (Depot))</v>
      </c>
      <c r="AA427" s="2" t="str">
        <f>CONCATENATE(+Contacts!C427)</f>
        <v>Van de Fliert</v>
      </c>
      <c r="AB427" s="2" t="str">
        <f t="shared" si="184"/>
        <v xml:space="preserve">, </v>
      </c>
      <c r="AC427" s="2" t="str">
        <f>CONCATENATE(+Contacts!A427)</f>
        <v>Judith</v>
      </c>
      <c r="AD427" s="3" t="str">
        <f>CONCATENATE(" ",+Contacts!B427)</f>
        <v xml:space="preserve"> </v>
      </c>
      <c r="AE427" s="2" t="str">
        <f t="shared" si="185"/>
        <v>(</v>
      </c>
      <c r="AF427" s="3" t="str">
        <f>CONCATENATE(+Contacts!D427)</f>
        <v>Boymans Van Beuningen (Depot)</v>
      </c>
      <c r="AG427" s="2" t="str">
        <f t="shared" si="186"/>
        <v>)</v>
      </c>
      <c r="AH427" t="str">
        <f>CONCATENATE(+Contacts!I427)</f>
        <v/>
      </c>
      <c r="AI427">
        <v>1500000010</v>
      </c>
      <c r="AJ427" s="5">
        <f t="shared" si="187"/>
        <v>1</v>
      </c>
    </row>
    <row r="428" spans="1:36" x14ac:dyDescent="0.35">
      <c r="A428" s="7" t="str">
        <f t="shared" si="162"/>
        <v>&lt;contact&gt;&lt;category&gt;0&lt;/category&gt;&lt;person&gt;&lt;realName&gt;van de Sande, Hanneke (Gastvrouw IJsselland)&lt;/realName&gt;&lt;/person&gt;</v>
      </c>
      <c r="B428" s="7" t="str">
        <f t="shared" si="163"/>
        <v>&lt;telephony nid="1"&gt;&lt;number id="0" prio="1" type="mobile"&gt;+31 6 40507243&lt;/number&gt;&lt;/telephony&gt;</v>
      </c>
      <c r="C428" s="7" t="str">
        <f t="shared" si="164"/>
        <v>&lt;services nid="1"&gt;&lt;email id="0" classifier="private"&gt;hanneke.vandesande@hotmail.com&lt;/email&gt;&lt;/services&gt;&lt;setup /&gt;&lt;mod_time&gt;1500000010&lt;/mod_time&gt;&lt;uniqueid&gt;1&lt;/uniqueid&gt;&lt;/contact&gt;</v>
      </c>
      <c r="D428" t="str">
        <f t="shared" si="165"/>
        <v>&lt;contact&gt;&lt;category&gt;0&lt;/category&gt;&lt;person&gt;&lt;realName&gt;van de Sande, Hanneke (Gastvrouw IJsselland)&lt;/realName&gt;&lt;/person&gt;</v>
      </c>
      <c r="E428" t="str">
        <f t="shared" si="166"/>
        <v>&lt;telephony nid="1"&gt;&lt;number id="0" prio="1" type="mobile"&gt;+31 6 40507243&lt;/number&gt;&lt;/telephony&gt;</v>
      </c>
      <c r="F428" t="str">
        <f t="shared" si="167"/>
        <v>&lt;telephony nid="1"&gt;</v>
      </c>
      <c r="G428" t="str">
        <f t="shared" si="168"/>
        <v/>
      </c>
      <c r="H428" t="str">
        <f t="shared" si="169"/>
        <v>&lt;services nid="1"&gt;&lt;email id="0" classifier="private"&gt;hanneke.vandesande@hotmail.com&lt;/email&gt;&lt;/services&gt;&lt;setup /&gt;&lt;mod_time&gt;1500000010&lt;/mod_time&gt;&lt;uniqueid&gt;1&lt;/uniqueid&gt;&lt;/contact&gt;</v>
      </c>
      <c r="I428" t="str">
        <f t="shared" si="170"/>
        <v>&lt;services /&gt;&lt;setup /&gt;&lt;mod_time&gt;1500000010&lt;/mod_time&gt;&lt;uniqueid&gt;1&lt;/uniqueid&gt;&lt;/contact&gt;</v>
      </c>
      <c r="J428" t="str">
        <f t="shared" si="171"/>
        <v>&lt;services nid="1"&gt;&lt;email id="0" classifier="private"&gt;hanneke.vandesande@hotmail.com&lt;/email&gt;&lt;/services&gt;&lt;setup /&gt;&lt;mod_time&gt;1500000010&lt;/mod_time&gt;&lt;uniqueid&gt;1&lt;/uniqueid&gt;&lt;/contact&gt;</v>
      </c>
      <c r="K428" s="5">
        <f t="shared" si="172"/>
        <v>0</v>
      </c>
      <c r="L428" s="5">
        <f t="shared" si="173"/>
        <v>0</v>
      </c>
      <c r="M428" s="5" t="str">
        <f>CONCATENATE(+Contacts!E428)</f>
        <v/>
      </c>
      <c r="N428" t="str">
        <f t="shared" si="174"/>
        <v/>
      </c>
      <c r="O428" s="5">
        <f t="shared" si="175"/>
        <v>0</v>
      </c>
      <c r="P428" s="5">
        <f t="shared" si="176"/>
        <v>0</v>
      </c>
      <c r="Q428" s="5" t="str">
        <f>CONCATENATE(+Contacts!G428)</f>
        <v/>
      </c>
      <c r="R428" t="str">
        <f t="shared" si="177"/>
        <v>&lt;number id="0" prio="1" type="mobile"&gt;+31 6 40507243&lt;/number&gt;</v>
      </c>
      <c r="S428" s="5">
        <f t="shared" si="178"/>
        <v>1</v>
      </c>
      <c r="T428" s="5">
        <f t="shared" si="179"/>
        <v>1</v>
      </c>
      <c r="U428" s="5" t="str">
        <f>CONCATENATE(+Contacts!H428)</f>
        <v>+31 6 40507243</v>
      </c>
      <c r="V428" t="str">
        <f t="shared" si="180"/>
        <v/>
      </c>
      <c r="W428" s="5">
        <f t="shared" si="181"/>
        <v>1</v>
      </c>
      <c r="X428" s="5">
        <f t="shared" si="182"/>
        <v>1</v>
      </c>
      <c r="Y428" s="5" t="str">
        <f>CONCATENATE(+Contacts!F428)</f>
        <v/>
      </c>
      <c r="Z428" s="2" t="str">
        <f t="shared" si="183"/>
        <v>van de Sande, Hanneke (Gastvrouw IJsselland)</v>
      </c>
      <c r="AA428" s="2" t="str">
        <f>CONCATENATE(+Contacts!C428)</f>
        <v>van de Sande</v>
      </c>
      <c r="AB428" s="2" t="str">
        <f t="shared" si="184"/>
        <v xml:space="preserve">, </v>
      </c>
      <c r="AC428" s="2" t="str">
        <f>CONCATENATE(+Contacts!A428)</f>
        <v>Hanneke</v>
      </c>
      <c r="AD428" s="3" t="str">
        <f>CONCATENATE(" ",+Contacts!B428)</f>
        <v xml:space="preserve"> </v>
      </c>
      <c r="AE428" s="2" t="str">
        <f t="shared" si="185"/>
        <v>(</v>
      </c>
      <c r="AF428" s="3" t="str">
        <f>CONCATENATE(+Contacts!D428)</f>
        <v>Gastvrouw IJsselland</v>
      </c>
      <c r="AG428" s="2" t="str">
        <f t="shared" si="186"/>
        <v>)</v>
      </c>
      <c r="AH428" t="str">
        <f>CONCATENATE(+Contacts!I428)</f>
        <v>hanneke.vandesande@hotmail.com</v>
      </c>
      <c r="AI428">
        <v>1500000010</v>
      </c>
      <c r="AJ428" s="5">
        <f t="shared" si="187"/>
        <v>1</v>
      </c>
    </row>
    <row r="429" spans="1:36" x14ac:dyDescent="0.35">
      <c r="A429" s="7" t="str">
        <f t="shared" si="162"/>
        <v/>
      </c>
      <c r="B429" s="7" t="str">
        <f t="shared" si="163"/>
        <v/>
      </c>
      <c r="C429" s="7" t="str">
        <f t="shared" si="164"/>
        <v/>
      </c>
      <c r="D429" t="str">
        <f t="shared" si="165"/>
        <v>&lt;contact&gt;&lt;category&gt;0&lt;/category&gt;&lt;person&gt;&lt;realName&gt;van den Hooven, Raymond (null)&lt;/realName&gt;&lt;/person&gt;</v>
      </c>
      <c r="E429" t="str">
        <f t="shared" si="166"/>
        <v>&lt;telephony nid="0"&gt;&lt;/telephony&gt;</v>
      </c>
      <c r="F429" t="str">
        <f t="shared" si="167"/>
        <v>&lt;telephony nid="0"&gt;</v>
      </c>
      <c r="G429" t="str">
        <f t="shared" si="168"/>
        <v/>
      </c>
      <c r="H429" t="str">
        <f t="shared" si="169"/>
        <v>&lt;services nid="1"&gt;&lt;email id="0" classifier="private"&gt;r.vdhooven@hotmail.com&lt;/email&gt;&lt;/services&gt;&lt;setup /&gt;&lt;mod_time&gt;1500000010&lt;/mod_time&gt;&lt;uniqueid&gt;0&lt;/uniqueid&gt;&lt;/contact&gt;</v>
      </c>
      <c r="I429" t="str">
        <f t="shared" si="170"/>
        <v>&lt;services /&gt;&lt;setup /&gt;&lt;mod_time&gt;1500000010&lt;/mod_time&gt;&lt;uniqueid&gt;0&lt;/uniqueid&gt;&lt;/contact&gt;</v>
      </c>
      <c r="J429" t="str">
        <f t="shared" si="171"/>
        <v>&lt;services nid="1"&gt;&lt;email id="0" classifier="private"&gt;r.vdhooven@hotmail.com&lt;/email&gt;&lt;/services&gt;&lt;setup /&gt;&lt;mod_time&gt;1500000010&lt;/mod_time&gt;&lt;uniqueid&gt;0&lt;/uniqueid&gt;&lt;/contact&gt;</v>
      </c>
      <c r="K429" s="5">
        <f t="shared" si="172"/>
        <v>0</v>
      </c>
      <c r="L429" s="5">
        <f t="shared" si="173"/>
        <v>0</v>
      </c>
      <c r="M429" s="5" t="str">
        <f>CONCATENATE(+Contacts!E429)</f>
        <v/>
      </c>
      <c r="N429" t="str">
        <f t="shared" si="174"/>
        <v/>
      </c>
      <c r="O429" s="5">
        <f t="shared" si="175"/>
        <v>0</v>
      </c>
      <c r="P429" s="5">
        <f t="shared" si="176"/>
        <v>0</v>
      </c>
      <c r="Q429" s="5" t="str">
        <f>CONCATENATE(+Contacts!G429)</f>
        <v/>
      </c>
      <c r="R429" t="str">
        <f t="shared" si="177"/>
        <v/>
      </c>
      <c r="S429" s="5">
        <f t="shared" si="178"/>
        <v>0</v>
      </c>
      <c r="T429" s="5">
        <f t="shared" si="179"/>
        <v>0</v>
      </c>
      <c r="U429" s="5" t="str">
        <f>CONCATENATE(+Contacts!H429)</f>
        <v/>
      </c>
      <c r="V429" t="str">
        <f t="shared" si="180"/>
        <v/>
      </c>
      <c r="W429" s="5">
        <f t="shared" si="181"/>
        <v>0</v>
      </c>
      <c r="X429" s="5">
        <f t="shared" si="182"/>
        <v>0</v>
      </c>
      <c r="Y429" s="5" t="str">
        <f>CONCATENATE(+Contacts!F429)</f>
        <v/>
      </c>
      <c r="Z429" s="2" t="str">
        <f t="shared" si="183"/>
        <v>van den Hooven, Raymond (null)</v>
      </c>
      <c r="AA429" s="2" t="str">
        <f>CONCATENATE(+Contacts!C429)</f>
        <v>van den Hooven</v>
      </c>
      <c r="AB429" s="2" t="str">
        <f t="shared" si="184"/>
        <v xml:space="preserve">, </v>
      </c>
      <c r="AC429" s="2" t="str">
        <f>CONCATENATE(+Contacts!A429)</f>
        <v>Raymond</v>
      </c>
      <c r="AD429" s="3" t="str">
        <f>CONCATENATE(" ",+Contacts!B429)</f>
        <v xml:space="preserve"> </v>
      </c>
      <c r="AE429" s="2" t="str">
        <f t="shared" si="185"/>
        <v>(</v>
      </c>
      <c r="AF429" s="3" t="str">
        <f>CONCATENATE(+Contacts!D429)</f>
        <v>null</v>
      </c>
      <c r="AG429" s="2" t="str">
        <f t="shared" si="186"/>
        <v>)</v>
      </c>
      <c r="AH429" t="str">
        <f>CONCATENATE(+Contacts!I429)</f>
        <v>r.vdhooven@hotmail.com</v>
      </c>
      <c r="AI429">
        <v>1500000010</v>
      </c>
      <c r="AJ429" s="5">
        <f t="shared" si="187"/>
        <v>0</v>
      </c>
    </row>
    <row r="430" spans="1:36" x14ac:dyDescent="0.35">
      <c r="A430" s="7" t="str">
        <f t="shared" si="162"/>
        <v>&lt;contact&gt;&lt;category&gt;0&lt;/category&gt;&lt;person&gt;&lt;realName&gt;van der Stel, Aart   &lt;/realName&gt;&lt;/person&gt;</v>
      </c>
      <c r="B430" s="7" t="str">
        <f t="shared" si="163"/>
        <v>&lt;telephony nid="1"&gt;&lt;number id="0" prio="1" type="home"&gt;+31 571 299 077&lt;/number&gt;&lt;/telephony&gt;</v>
      </c>
      <c r="C430" s="7" t="str">
        <f t="shared" si="164"/>
        <v>&lt;services nid="1"&gt;&lt;email id="0" classifier="private"&gt;aartvanderstel@hotmail.com&lt;/email&gt;&lt;/services&gt;&lt;setup /&gt;&lt;mod_time&gt;1500000010&lt;/mod_time&gt;&lt;uniqueid&gt;1&lt;/uniqueid&gt;&lt;/contact&gt;</v>
      </c>
      <c r="D430" t="str">
        <f t="shared" si="165"/>
        <v>&lt;contact&gt;&lt;category&gt;0&lt;/category&gt;&lt;person&gt;&lt;realName&gt;van der Stel, Aart   &lt;/realName&gt;&lt;/person&gt;</v>
      </c>
      <c r="E430" t="str">
        <f t="shared" si="166"/>
        <v>&lt;telephony nid="1"&gt;&lt;number id="0" prio="1" type="home"&gt;+31 571 299 077&lt;/number&gt;&lt;/telephony&gt;</v>
      </c>
      <c r="F430" t="str">
        <f t="shared" si="167"/>
        <v>&lt;telephony nid="1"&gt;</v>
      </c>
      <c r="G430" t="str">
        <f t="shared" si="168"/>
        <v/>
      </c>
      <c r="H430" t="str">
        <f t="shared" si="169"/>
        <v>&lt;services nid="1"&gt;&lt;email id="0" classifier="private"&gt;aartvanderstel@hotmail.com&lt;/email&gt;&lt;/services&gt;&lt;setup /&gt;&lt;mod_time&gt;1500000010&lt;/mod_time&gt;&lt;uniqueid&gt;1&lt;/uniqueid&gt;&lt;/contact&gt;</v>
      </c>
      <c r="I430" t="str">
        <f t="shared" si="170"/>
        <v>&lt;services /&gt;&lt;setup /&gt;&lt;mod_time&gt;1500000010&lt;/mod_time&gt;&lt;uniqueid&gt;1&lt;/uniqueid&gt;&lt;/contact&gt;</v>
      </c>
      <c r="J430" t="str">
        <f t="shared" si="171"/>
        <v>&lt;services nid="1"&gt;&lt;email id="0" classifier="private"&gt;aartvanderstel@hotmail.com&lt;/email&gt;&lt;/services&gt;&lt;setup /&gt;&lt;mod_time&gt;1500000010&lt;/mod_time&gt;&lt;uniqueid&gt;1&lt;/uniqueid&gt;&lt;/contact&gt;</v>
      </c>
      <c r="K430" s="5">
        <f t="shared" si="172"/>
        <v>0</v>
      </c>
      <c r="L430" s="5">
        <f t="shared" si="173"/>
        <v>0</v>
      </c>
      <c r="M430" s="5" t="str">
        <f>CONCATENATE(+Contacts!E430)</f>
        <v/>
      </c>
      <c r="N430" t="str">
        <f t="shared" si="174"/>
        <v>&lt;number id="0" prio="1" type="home"&gt;+31 571 299 077&lt;/number&gt;</v>
      </c>
      <c r="O430" s="5">
        <f t="shared" si="175"/>
        <v>1</v>
      </c>
      <c r="P430" s="5">
        <f t="shared" si="176"/>
        <v>1</v>
      </c>
      <c r="Q430" s="5" t="str">
        <f>CONCATENATE(+Contacts!G430)</f>
        <v>+31 571 299 077</v>
      </c>
      <c r="R430" t="str">
        <f t="shared" si="177"/>
        <v/>
      </c>
      <c r="S430" s="5">
        <f t="shared" si="178"/>
        <v>1</v>
      </c>
      <c r="T430" s="5">
        <f t="shared" si="179"/>
        <v>1</v>
      </c>
      <c r="U430" s="5" t="str">
        <f>CONCATENATE(+Contacts!H430)</f>
        <v/>
      </c>
      <c r="V430" t="str">
        <f t="shared" si="180"/>
        <v/>
      </c>
      <c r="W430" s="5">
        <f t="shared" si="181"/>
        <v>1</v>
      </c>
      <c r="X430" s="5">
        <f t="shared" si="182"/>
        <v>1</v>
      </c>
      <c r="Y430" s="5" t="str">
        <f>CONCATENATE(+Contacts!F430)</f>
        <v/>
      </c>
      <c r="Z430" s="2" t="str">
        <f t="shared" si="183"/>
        <v xml:space="preserve">van der Stel, Aart   </v>
      </c>
      <c r="AA430" s="2" t="str">
        <f>CONCATENATE(+Contacts!C430)</f>
        <v>van der Stel</v>
      </c>
      <c r="AB430" s="2" t="str">
        <f t="shared" si="184"/>
        <v xml:space="preserve">, </v>
      </c>
      <c r="AC430" s="2" t="str">
        <f>CONCATENATE(+Contacts!A430)</f>
        <v>Aart</v>
      </c>
      <c r="AD430" s="3" t="str">
        <f>CONCATENATE(" ",+Contacts!B430)</f>
        <v xml:space="preserve"> </v>
      </c>
      <c r="AE430" s="2" t="str">
        <f t="shared" si="185"/>
        <v xml:space="preserve"> </v>
      </c>
      <c r="AF430" s="3" t="str">
        <f>CONCATENATE(+Contacts!D430)</f>
        <v/>
      </c>
      <c r="AG430" s="2" t="str">
        <f t="shared" si="186"/>
        <v xml:space="preserve"> </v>
      </c>
      <c r="AH430" t="str">
        <f>CONCATENATE(+Contacts!I430)</f>
        <v>aartvanderstel@hotmail.com</v>
      </c>
      <c r="AI430">
        <v>1500000010</v>
      </c>
      <c r="AJ430" s="5">
        <f t="shared" si="187"/>
        <v>1</v>
      </c>
    </row>
    <row r="431" spans="1:36" x14ac:dyDescent="0.35">
      <c r="A431" s="7" t="str">
        <f t="shared" si="162"/>
        <v>&lt;contact&gt;&lt;category&gt;0&lt;/category&gt;&lt;person&gt;&lt;realName&gt;Van der Vliet, Sonja   &lt;/realName&gt;&lt;/person&gt;</v>
      </c>
      <c r="B431" s="7" t="str">
        <f t="shared" si="163"/>
        <v>&lt;telephony nid="1"&gt;&lt;number id="0" prio="1" type="home"&gt;+31 105118390&lt;/number&gt;&lt;/telephony&gt;</v>
      </c>
      <c r="C431" s="7" t="str">
        <f t="shared" si="164"/>
        <v>&lt;services nid="1"&gt;&lt;email id="0" classifier="private"&gt;sonjamostert@hotmail.com&lt;/email&gt;&lt;/services&gt;&lt;setup /&gt;&lt;mod_time&gt;1500000010&lt;/mod_time&gt;&lt;uniqueid&gt;1&lt;/uniqueid&gt;&lt;/contact&gt;</v>
      </c>
      <c r="D431" t="str">
        <f t="shared" si="165"/>
        <v>&lt;contact&gt;&lt;category&gt;0&lt;/category&gt;&lt;person&gt;&lt;realName&gt;Van der Vliet, Sonja   &lt;/realName&gt;&lt;/person&gt;</v>
      </c>
      <c r="E431" t="str">
        <f t="shared" si="166"/>
        <v>&lt;telephony nid="1"&gt;&lt;number id="0" prio="1" type="home"&gt;+31 105118390&lt;/number&gt;&lt;/telephony&gt;</v>
      </c>
      <c r="F431" t="str">
        <f t="shared" si="167"/>
        <v>&lt;telephony nid="1"&gt;</v>
      </c>
      <c r="G431" t="str">
        <f t="shared" si="168"/>
        <v/>
      </c>
      <c r="H431" t="str">
        <f t="shared" si="169"/>
        <v>&lt;services nid="1"&gt;&lt;email id="0" classifier="private"&gt;sonjamostert@hotmail.com&lt;/email&gt;&lt;/services&gt;&lt;setup /&gt;&lt;mod_time&gt;1500000010&lt;/mod_time&gt;&lt;uniqueid&gt;1&lt;/uniqueid&gt;&lt;/contact&gt;</v>
      </c>
      <c r="I431" t="str">
        <f t="shared" si="170"/>
        <v>&lt;services /&gt;&lt;setup /&gt;&lt;mod_time&gt;1500000010&lt;/mod_time&gt;&lt;uniqueid&gt;1&lt;/uniqueid&gt;&lt;/contact&gt;</v>
      </c>
      <c r="J431" t="str">
        <f t="shared" si="171"/>
        <v>&lt;services nid="1"&gt;&lt;email id="0" classifier="private"&gt;sonjamostert@hotmail.com&lt;/email&gt;&lt;/services&gt;&lt;setup /&gt;&lt;mod_time&gt;1500000010&lt;/mod_time&gt;&lt;uniqueid&gt;1&lt;/uniqueid&gt;&lt;/contact&gt;</v>
      </c>
      <c r="K431" s="5">
        <f t="shared" si="172"/>
        <v>0</v>
      </c>
      <c r="L431" s="5">
        <f t="shared" si="173"/>
        <v>0</v>
      </c>
      <c r="M431" s="5" t="str">
        <f>CONCATENATE(+Contacts!E431)</f>
        <v/>
      </c>
      <c r="N431" t="str">
        <f t="shared" si="174"/>
        <v>&lt;number id="0" prio="1" type="home"&gt;+31 105118390&lt;/number&gt;</v>
      </c>
      <c r="O431" s="5">
        <f t="shared" si="175"/>
        <v>1</v>
      </c>
      <c r="P431" s="5">
        <f t="shared" si="176"/>
        <v>1</v>
      </c>
      <c r="Q431" s="5" t="str">
        <f>CONCATENATE(+Contacts!G431)</f>
        <v>+31 105118390</v>
      </c>
      <c r="R431" t="str">
        <f t="shared" si="177"/>
        <v/>
      </c>
      <c r="S431" s="5">
        <f t="shared" si="178"/>
        <v>1</v>
      </c>
      <c r="T431" s="5">
        <f t="shared" si="179"/>
        <v>1</v>
      </c>
      <c r="U431" s="5" t="str">
        <f>CONCATENATE(+Contacts!H431)</f>
        <v/>
      </c>
      <c r="V431" t="str">
        <f t="shared" si="180"/>
        <v/>
      </c>
      <c r="W431" s="5">
        <f t="shared" si="181"/>
        <v>1</v>
      </c>
      <c r="X431" s="5">
        <f t="shared" si="182"/>
        <v>1</v>
      </c>
      <c r="Y431" s="5" t="str">
        <f>CONCATENATE(+Contacts!F431)</f>
        <v/>
      </c>
      <c r="Z431" s="2" t="str">
        <f t="shared" si="183"/>
        <v xml:space="preserve">Van der Vliet, Sonja   </v>
      </c>
      <c r="AA431" s="2" t="str">
        <f>CONCATENATE(+Contacts!C431)</f>
        <v>Van der Vliet</v>
      </c>
      <c r="AB431" s="2" t="str">
        <f t="shared" si="184"/>
        <v xml:space="preserve">, </v>
      </c>
      <c r="AC431" s="2" t="str">
        <f>CONCATENATE(+Contacts!A431)</f>
        <v>Sonja</v>
      </c>
      <c r="AD431" s="3" t="str">
        <f>CONCATENATE(" ",+Contacts!B431)</f>
        <v xml:space="preserve"> </v>
      </c>
      <c r="AE431" s="2" t="str">
        <f t="shared" si="185"/>
        <v xml:space="preserve"> </v>
      </c>
      <c r="AF431" s="3" t="str">
        <f>CONCATENATE(+Contacts!D431)</f>
        <v/>
      </c>
      <c r="AG431" s="2" t="str">
        <f t="shared" si="186"/>
        <v xml:space="preserve"> </v>
      </c>
      <c r="AH431" t="str">
        <f>CONCATENATE(+Contacts!I431)</f>
        <v>sonjamostert@hotmail.com</v>
      </c>
      <c r="AI431">
        <v>1500000010</v>
      </c>
      <c r="AJ431" s="5">
        <f t="shared" si="187"/>
        <v>1</v>
      </c>
    </row>
    <row r="432" spans="1:36" x14ac:dyDescent="0.35">
      <c r="A432" s="7" t="str">
        <f t="shared" si="162"/>
        <v>&lt;contact&gt;&lt;category&gt;0&lt;/category&gt;&lt;person&gt;&lt;realName&gt;Van Leeuwen, Johan   &lt;/realName&gt;&lt;/person&gt;</v>
      </c>
      <c r="B432" s="7" t="str">
        <f t="shared" si="163"/>
        <v>&lt;telephony nid="1"&gt;&lt;number id="0" prio="1" type="mobile"&gt;31653548199&lt;/number&gt;&lt;/telephony&gt;</v>
      </c>
      <c r="C432" s="7" t="str">
        <f t="shared" si="164"/>
        <v>&lt;services /&gt;&lt;setup /&gt;&lt;mod_time&gt;1500000010&lt;/mod_time&gt;&lt;uniqueid&gt;1&lt;/uniqueid&gt;&lt;/contact&gt;</v>
      </c>
      <c r="D432" t="str">
        <f t="shared" si="165"/>
        <v>&lt;contact&gt;&lt;category&gt;0&lt;/category&gt;&lt;person&gt;&lt;realName&gt;Van Leeuwen, Johan   &lt;/realName&gt;&lt;/person&gt;</v>
      </c>
      <c r="E432" t="str">
        <f t="shared" si="166"/>
        <v>&lt;telephony nid="1"&gt;&lt;number id="0" prio="1" type="mobile"&gt;31653548199&lt;/number&gt;&lt;/telephony&gt;</v>
      </c>
      <c r="F432" t="str">
        <f t="shared" si="167"/>
        <v>&lt;telephony nid="1"&gt;</v>
      </c>
      <c r="G432" t="str">
        <f t="shared" si="168"/>
        <v/>
      </c>
      <c r="H432" t="str">
        <f t="shared" si="169"/>
        <v>&lt;services nid="1"&gt;&lt;email id="0" classifier="private"&gt;&lt;/email&gt;&lt;/services&gt;&lt;setup /&gt;&lt;mod_time&gt;1500000010&lt;/mod_time&gt;&lt;uniqueid&gt;1&lt;/uniqueid&gt;&lt;/contact&gt;</v>
      </c>
      <c r="I432" t="str">
        <f t="shared" si="170"/>
        <v>&lt;services /&gt;&lt;setup /&gt;&lt;mod_time&gt;1500000010&lt;/mod_time&gt;&lt;uniqueid&gt;1&lt;/uniqueid&gt;&lt;/contact&gt;</v>
      </c>
      <c r="J432" t="str">
        <f t="shared" si="171"/>
        <v>&lt;services /&gt;&lt;setup /&gt;&lt;mod_time&gt;1500000010&lt;/mod_time&gt;&lt;uniqueid&gt;1&lt;/uniqueid&gt;&lt;/contact&gt;</v>
      </c>
      <c r="K432" s="5">
        <f t="shared" si="172"/>
        <v>0</v>
      </c>
      <c r="L432" s="5">
        <f t="shared" si="173"/>
        <v>0</v>
      </c>
      <c r="M432" s="5" t="str">
        <f>CONCATENATE(+Contacts!E432)</f>
        <v/>
      </c>
      <c r="N432" t="str">
        <f t="shared" si="174"/>
        <v/>
      </c>
      <c r="O432" s="5">
        <f t="shared" si="175"/>
        <v>0</v>
      </c>
      <c r="P432" s="5">
        <f t="shared" si="176"/>
        <v>0</v>
      </c>
      <c r="Q432" s="5" t="str">
        <f>CONCATENATE(+Contacts!G432)</f>
        <v/>
      </c>
      <c r="R432" t="str">
        <f t="shared" si="177"/>
        <v>&lt;number id="0" prio="1" type="mobile"&gt;31653548199&lt;/number&gt;</v>
      </c>
      <c r="S432" s="5">
        <f t="shared" si="178"/>
        <v>1</v>
      </c>
      <c r="T432" s="5">
        <f t="shared" si="179"/>
        <v>1</v>
      </c>
      <c r="U432" s="5" t="str">
        <f>CONCATENATE(+Contacts!H432)</f>
        <v>31653548199</v>
      </c>
      <c r="V432" t="str">
        <f t="shared" si="180"/>
        <v/>
      </c>
      <c r="W432" s="5">
        <f t="shared" si="181"/>
        <v>1</v>
      </c>
      <c r="X432" s="5">
        <f t="shared" si="182"/>
        <v>1</v>
      </c>
      <c r="Y432" s="5" t="str">
        <f>CONCATENATE(+Contacts!F432)</f>
        <v/>
      </c>
      <c r="Z432" s="2" t="str">
        <f t="shared" si="183"/>
        <v xml:space="preserve">Van Leeuwen, Johan   </v>
      </c>
      <c r="AA432" s="2" t="str">
        <f>CONCATENATE(+Contacts!C432)</f>
        <v>Van Leeuwen</v>
      </c>
      <c r="AB432" s="2" t="str">
        <f t="shared" si="184"/>
        <v xml:space="preserve">, </v>
      </c>
      <c r="AC432" s="2" t="str">
        <f>CONCATENATE(+Contacts!A432)</f>
        <v>Johan</v>
      </c>
      <c r="AD432" s="3" t="str">
        <f>CONCATENATE(" ",+Contacts!B432)</f>
        <v xml:space="preserve"> </v>
      </c>
      <c r="AE432" s="2" t="str">
        <f t="shared" si="185"/>
        <v xml:space="preserve"> </v>
      </c>
      <c r="AF432" s="3" t="str">
        <f>CONCATENATE(+Contacts!D432)</f>
        <v/>
      </c>
      <c r="AG432" s="2" t="str">
        <f t="shared" si="186"/>
        <v xml:space="preserve"> </v>
      </c>
      <c r="AH432" t="str">
        <f>CONCATENATE(+Contacts!I432)</f>
        <v/>
      </c>
      <c r="AI432">
        <v>1500000010</v>
      </c>
      <c r="AJ432" s="5">
        <f t="shared" si="187"/>
        <v>1</v>
      </c>
    </row>
    <row r="433" spans="1:36" x14ac:dyDescent="0.35">
      <c r="A433" s="7" t="str">
        <f t="shared" si="162"/>
        <v/>
      </c>
      <c r="B433" s="7" t="str">
        <f t="shared" si="163"/>
        <v/>
      </c>
      <c r="C433" s="7" t="str">
        <f t="shared" si="164"/>
        <v/>
      </c>
      <c r="D433" t="str">
        <f t="shared" si="165"/>
        <v>&lt;contact&gt;&lt;category&gt;0&lt;/category&gt;&lt;person&gt;&lt;realName&gt;van Leeuwen, Marijke (M.J.C.)    &lt;/realName&gt;&lt;/person&gt;</v>
      </c>
      <c r="E433" t="str">
        <f t="shared" si="166"/>
        <v>&lt;telephony nid="0"&gt;&lt;/telephony&gt;</v>
      </c>
      <c r="F433" t="str">
        <f t="shared" si="167"/>
        <v>&lt;telephony nid="0"&gt;</v>
      </c>
      <c r="G433" t="str">
        <f t="shared" si="168"/>
        <v/>
      </c>
      <c r="H433" t="str">
        <f t="shared" si="169"/>
        <v>&lt;services nid="1"&gt;&lt;email id="0" classifier="private"&gt;&lt;/email&gt;&lt;/services&gt;&lt;setup /&gt;&lt;mod_time&gt;1500000010&lt;/mod_time&gt;&lt;uniqueid&gt;0&lt;/uniqueid&gt;&lt;/contact&gt;</v>
      </c>
      <c r="I433" t="str">
        <f t="shared" si="170"/>
        <v>&lt;services /&gt;&lt;setup /&gt;&lt;mod_time&gt;1500000010&lt;/mod_time&gt;&lt;uniqueid&gt;0&lt;/uniqueid&gt;&lt;/contact&gt;</v>
      </c>
      <c r="J433" t="str">
        <f t="shared" si="171"/>
        <v>&lt;services /&gt;&lt;setup /&gt;&lt;mod_time&gt;1500000010&lt;/mod_time&gt;&lt;uniqueid&gt;0&lt;/uniqueid&gt;&lt;/contact&gt;</v>
      </c>
      <c r="K433" s="5">
        <f t="shared" si="172"/>
        <v>0</v>
      </c>
      <c r="L433" s="5">
        <f t="shared" si="173"/>
        <v>0</v>
      </c>
      <c r="M433" s="5" t="str">
        <f>CONCATENATE(+Contacts!E433)</f>
        <v/>
      </c>
      <c r="N433" t="str">
        <f t="shared" si="174"/>
        <v/>
      </c>
      <c r="O433" s="5">
        <f t="shared" si="175"/>
        <v>0</v>
      </c>
      <c r="P433" s="5">
        <f t="shared" si="176"/>
        <v>0</v>
      </c>
      <c r="Q433" s="5" t="str">
        <f>CONCATENATE(+Contacts!G433)</f>
        <v/>
      </c>
      <c r="R433" t="str">
        <f t="shared" si="177"/>
        <v/>
      </c>
      <c r="S433" s="5">
        <f t="shared" si="178"/>
        <v>0</v>
      </c>
      <c r="T433" s="5">
        <f t="shared" si="179"/>
        <v>0</v>
      </c>
      <c r="U433" s="5" t="str">
        <f>CONCATENATE(+Contacts!H433)</f>
        <v/>
      </c>
      <c r="V433" t="str">
        <f t="shared" si="180"/>
        <v/>
      </c>
      <c r="W433" s="5">
        <f t="shared" si="181"/>
        <v>0</v>
      </c>
      <c r="X433" s="5">
        <f t="shared" si="182"/>
        <v>0</v>
      </c>
      <c r="Y433" s="5" t="str">
        <f>CONCATENATE(+Contacts!F433)</f>
        <v/>
      </c>
      <c r="Z433" s="2" t="str">
        <f t="shared" si="183"/>
        <v xml:space="preserve">van Leeuwen, Marijke (M.J.C.)    </v>
      </c>
      <c r="AA433" s="2" t="str">
        <f>CONCATENATE(+Contacts!C433)</f>
        <v>van Leeuwen</v>
      </c>
      <c r="AB433" s="2" t="str">
        <f t="shared" si="184"/>
        <v xml:space="preserve">, </v>
      </c>
      <c r="AC433" s="2" t="str">
        <f>CONCATENATE(+Contacts!A433)</f>
        <v xml:space="preserve">Marijke (M.J.C.) </v>
      </c>
      <c r="AD433" s="3" t="str">
        <f>CONCATENATE(" ",+Contacts!B433)</f>
        <v xml:space="preserve"> </v>
      </c>
      <c r="AE433" s="2" t="str">
        <f t="shared" si="185"/>
        <v xml:space="preserve"> </v>
      </c>
      <c r="AF433" s="3" t="str">
        <f>CONCATENATE(+Contacts!D433)</f>
        <v/>
      </c>
      <c r="AG433" s="2" t="str">
        <f t="shared" si="186"/>
        <v xml:space="preserve"> </v>
      </c>
      <c r="AH433" t="str">
        <f>CONCATENATE(+Contacts!I433)</f>
        <v/>
      </c>
      <c r="AI433">
        <v>1500000010</v>
      </c>
      <c r="AJ433" s="5">
        <f t="shared" si="187"/>
        <v>0</v>
      </c>
    </row>
    <row r="434" spans="1:36" x14ac:dyDescent="0.35">
      <c r="A434" s="7" t="str">
        <f t="shared" si="162"/>
        <v>&lt;contact&gt;&lt;category&gt;0&lt;/category&gt;&lt;person&gt;&lt;realName&gt;Van Ree, Wim   &lt;/realName&gt;&lt;/person&gt;</v>
      </c>
      <c r="B434" s="7" t="str">
        <f t="shared" si="163"/>
        <v>&lt;telephony nid="1"&gt;&lt;number id="0" prio="1" type="home"&gt;+31 6 12 76 27 28&lt;/number&gt;&lt;/telephony&gt;</v>
      </c>
      <c r="C434" s="7" t="str">
        <f t="shared" si="164"/>
        <v>&lt;services /&gt;&lt;setup /&gt;&lt;mod_time&gt;1500000010&lt;/mod_time&gt;&lt;uniqueid&gt;1&lt;/uniqueid&gt;&lt;/contact&gt;</v>
      </c>
      <c r="D434" t="str">
        <f t="shared" si="165"/>
        <v>&lt;contact&gt;&lt;category&gt;0&lt;/category&gt;&lt;person&gt;&lt;realName&gt;Van Ree, Wim   &lt;/realName&gt;&lt;/person&gt;</v>
      </c>
      <c r="E434" t="str">
        <f t="shared" si="166"/>
        <v>&lt;telephony nid="1"&gt;&lt;number id="0" prio="1" type="home"&gt;+31 6 12 76 27 28&lt;/number&gt;&lt;/telephony&gt;</v>
      </c>
      <c r="F434" t="str">
        <f t="shared" si="167"/>
        <v>&lt;telephony nid="1"&gt;</v>
      </c>
      <c r="G434" t="str">
        <f t="shared" si="168"/>
        <v/>
      </c>
      <c r="H434" t="str">
        <f t="shared" si="169"/>
        <v>&lt;services nid="1"&gt;&lt;email id="0" classifier="private"&gt;&lt;/email&gt;&lt;/services&gt;&lt;setup /&gt;&lt;mod_time&gt;1500000010&lt;/mod_time&gt;&lt;uniqueid&gt;1&lt;/uniqueid&gt;&lt;/contact&gt;</v>
      </c>
      <c r="I434" t="str">
        <f t="shared" si="170"/>
        <v>&lt;services /&gt;&lt;setup /&gt;&lt;mod_time&gt;1500000010&lt;/mod_time&gt;&lt;uniqueid&gt;1&lt;/uniqueid&gt;&lt;/contact&gt;</v>
      </c>
      <c r="J434" t="str">
        <f t="shared" si="171"/>
        <v>&lt;services /&gt;&lt;setup /&gt;&lt;mod_time&gt;1500000010&lt;/mod_time&gt;&lt;uniqueid&gt;1&lt;/uniqueid&gt;&lt;/contact&gt;</v>
      </c>
      <c r="K434" s="5">
        <f t="shared" si="172"/>
        <v>0</v>
      </c>
      <c r="L434" s="5">
        <f t="shared" si="173"/>
        <v>0</v>
      </c>
      <c r="M434" s="5" t="str">
        <f>CONCATENATE(+Contacts!E434)</f>
        <v/>
      </c>
      <c r="N434" t="str">
        <f t="shared" si="174"/>
        <v>&lt;number id="0" prio="1" type="home"&gt;+31 6 12 76 27 28&lt;/number&gt;</v>
      </c>
      <c r="O434" s="5">
        <f t="shared" si="175"/>
        <v>1</v>
      </c>
      <c r="P434" s="5">
        <f t="shared" si="176"/>
        <v>1</v>
      </c>
      <c r="Q434" s="5" t="str">
        <f>CONCATENATE(+Contacts!G434)</f>
        <v>+31 6 12 76 27 28</v>
      </c>
      <c r="R434" t="str">
        <f t="shared" si="177"/>
        <v/>
      </c>
      <c r="S434" s="5">
        <f t="shared" si="178"/>
        <v>1</v>
      </c>
      <c r="T434" s="5">
        <f t="shared" si="179"/>
        <v>1</v>
      </c>
      <c r="U434" s="5" t="str">
        <f>CONCATENATE(+Contacts!H434)</f>
        <v/>
      </c>
      <c r="V434" t="str">
        <f t="shared" si="180"/>
        <v/>
      </c>
      <c r="W434" s="5">
        <f t="shared" si="181"/>
        <v>1</v>
      </c>
      <c r="X434" s="5">
        <f t="shared" si="182"/>
        <v>1</v>
      </c>
      <c r="Y434" s="5" t="str">
        <f>CONCATENATE(+Contacts!F434)</f>
        <v/>
      </c>
      <c r="Z434" s="2" t="str">
        <f t="shared" si="183"/>
        <v xml:space="preserve">Van Ree, Wim   </v>
      </c>
      <c r="AA434" s="2" t="str">
        <f>CONCATENATE(+Contacts!C434)</f>
        <v>Van Ree</v>
      </c>
      <c r="AB434" s="2" t="str">
        <f t="shared" si="184"/>
        <v xml:space="preserve">, </v>
      </c>
      <c r="AC434" s="2" t="str">
        <f>CONCATENATE(+Contacts!A434)</f>
        <v>Wim</v>
      </c>
      <c r="AD434" s="3" t="str">
        <f>CONCATENATE(" ",+Contacts!B434)</f>
        <v xml:space="preserve"> </v>
      </c>
      <c r="AE434" s="2" t="str">
        <f t="shared" si="185"/>
        <v xml:space="preserve"> </v>
      </c>
      <c r="AF434" s="3" t="str">
        <f>CONCATENATE(+Contacts!D434)</f>
        <v/>
      </c>
      <c r="AG434" s="2" t="str">
        <f t="shared" si="186"/>
        <v xml:space="preserve"> </v>
      </c>
      <c r="AH434" t="str">
        <f>CONCATENATE(+Contacts!I434)</f>
        <v/>
      </c>
      <c r="AI434">
        <v>1500000010</v>
      </c>
      <c r="AJ434" s="5">
        <f t="shared" si="187"/>
        <v>1</v>
      </c>
    </row>
    <row r="435" spans="1:36" x14ac:dyDescent="0.35">
      <c r="A435" s="7" t="str">
        <f t="shared" si="162"/>
        <v>&lt;contact&gt;&lt;category&gt;0&lt;/category&gt;&lt;person&gt;&lt;realName&gt;Van Schijndel, Zier   &lt;/realName&gt;&lt;/person&gt;</v>
      </c>
      <c r="B435" s="7" t="str">
        <f t="shared" si="163"/>
        <v>&lt;telephony nid="1"&gt;&lt;number id="0" prio="1" type="home"&gt;+31 6 36 48 91 69&lt;/number&gt;&lt;/telephony&gt;</v>
      </c>
      <c r="C435" s="7" t="str">
        <f t="shared" si="164"/>
        <v>&lt;services nid="1"&gt;&lt;email id="0" classifier="private"&gt;zier@ziggo.nl&lt;/email&gt;&lt;/services&gt;&lt;setup /&gt;&lt;mod_time&gt;1500000010&lt;/mod_time&gt;&lt;uniqueid&gt;1&lt;/uniqueid&gt;&lt;/contact&gt;</v>
      </c>
      <c r="D435" t="str">
        <f t="shared" si="165"/>
        <v>&lt;contact&gt;&lt;category&gt;0&lt;/category&gt;&lt;person&gt;&lt;realName&gt;Van Schijndel, Zier   &lt;/realName&gt;&lt;/person&gt;</v>
      </c>
      <c r="E435" t="str">
        <f t="shared" si="166"/>
        <v>&lt;telephony nid="1"&gt;&lt;number id="0" prio="1" type="home"&gt;+31 6 36 48 91 69&lt;/number&gt;&lt;/telephony&gt;</v>
      </c>
      <c r="F435" t="str">
        <f t="shared" si="167"/>
        <v>&lt;telephony nid="1"&gt;</v>
      </c>
      <c r="G435" t="str">
        <f t="shared" si="168"/>
        <v/>
      </c>
      <c r="H435" t="str">
        <f t="shared" si="169"/>
        <v>&lt;services nid="1"&gt;&lt;email id="0" classifier="private"&gt;zier@ziggo.nl&lt;/email&gt;&lt;/services&gt;&lt;setup /&gt;&lt;mod_time&gt;1500000010&lt;/mod_time&gt;&lt;uniqueid&gt;1&lt;/uniqueid&gt;&lt;/contact&gt;</v>
      </c>
      <c r="I435" t="str">
        <f t="shared" si="170"/>
        <v>&lt;services /&gt;&lt;setup /&gt;&lt;mod_time&gt;1500000010&lt;/mod_time&gt;&lt;uniqueid&gt;1&lt;/uniqueid&gt;&lt;/contact&gt;</v>
      </c>
      <c r="J435" t="str">
        <f t="shared" si="171"/>
        <v>&lt;services nid="1"&gt;&lt;email id="0" classifier="private"&gt;zier@ziggo.nl&lt;/email&gt;&lt;/services&gt;&lt;setup /&gt;&lt;mod_time&gt;1500000010&lt;/mod_time&gt;&lt;uniqueid&gt;1&lt;/uniqueid&gt;&lt;/contact&gt;</v>
      </c>
      <c r="K435" s="5">
        <f t="shared" si="172"/>
        <v>0</v>
      </c>
      <c r="L435" s="5">
        <f t="shared" si="173"/>
        <v>0</v>
      </c>
      <c r="M435" s="5" t="str">
        <f>CONCATENATE(+Contacts!E435)</f>
        <v/>
      </c>
      <c r="N435" t="str">
        <f t="shared" si="174"/>
        <v>&lt;number id="0" prio="1" type="home"&gt;+31 6 36 48 91 69&lt;/number&gt;</v>
      </c>
      <c r="O435" s="5">
        <f t="shared" si="175"/>
        <v>1</v>
      </c>
      <c r="P435" s="5">
        <f t="shared" si="176"/>
        <v>1</v>
      </c>
      <c r="Q435" s="5" t="str">
        <f>CONCATENATE(+Contacts!G435)</f>
        <v>+31 6 36 48 91 69</v>
      </c>
      <c r="R435" t="str">
        <f t="shared" si="177"/>
        <v/>
      </c>
      <c r="S435" s="5">
        <f t="shared" si="178"/>
        <v>1</v>
      </c>
      <c r="T435" s="5">
        <f t="shared" si="179"/>
        <v>1</v>
      </c>
      <c r="U435" s="5" t="str">
        <f>CONCATENATE(+Contacts!H435)</f>
        <v/>
      </c>
      <c r="V435" t="str">
        <f t="shared" si="180"/>
        <v/>
      </c>
      <c r="W435" s="5">
        <f t="shared" si="181"/>
        <v>1</v>
      </c>
      <c r="X435" s="5">
        <f t="shared" si="182"/>
        <v>1</v>
      </c>
      <c r="Y435" s="5" t="str">
        <f>CONCATENATE(+Contacts!F435)</f>
        <v/>
      </c>
      <c r="Z435" s="2" t="str">
        <f t="shared" si="183"/>
        <v xml:space="preserve">Van Schijndel, Zier   </v>
      </c>
      <c r="AA435" s="2" t="str">
        <f>CONCATENATE(+Contacts!C435)</f>
        <v>Van Schijndel</v>
      </c>
      <c r="AB435" s="2" t="str">
        <f t="shared" si="184"/>
        <v xml:space="preserve">, </v>
      </c>
      <c r="AC435" s="2" t="str">
        <f>CONCATENATE(+Contacts!A435)</f>
        <v>Zier</v>
      </c>
      <c r="AD435" s="3" t="str">
        <f>CONCATENATE(" ",+Contacts!B435)</f>
        <v xml:space="preserve"> </v>
      </c>
      <c r="AE435" s="2" t="str">
        <f t="shared" si="185"/>
        <v xml:space="preserve"> </v>
      </c>
      <c r="AF435" s="3" t="str">
        <f>CONCATENATE(+Contacts!D435)</f>
        <v/>
      </c>
      <c r="AG435" s="2" t="str">
        <f t="shared" si="186"/>
        <v xml:space="preserve"> </v>
      </c>
      <c r="AH435" t="str">
        <f>CONCATENATE(+Contacts!I435)</f>
        <v>zier@ziggo.nl</v>
      </c>
      <c r="AI435">
        <v>1500000010</v>
      </c>
      <c r="AJ435" s="5">
        <f t="shared" si="187"/>
        <v>1</v>
      </c>
    </row>
    <row r="436" spans="1:36" x14ac:dyDescent="0.35">
      <c r="A436" s="7" t="str">
        <f t="shared" si="162"/>
        <v>&lt;contact&gt;&lt;category&gt;0&lt;/category&gt;&lt;person&gt;&lt;realName&gt;Van Wijck, Bram    &lt;/realName&gt;&lt;/person&gt;</v>
      </c>
      <c r="B436" s="7" t="str">
        <f t="shared" si="163"/>
        <v>&lt;telephony nid="1"&gt;&lt;number id="0" prio="1" type="home"&gt;+31 6 39 48 77 03&lt;/number&gt;&lt;/telephony&gt;</v>
      </c>
      <c r="C436" s="7" t="str">
        <f t="shared" si="164"/>
        <v>&lt;services /&gt;&lt;setup /&gt;&lt;mod_time&gt;1500000010&lt;/mod_time&gt;&lt;uniqueid&gt;1&lt;/uniqueid&gt;&lt;/contact&gt;</v>
      </c>
      <c r="D436" t="str">
        <f t="shared" si="165"/>
        <v>&lt;contact&gt;&lt;category&gt;0&lt;/category&gt;&lt;person&gt;&lt;realName&gt;Van Wijck, Bram    &lt;/realName&gt;&lt;/person&gt;</v>
      </c>
      <c r="E436" t="str">
        <f t="shared" si="166"/>
        <v>&lt;telephony nid="1"&gt;&lt;number id="0" prio="1" type="home"&gt;+31 6 39 48 77 03&lt;/number&gt;&lt;/telephony&gt;</v>
      </c>
      <c r="F436" t="str">
        <f t="shared" si="167"/>
        <v>&lt;telephony nid="1"&gt;</v>
      </c>
      <c r="G436" t="str">
        <f t="shared" si="168"/>
        <v/>
      </c>
      <c r="H436" t="str">
        <f t="shared" si="169"/>
        <v>&lt;services nid="1"&gt;&lt;email id="0" classifier="private"&gt;&lt;/email&gt;&lt;/services&gt;&lt;setup /&gt;&lt;mod_time&gt;1500000010&lt;/mod_time&gt;&lt;uniqueid&gt;1&lt;/uniqueid&gt;&lt;/contact&gt;</v>
      </c>
      <c r="I436" t="str">
        <f t="shared" si="170"/>
        <v>&lt;services /&gt;&lt;setup /&gt;&lt;mod_time&gt;1500000010&lt;/mod_time&gt;&lt;uniqueid&gt;1&lt;/uniqueid&gt;&lt;/contact&gt;</v>
      </c>
      <c r="J436" t="str">
        <f t="shared" si="171"/>
        <v>&lt;services /&gt;&lt;setup /&gt;&lt;mod_time&gt;1500000010&lt;/mod_time&gt;&lt;uniqueid&gt;1&lt;/uniqueid&gt;&lt;/contact&gt;</v>
      </c>
      <c r="K436" s="5">
        <f t="shared" si="172"/>
        <v>0</v>
      </c>
      <c r="L436" s="5">
        <f t="shared" si="173"/>
        <v>0</v>
      </c>
      <c r="M436" s="5" t="str">
        <f>CONCATENATE(+Contacts!E436)</f>
        <v/>
      </c>
      <c r="N436" t="str">
        <f t="shared" si="174"/>
        <v>&lt;number id="0" prio="1" type="home"&gt;+31 6 39 48 77 03&lt;/number&gt;</v>
      </c>
      <c r="O436" s="5">
        <f t="shared" si="175"/>
        <v>1</v>
      </c>
      <c r="P436" s="5">
        <f t="shared" si="176"/>
        <v>1</v>
      </c>
      <c r="Q436" s="5" t="str">
        <f>CONCATENATE(+Contacts!G436)</f>
        <v>+31 6 39 48 77 03</v>
      </c>
      <c r="R436" t="str">
        <f t="shared" si="177"/>
        <v/>
      </c>
      <c r="S436" s="5">
        <f t="shared" si="178"/>
        <v>1</v>
      </c>
      <c r="T436" s="5">
        <f t="shared" si="179"/>
        <v>1</v>
      </c>
      <c r="U436" s="5" t="str">
        <f>CONCATENATE(+Contacts!H436)</f>
        <v/>
      </c>
      <c r="V436" t="str">
        <f t="shared" si="180"/>
        <v/>
      </c>
      <c r="W436" s="5">
        <f t="shared" si="181"/>
        <v>1</v>
      </c>
      <c r="X436" s="5">
        <f t="shared" si="182"/>
        <v>1</v>
      </c>
      <c r="Y436" s="5" t="str">
        <f>CONCATENATE(+Contacts!F436)</f>
        <v/>
      </c>
      <c r="Z436" s="2" t="str">
        <f t="shared" si="183"/>
        <v xml:space="preserve">Van Wijck, Bram    </v>
      </c>
      <c r="AA436" s="2" t="str">
        <f>CONCATENATE(+Contacts!C436)</f>
        <v>Van Wijck</v>
      </c>
      <c r="AB436" s="2" t="str">
        <f t="shared" si="184"/>
        <v xml:space="preserve">, </v>
      </c>
      <c r="AC436" s="2" t="str">
        <f>CONCATENATE(+Contacts!A436)</f>
        <v xml:space="preserve">Bram </v>
      </c>
      <c r="AD436" s="3" t="str">
        <f>CONCATENATE(" ",+Contacts!B436)</f>
        <v xml:space="preserve"> </v>
      </c>
      <c r="AE436" s="2" t="str">
        <f t="shared" si="185"/>
        <v xml:space="preserve"> </v>
      </c>
      <c r="AF436" s="3" t="str">
        <f>CONCATENATE(+Contacts!D436)</f>
        <v/>
      </c>
      <c r="AG436" s="2" t="str">
        <f t="shared" si="186"/>
        <v xml:space="preserve"> </v>
      </c>
      <c r="AH436" t="str">
        <f>CONCATENATE(+Contacts!I436)</f>
        <v/>
      </c>
      <c r="AI436">
        <v>1500000010</v>
      </c>
      <c r="AJ436" s="5">
        <f t="shared" si="187"/>
        <v>1</v>
      </c>
    </row>
    <row r="437" spans="1:36" x14ac:dyDescent="0.35">
      <c r="A437" s="7" t="str">
        <f t="shared" si="162"/>
        <v>&lt;contact&gt;&lt;category&gt;0&lt;/category&gt;&lt;person&gt;&lt;realName&gt;Van Wijk, Helma   &lt;/realName&gt;&lt;/person&gt;</v>
      </c>
      <c r="B437" s="7" t="str">
        <f t="shared" si="163"/>
        <v>&lt;telephony nid="1"&gt;&lt;number id="0" prio="1" type="home"&gt;+31 6 40 44 57 83&lt;/number&gt;&lt;/telephony&gt;</v>
      </c>
      <c r="C437" s="7" t="str">
        <f t="shared" si="164"/>
        <v>&lt;services /&gt;&lt;setup /&gt;&lt;mod_time&gt;1500000010&lt;/mod_time&gt;&lt;uniqueid&gt;1&lt;/uniqueid&gt;&lt;/contact&gt;</v>
      </c>
      <c r="D437" t="str">
        <f t="shared" si="165"/>
        <v>&lt;contact&gt;&lt;category&gt;0&lt;/category&gt;&lt;person&gt;&lt;realName&gt;Van Wijk, Helma   &lt;/realName&gt;&lt;/person&gt;</v>
      </c>
      <c r="E437" t="str">
        <f t="shared" si="166"/>
        <v>&lt;telephony nid="1"&gt;&lt;number id="0" prio="1" type="home"&gt;+31 6 40 44 57 83&lt;/number&gt;&lt;/telephony&gt;</v>
      </c>
      <c r="F437" t="str">
        <f t="shared" si="167"/>
        <v>&lt;telephony nid="1"&gt;</v>
      </c>
      <c r="G437" t="str">
        <f t="shared" si="168"/>
        <v/>
      </c>
      <c r="H437" t="str">
        <f t="shared" si="169"/>
        <v>&lt;services nid="1"&gt;&lt;email id="0" classifier="private"&gt;&lt;/email&gt;&lt;/services&gt;&lt;setup /&gt;&lt;mod_time&gt;1500000010&lt;/mod_time&gt;&lt;uniqueid&gt;1&lt;/uniqueid&gt;&lt;/contact&gt;</v>
      </c>
      <c r="I437" t="str">
        <f t="shared" si="170"/>
        <v>&lt;services /&gt;&lt;setup /&gt;&lt;mod_time&gt;1500000010&lt;/mod_time&gt;&lt;uniqueid&gt;1&lt;/uniqueid&gt;&lt;/contact&gt;</v>
      </c>
      <c r="J437" t="str">
        <f t="shared" si="171"/>
        <v>&lt;services /&gt;&lt;setup /&gt;&lt;mod_time&gt;1500000010&lt;/mod_time&gt;&lt;uniqueid&gt;1&lt;/uniqueid&gt;&lt;/contact&gt;</v>
      </c>
      <c r="K437" s="5">
        <f t="shared" si="172"/>
        <v>0</v>
      </c>
      <c r="L437" s="5">
        <f t="shared" si="173"/>
        <v>0</v>
      </c>
      <c r="M437" s="5" t="str">
        <f>CONCATENATE(+Contacts!E437)</f>
        <v/>
      </c>
      <c r="N437" t="str">
        <f t="shared" si="174"/>
        <v>&lt;number id="0" prio="1" type="home"&gt;+31 6 40 44 57 83&lt;/number&gt;</v>
      </c>
      <c r="O437" s="5">
        <f t="shared" si="175"/>
        <v>1</v>
      </c>
      <c r="P437" s="5">
        <f t="shared" si="176"/>
        <v>1</v>
      </c>
      <c r="Q437" s="5" t="str">
        <f>CONCATENATE(+Contacts!G437)</f>
        <v>+31 6 40 44 57 83</v>
      </c>
      <c r="R437" t="str">
        <f t="shared" si="177"/>
        <v/>
      </c>
      <c r="S437" s="5">
        <f t="shared" si="178"/>
        <v>1</v>
      </c>
      <c r="T437" s="5">
        <f t="shared" si="179"/>
        <v>1</v>
      </c>
      <c r="U437" s="5" t="str">
        <f>CONCATENATE(+Contacts!H437)</f>
        <v/>
      </c>
      <c r="V437" t="str">
        <f t="shared" si="180"/>
        <v/>
      </c>
      <c r="W437" s="5">
        <f t="shared" si="181"/>
        <v>1</v>
      </c>
      <c r="X437" s="5">
        <f t="shared" si="182"/>
        <v>1</v>
      </c>
      <c r="Y437" s="5" t="str">
        <f>CONCATENATE(+Contacts!F437)</f>
        <v/>
      </c>
      <c r="Z437" s="2" t="str">
        <f t="shared" si="183"/>
        <v xml:space="preserve">Van Wijk, Helma   </v>
      </c>
      <c r="AA437" s="2" t="str">
        <f>CONCATENATE(+Contacts!C437)</f>
        <v>Van Wijk</v>
      </c>
      <c r="AB437" s="2" t="str">
        <f t="shared" si="184"/>
        <v xml:space="preserve">, </v>
      </c>
      <c r="AC437" s="2" t="str">
        <f>CONCATENATE(+Contacts!A437)</f>
        <v>Helma</v>
      </c>
      <c r="AD437" s="3" t="str">
        <f>CONCATENATE(" ",+Contacts!B437)</f>
        <v xml:space="preserve"> </v>
      </c>
      <c r="AE437" s="2" t="str">
        <f t="shared" si="185"/>
        <v xml:space="preserve"> </v>
      </c>
      <c r="AF437" s="3" t="str">
        <f>CONCATENATE(+Contacts!D437)</f>
        <v/>
      </c>
      <c r="AG437" s="2" t="str">
        <f t="shared" si="186"/>
        <v xml:space="preserve"> </v>
      </c>
      <c r="AH437" t="str">
        <f>CONCATENATE(+Contacts!I437)</f>
        <v/>
      </c>
      <c r="AI437">
        <v>1500000010</v>
      </c>
      <c r="AJ437" s="5">
        <f t="shared" si="187"/>
        <v>1</v>
      </c>
    </row>
    <row r="438" spans="1:36" x14ac:dyDescent="0.35">
      <c r="A438" s="7" t="str">
        <f t="shared" si="162"/>
        <v>&lt;contact&gt;&lt;category&gt;0&lt;/category&gt;&lt;person&gt;&lt;realName&gt;Veenman, Barbara   &lt;/realName&gt;&lt;/person&gt;</v>
      </c>
      <c r="B438" s="7" t="str">
        <f t="shared" si="163"/>
        <v>&lt;telephony nid="2"&gt;&lt;number id="0" prio="1" type="home"&gt;+31 104508948&lt;/number&gt;&lt;number id="1" prio="0" type="mobile"&gt;+31 627073323&lt;/number&gt;&lt;/telephony&gt;</v>
      </c>
      <c r="C438" s="7" t="str">
        <f t="shared" si="164"/>
        <v>&lt;services nid="1"&gt;&lt;email id="0" classifier="private"&gt;barbaraveenman@kpnplanet.nl&lt;/email&gt;&lt;/services&gt;&lt;setup /&gt;&lt;mod_time&gt;1500000010&lt;/mod_time&gt;&lt;uniqueid&gt;1&lt;/uniqueid&gt;&lt;/contact&gt;</v>
      </c>
      <c r="D438" t="str">
        <f t="shared" si="165"/>
        <v>&lt;contact&gt;&lt;category&gt;0&lt;/category&gt;&lt;person&gt;&lt;realName&gt;Veenman, Barbara   &lt;/realName&gt;&lt;/person&gt;</v>
      </c>
      <c r="E438" t="str">
        <f t="shared" si="166"/>
        <v>&lt;telephony nid="2"&gt;&lt;number id="0" prio="1" type="home"&gt;+31 104508948&lt;/number&gt;&lt;number id="1" prio="0" type="mobile"&gt;+31 627073323&lt;/number&gt;&lt;/telephony&gt;</v>
      </c>
      <c r="F438" t="str">
        <f t="shared" si="167"/>
        <v>&lt;telephony nid="2"&gt;</v>
      </c>
      <c r="G438" t="str">
        <f t="shared" si="168"/>
        <v/>
      </c>
      <c r="H438" t="str">
        <f t="shared" si="169"/>
        <v>&lt;services nid="1"&gt;&lt;email id="0" classifier="private"&gt;barbaraveenman@kpnplanet.nl&lt;/email&gt;&lt;/services&gt;&lt;setup /&gt;&lt;mod_time&gt;1500000010&lt;/mod_time&gt;&lt;uniqueid&gt;1&lt;/uniqueid&gt;&lt;/contact&gt;</v>
      </c>
      <c r="I438" t="str">
        <f t="shared" si="170"/>
        <v>&lt;services /&gt;&lt;setup /&gt;&lt;mod_time&gt;1500000010&lt;/mod_time&gt;&lt;uniqueid&gt;1&lt;/uniqueid&gt;&lt;/contact&gt;</v>
      </c>
      <c r="J438" t="str">
        <f t="shared" si="171"/>
        <v>&lt;services nid="1"&gt;&lt;email id="0" classifier="private"&gt;barbaraveenman@kpnplanet.nl&lt;/email&gt;&lt;/services&gt;&lt;setup /&gt;&lt;mod_time&gt;1500000010&lt;/mod_time&gt;&lt;uniqueid&gt;1&lt;/uniqueid&gt;&lt;/contact&gt;</v>
      </c>
      <c r="K438" s="5">
        <f t="shared" si="172"/>
        <v>0</v>
      </c>
      <c r="L438" s="5">
        <f t="shared" si="173"/>
        <v>0</v>
      </c>
      <c r="M438" s="5" t="str">
        <f>CONCATENATE(+Contacts!E438)</f>
        <v/>
      </c>
      <c r="N438" t="str">
        <f t="shared" si="174"/>
        <v>&lt;number id="0" prio="1" type="home"&gt;+31 104508948&lt;/number&gt;</v>
      </c>
      <c r="O438" s="5">
        <f t="shared" si="175"/>
        <v>1</v>
      </c>
      <c r="P438" s="5">
        <f t="shared" si="176"/>
        <v>1</v>
      </c>
      <c r="Q438" s="5" t="str">
        <f>CONCATENATE(+Contacts!G438)</f>
        <v>+31 104508948</v>
      </c>
      <c r="R438" t="str">
        <f t="shared" si="177"/>
        <v>&lt;number id="1" prio="0" type="mobile"&gt;+31 627073323&lt;/number&gt;</v>
      </c>
      <c r="S438" s="5">
        <f t="shared" si="178"/>
        <v>2</v>
      </c>
      <c r="T438" s="5">
        <f t="shared" si="179"/>
        <v>0</v>
      </c>
      <c r="U438" s="5" t="str">
        <f>CONCATENATE(+Contacts!H438)</f>
        <v>+31 627073323</v>
      </c>
      <c r="V438" t="str">
        <f t="shared" si="180"/>
        <v/>
      </c>
      <c r="W438" s="5">
        <f t="shared" si="181"/>
        <v>2</v>
      </c>
      <c r="X438" s="5">
        <f t="shared" si="182"/>
        <v>0</v>
      </c>
      <c r="Y438" s="5" t="str">
        <f>CONCATENATE(+Contacts!F438)</f>
        <v/>
      </c>
      <c r="Z438" s="2" t="str">
        <f t="shared" si="183"/>
        <v xml:space="preserve">Veenman, Barbara   </v>
      </c>
      <c r="AA438" s="2" t="str">
        <f>CONCATENATE(+Contacts!C438)</f>
        <v>Veenman</v>
      </c>
      <c r="AB438" s="2" t="str">
        <f t="shared" si="184"/>
        <v xml:space="preserve">, </v>
      </c>
      <c r="AC438" s="2" t="str">
        <f>CONCATENATE(+Contacts!A438)</f>
        <v>Barbara</v>
      </c>
      <c r="AD438" s="3" t="str">
        <f>CONCATENATE(" ",+Contacts!B438)</f>
        <v xml:space="preserve"> </v>
      </c>
      <c r="AE438" s="2" t="str">
        <f t="shared" si="185"/>
        <v xml:space="preserve"> </v>
      </c>
      <c r="AF438" s="3" t="str">
        <f>CONCATENATE(+Contacts!D438)</f>
        <v/>
      </c>
      <c r="AG438" s="2" t="str">
        <f t="shared" si="186"/>
        <v xml:space="preserve"> </v>
      </c>
      <c r="AH438" t="str">
        <f>CONCATENATE(+Contacts!I438)</f>
        <v>barbaraveenman@kpnplanet.nl</v>
      </c>
      <c r="AI438">
        <v>1500000010</v>
      </c>
      <c r="AJ438" s="5">
        <f t="shared" si="187"/>
        <v>1</v>
      </c>
    </row>
    <row r="439" spans="1:36" x14ac:dyDescent="0.35">
      <c r="A439" s="7" t="str">
        <f t="shared" si="162"/>
        <v>&lt;contact&gt;&lt;category&gt;0&lt;/category&gt;&lt;person&gt;&lt;realName&gt;Verhoef, Magda   &lt;/realName&gt;&lt;/person&gt;</v>
      </c>
      <c r="B439" s="7" t="str">
        <f t="shared" si="163"/>
        <v>&lt;telephony nid="2"&gt;&lt;number id="0" prio="1" type="home"&gt;+31 180313500&lt;/number&gt;&lt;number id="1" prio="0" type="work"&gt;+31 6 44 33 10 92&lt;/number&gt;&lt;/telephony&gt;</v>
      </c>
      <c r="C439" s="7" t="str">
        <f t="shared" si="164"/>
        <v>&lt;services /&gt;&lt;setup /&gt;&lt;mod_time&gt;1500000010&lt;/mod_time&gt;&lt;uniqueid&gt;1&lt;/uniqueid&gt;&lt;/contact&gt;</v>
      </c>
      <c r="D439" t="str">
        <f t="shared" si="165"/>
        <v>&lt;contact&gt;&lt;category&gt;0&lt;/category&gt;&lt;person&gt;&lt;realName&gt;Verhoef, Magda   &lt;/realName&gt;&lt;/person&gt;</v>
      </c>
      <c r="E439" t="str">
        <f t="shared" si="166"/>
        <v>&lt;telephony nid="2"&gt;&lt;number id="0" prio="1" type="home"&gt;+31 180313500&lt;/number&gt;&lt;number id="1" prio="0" type="work"&gt;+31 6 44 33 10 92&lt;/number&gt;&lt;/telephony&gt;</v>
      </c>
      <c r="F439" t="str">
        <f t="shared" si="167"/>
        <v>&lt;telephony nid="2"&gt;</v>
      </c>
      <c r="G439" t="str">
        <f t="shared" si="168"/>
        <v/>
      </c>
      <c r="H439" t="str">
        <f t="shared" si="169"/>
        <v>&lt;services nid="1"&gt;&lt;email id="0" classifier="private"&gt;&lt;/email&gt;&lt;/services&gt;&lt;setup /&gt;&lt;mod_time&gt;1500000010&lt;/mod_time&gt;&lt;uniqueid&gt;1&lt;/uniqueid&gt;&lt;/contact&gt;</v>
      </c>
      <c r="I439" t="str">
        <f t="shared" si="170"/>
        <v>&lt;services /&gt;&lt;setup /&gt;&lt;mod_time&gt;1500000010&lt;/mod_time&gt;&lt;uniqueid&gt;1&lt;/uniqueid&gt;&lt;/contact&gt;</v>
      </c>
      <c r="J439" t="str">
        <f t="shared" si="171"/>
        <v>&lt;services /&gt;&lt;setup /&gt;&lt;mod_time&gt;1500000010&lt;/mod_time&gt;&lt;uniqueid&gt;1&lt;/uniqueid&gt;&lt;/contact&gt;</v>
      </c>
      <c r="K439" s="5">
        <f t="shared" si="172"/>
        <v>0</v>
      </c>
      <c r="L439" s="5">
        <f t="shared" si="173"/>
        <v>0</v>
      </c>
      <c r="M439" s="5" t="str">
        <f>CONCATENATE(+Contacts!E439)</f>
        <v/>
      </c>
      <c r="N439" t="str">
        <f t="shared" si="174"/>
        <v>&lt;number id="0" prio="1" type="home"&gt;+31 180313500&lt;/number&gt;</v>
      </c>
      <c r="O439" s="5">
        <f t="shared" si="175"/>
        <v>1</v>
      </c>
      <c r="P439" s="5">
        <f t="shared" si="176"/>
        <v>1</v>
      </c>
      <c r="Q439" s="5" t="str">
        <f>CONCATENATE(+Contacts!G439)</f>
        <v>+31 180313500</v>
      </c>
      <c r="R439" t="str">
        <f t="shared" si="177"/>
        <v/>
      </c>
      <c r="S439" s="5">
        <f t="shared" si="178"/>
        <v>1</v>
      </c>
      <c r="T439" s="5">
        <f t="shared" si="179"/>
        <v>1</v>
      </c>
      <c r="U439" s="5" t="str">
        <f>CONCATENATE(+Contacts!H439)</f>
        <v/>
      </c>
      <c r="V439" t="str">
        <f t="shared" si="180"/>
        <v>&lt;number id="1" prio="0" type="work"&gt;+31 6 44 33 10 92&lt;/number&gt;</v>
      </c>
      <c r="W439" s="5">
        <f t="shared" si="181"/>
        <v>2</v>
      </c>
      <c r="X439" s="5">
        <f t="shared" si="182"/>
        <v>0</v>
      </c>
      <c r="Y439" s="5" t="str">
        <f>CONCATENATE(+Contacts!F439)</f>
        <v>+31 6 44 33 10 92</v>
      </c>
      <c r="Z439" s="2" t="str">
        <f t="shared" si="183"/>
        <v xml:space="preserve">Verhoef, Magda   </v>
      </c>
      <c r="AA439" s="2" t="str">
        <f>CONCATENATE(+Contacts!C439)</f>
        <v>Verhoef</v>
      </c>
      <c r="AB439" s="2" t="str">
        <f t="shared" si="184"/>
        <v xml:space="preserve">, </v>
      </c>
      <c r="AC439" s="2" t="str">
        <f>CONCATENATE(+Contacts!A439)</f>
        <v>Magda</v>
      </c>
      <c r="AD439" s="3" t="str">
        <f>CONCATENATE(" ",+Contacts!B439)</f>
        <v xml:space="preserve"> </v>
      </c>
      <c r="AE439" s="2" t="str">
        <f t="shared" si="185"/>
        <v xml:space="preserve"> </v>
      </c>
      <c r="AF439" s="3" t="str">
        <f>CONCATENATE(+Contacts!D439)</f>
        <v/>
      </c>
      <c r="AG439" s="2" t="str">
        <f t="shared" si="186"/>
        <v xml:space="preserve"> </v>
      </c>
      <c r="AH439" t="str">
        <f>CONCATENATE(+Contacts!I439)</f>
        <v/>
      </c>
      <c r="AI439">
        <v>1500000010</v>
      </c>
      <c r="AJ439" s="5">
        <f t="shared" si="187"/>
        <v>1</v>
      </c>
    </row>
    <row r="440" spans="1:36" x14ac:dyDescent="0.35">
      <c r="A440" s="7" t="str">
        <f t="shared" si="162"/>
        <v>&lt;contact&gt;&lt;category&gt;0&lt;/category&gt;&lt;person&gt;&lt;realName&gt;Verlies of Diefstal, Betaalpas (ING)&lt;/realName&gt;&lt;/person&gt;</v>
      </c>
      <c r="B440" s="7" t="str">
        <f t="shared" si="163"/>
        <v>&lt;telephony nid="1"&gt;&lt;number id="0" prio="1" type="work"&gt;+31 202288800&lt;/number&gt;&lt;/telephony&gt;</v>
      </c>
      <c r="C440" s="7" t="str">
        <f t="shared" si="164"/>
        <v>&lt;services /&gt;&lt;setup /&gt;&lt;mod_time&gt;1500000010&lt;/mod_time&gt;&lt;uniqueid&gt;1&lt;/uniqueid&gt;&lt;/contact&gt;</v>
      </c>
      <c r="D440" t="str">
        <f t="shared" si="165"/>
        <v>&lt;contact&gt;&lt;category&gt;0&lt;/category&gt;&lt;person&gt;&lt;realName&gt;Verlies of Diefstal, Betaalpas (ING)&lt;/realName&gt;&lt;/person&gt;</v>
      </c>
      <c r="E440" t="str">
        <f t="shared" si="166"/>
        <v>&lt;telephony nid="1"&gt;&lt;number id="0" prio="1" type="work"&gt;+31 202288800&lt;/number&gt;&lt;/telephony&gt;</v>
      </c>
      <c r="F440" t="str">
        <f t="shared" si="167"/>
        <v>&lt;telephony nid="1"&gt;</v>
      </c>
      <c r="G440" t="str">
        <f t="shared" si="168"/>
        <v>&lt;number id="0" prio="1" type="work"&gt;+31 202288800&lt;/number&gt;</v>
      </c>
      <c r="H440" t="str">
        <f t="shared" si="169"/>
        <v>&lt;services nid="1"&gt;&lt;email id="0" classifier="private"&gt;&lt;/email&gt;&lt;/services&gt;&lt;setup /&gt;&lt;mod_time&gt;1500000010&lt;/mod_time&gt;&lt;uniqueid&gt;1&lt;/uniqueid&gt;&lt;/contact&gt;</v>
      </c>
      <c r="I440" t="str">
        <f t="shared" si="170"/>
        <v>&lt;services /&gt;&lt;setup /&gt;&lt;mod_time&gt;1500000010&lt;/mod_time&gt;&lt;uniqueid&gt;1&lt;/uniqueid&gt;&lt;/contact&gt;</v>
      </c>
      <c r="J440" t="str">
        <f t="shared" si="171"/>
        <v>&lt;services /&gt;&lt;setup /&gt;&lt;mod_time&gt;1500000010&lt;/mod_time&gt;&lt;uniqueid&gt;1&lt;/uniqueid&gt;&lt;/contact&gt;</v>
      </c>
      <c r="K440" s="5">
        <f t="shared" si="172"/>
        <v>1</v>
      </c>
      <c r="L440" s="5">
        <f t="shared" si="173"/>
        <v>1</v>
      </c>
      <c r="M440" s="5" t="str">
        <f>CONCATENATE(+Contacts!E440)</f>
        <v>+31 202288800</v>
      </c>
      <c r="N440" t="str">
        <f t="shared" si="174"/>
        <v/>
      </c>
      <c r="O440" s="5">
        <f t="shared" si="175"/>
        <v>1</v>
      </c>
      <c r="P440" s="5">
        <f t="shared" si="176"/>
        <v>1</v>
      </c>
      <c r="Q440" s="5" t="str">
        <f>CONCATENATE(+Contacts!G440)</f>
        <v/>
      </c>
      <c r="R440" t="str">
        <f t="shared" si="177"/>
        <v/>
      </c>
      <c r="S440" s="5">
        <f t="shared" si="178"/>
        <v>1</v>
      </c>
      <c r="T440" s="5">
        <f t="shared" si="179"/>
        <v>1</v>
      </c>
      <c r="U440" s="5" t="str">
        <f>CONCATENATE(+Contacts!H440)</f>
        <v/>
      </c>
      <c r="V440" t="str">
        <f t="shared" si="180"/>
        <v/>
      </c>
      <c r="W440" s="5">
        <f t="shared" si="181"/>
        <v>1</v>
      </c>
      <c r="X440" s="5">
        <f t="shared" si="182"/>
        <v>1</v>
      </c>
      <c r="Y440" s="5" t="str">
        <f>CONCATENATE(+Contacts!F440)</f>
        <v/>
      </c>
      <c r="Z440" s="2" t="str">
        <f t="shared" si="183"/>
        <v>Verlies of Diefstal, Betaalpas (ING)</v>
      </c>
      <c r="AA440" s="2" t="str">
        <f>CONCATENATE(+Contacts!C440)</f>
        <v>Verlies of Diefstal</v>
      </c>
      <c r="AB440" s="2" t="str">
        <f t="shared" si="184"/>
        <v xml:space="preserve">, </v>
      </c>
      <c r="AC440" s="2" t="str">
        <f>CONCATENATE(+Contacts!A440)</f>
        <v>Betaalpas</v>
      </c>
      <c r="AD440" s="3" t="str">
        <f>CONCATENATE(" ",+Contacts!B440)</f>
        <v xml:space="preserve"> </v>
      </c>
      <c r="AE440" s="2" t="str">
        <f t="shared" si="185"/>
        <v>(</v>
      </c>
      <c r="AF440" s="3" t="str">
        <f>CONCATENATE(+Contacts!D440)</f>
        <v>ING</v>
      </c>
      <c r="AG440" s="2" t="str">
        <f t="shared" si="186"/>
        <v>)</v>
      </c>
      <c r="AH440" t="str">
        <f>CONCATENATE(+Contacts!I440)</f>
        <v/>
      </c>
      <c r="AI440">
        <v>1500000010</v>
      </c>
      <c r="AJ440" s="5">
        <f t="shared" si="187"/>
        <v>1</v>
      </c>
    </row>
    <row r="441" spans="1:36" x14ac:dyDescent="0.35">
      <c r="A441" s="7" t="str">
        <f t="shared" si="162"/>
        <v>&lt;contact&gt;&lt;category&gt;0&lt;/category&gt;&lt;person&gt;&lt;realName&gt;Versluis, Lieke   &lt;/realName&gt;&lt;/person&gt;</v>
      </c>
      <c r="B441" s="7" t="str">
        <f t="shared" si="163"/>
        <v>&lt;telephony nid="1"&gt;&lt;number id="0" prio="1" type="home"&gt;+31 358871159&lt;/number&gt;&lt;/telephony&gt;</v>
      </c>
      <c r="C441" s="7" t="str">
        <f t="shared" si="164"/>
        <v>&lt;services /&gt;&lt;setup /&gt;&lt;mod_time&gt;1500000010&lt;/mod_time&gt;&lt;uniqueid&gt;1&lt;/uniqueid&gt;&lt;/contact&gt;</v>
      </c>
      <c r="D441" t="str">
        <f t="shared" si="165"/>
        <v>&lt;contact&gt;&lt;category&gt;0&lt;/category&gt;&lt;person&gt;&lt;realName&gt;Versluis, Lieke   &lt;/realName&gt;&lt;/person&gt;</v>
      </c>
      <c r="E441" t="str">
        <f t="shared" si="166"/>
        <v>&lt;telephony nid="1"&gt;&lt;number id="0" prio="1" type="home"&gt;+31 358871159&lt;/number&gt;&lt;/telephony&gt;</v>
      </c>
      <c r="F441" t="str">
        <f t="shared" si="167"/>
        <v>&lt;telephony nid="1"&gt;</v>
      </c>
      <c r="G441" t="str">
        <f t="shared" si="168"/>
        <v/>
      </c>
      <c r="H441" t="str">
        <f t="shared" si="169"/>
        <v>&lt;services nid="1"&gt;&lt;email id="0" classifier="private"&gt;&lt;/email&gt;&lt;/services&gt;&lt;setup /&gt;&lt;mod_time&gt;1500000010&lt;/mod_time&gt;&lt;uniqueid&gt;1&lt;/uniqueid&gt;&lt;/contact&gt;</v>
      </c>
      <c r="I441" t="str">
        <f t="shared" si="170"/>
        <v>&lt;services /&gt;&lt;setup /&gt;&lt;mod_time&gt;1500000010&lt;/mod_time&gt;&lt;uniqueid&gt;1&lt;/uniqueid&gt;&lt;/contact&gt;</v>
      </c>
      <c r="J441" t="str">
        <f t="shared" si="171"/>
        <v>&lt;services /&gt;&lt;setup /&gt;&lt;mod_time&gt;1500000010&lt;/mod_time&gt;&lt;uniqueid&gt;1&lt;/uniqueid&gt;&lt;/contact&gt;</v>
      </c>
      <c r="K441" s="5">
        <f t="shared" si="172"/>
        <v>0</v>
      </c>
      <c r="L441" s="5">
        <f t="shared" si="173"/>
        <v>0</v>
      </c>
      <c r="M441" s="5" t="str">
        <f>CONCATENATE(+Contacts!E441)</f>
        <v/>
      </c>
      <c r="N441" t="str">
        <f t="shared" si="174"/>
        <v>&lt;number id="0" prio="1" type="home"&gt;+31 358871159&lt;/number&gt;</v>
      </c>
      <c r="O441" s="5">
        <f t="shared" si="175"/>
        <v>1</v>
      </c>
      <c r="P441" s="5">
        <f t="shared" si="176"/>
        <v>1</v>
      </c>
      <c r="Q441" s="5" t="str">
        <f>CONCATENATE(+Contacts!G441)</f>
        <v>+31 358871159</v>
      </c>
      <c r="R441" t="str">
        <f t="shared" si="177"/>
        <v/>
      </c>
      <c r="S441" s="5">
        <f t="shared" si="178"/>
        <v>1</v>
      </c>
      <c r="T441" s="5">
        <f t="shared" si="179"/>
        <v>1</v>
      </c>
      <c r="U441" s="5" t="str">
        <f>CONCATENATE(+Contacts!H441)</f>
        <v/>
      </c>
      <c r="V441" t="str">
        <f t="shared" si="180"/>
        <v/>
      </c>
      <c r="W441" s="5">
        <f t="shared" si="181"/>
        <v>1</v>
      </c>
      <c r="X441" s="5">
        <f t="shared" si="182"/>
        <v>1</v>
      </c>
      <c r="Y441" s="5" t="str">
        <f>CONCATENATE(+Contacts!F441)</f>
        <v/>
      </c>
      <c r="Z441" s="2" t="str">
        <f t="shared" si="183"/>
        <v xml:space="preserve">Versluis, Lieke   </v>
      </c>
      <c r="AA441" s="2" t="str">
        <f>CONCATENATE(+Contacts!C441)</f>
        <v>Versluis</v>
      </c>
      <c r="AB441" s="2" t="str">
        <f t="shared" si="184"/>
        <v xml:space="preserve">, </v>
      </c>
      <c r="AC441" s="2" t="str">
        <f>CONCATENATE(+Contacts!A441)</f>
        <v>Lieke</v>
      </c>
      <c r="AD441" s="3" t="str">
        <f>CONCATENATE(" ",+Contacts!B441)</f>
        <v xml:space="preserve"> </v>
      </c>
      <c r="AE441" s="2" t="str">
        <f t="shared" si="185"/>
        <v xml:space="preserve"> </v>
      </c>
      <c r="AF441" s="3" t="str">
        <f>CONCATENATE(+Contacts!D441)</f>
        <v/>
      </c>
      <c r="AG441" s="2" t="str">
        <f t="shared" si="186"/>
        <v xml:space="preserve"> </v>
      </c>
      <c r="AH441" t="str">
        <f>CONCATENATE(+Contacts!I441)</f>
        <v/>
      </c>
      <c r="AI441">
        <v>1500000010</v>
      </c>
      <c r="AJ441" s="5">
        <f t="shared" si="187"/>
        <v>1</v>
      </c>
    </row>
    <row r="442" spans="1:36" x14ac:dyDescent="0.35">
      <c r="A442" s="7" t="str">
        <f t="shared" si="162"/>
        <v>&lt;contact&gt;&lt;category&gt;0&lt;/category&gt;&lt;person&gt;&lt;realName&gt;Verspeek, Anja   &lt;/realName&gt;&lt;/person&gt;</v>
      </c>
      <c r="B442" s="7" t="str">
        <f t="shared" si="163"/>
        <v>&lt;telephony nid="2"&gt;&lt;number id="0" prio="1" type="home"&gt;+31 104206741&lt;/number&gt;&lt;number id="1" prio="0" type="mobile"&gt;+31 633892983&lt;/number&gt;&lt;/telephony&gt;</v>
      </c>
      <c r="C442" s="7" t="str">
        <f t="shared" si="164"/>
        <v>&lt;services nid="1"&gt;&lt;email id="0" classifier="private"&gt;anjaverspeek@hotmail.com&lt;/email&gt;&lt;/services&gt;&lt;setup /&gt;&lt;mod_time&gt;1500000010&lt;/mod_time&gt;&lt;uniqueid&gt;1&lt;/uniqueid&gt;&lt;/contact&gt;</v>
      </c>
      <c r="D442" t="str">
        <f t="shared" si="165"/>
        <v>&lt;contact&gt;&lt;category&gt;0&lt;/category&gt;&lt;person&gt;&lt;realName&gt;Verspeek, Anja   &lt;/realName&gt;&lt;/person&gt;</v>
      </c>
      <c r="E442" t="str">
        <f t="shared" si="166"/>
        <v>&lt;telephony nid="2"&gt;&lt;number id="0" prio="1" type="home"&gt;+31 104206741&lt;/number&gt;&lt;number id="1" prio="0" type="mobile"&gt;+31 633892983&lt;/number&gt;&lt;/telephony&gt;</v>
      </c>
      <c r="F442" t="str">
        <f t="shared" si="167"/>
        <v>&lt;telephony nid="2"&gt;</v>
      </c>
      <c r="G442" t="str">
        <f t="shared" si="168"/>
        <v/>
      </c>
      <c r="H442" t="str">
        <f t="shared" si="169"/>
        <v>&lt;services nid="1"&gt;&lt;email id="0" classifier="private"&gt;anjaverspeek@hotmail.com&lt;/email&gt;&lt;/services&gt;&lt;setup /&gt;&lt;mod_time&gt;1500000010&lt;/mod_time&gt;&lt;uniqueid&gt;1&lt;/uniqueid&gt;&lt;/contact&gt;</v>
      </c>
      <c r="I442" t="str">
        <f t="shared" si="170"/>
        <v>&lt;services /&gt;&lt;setup /&gt;&lt;mod_time&gt;1500000010&lt;/mod_time&gt;&lt;uniqueid&gt;1&lt;/uniqueid&gt;&lt;/contact&gt;</v>
      </c>
      <c r="J442" t="str">
        <f t="shared" si="171"/>
        <v>&lt;services nid="1"&gt;&lt;email id="0" classifier="private"&gt;anjaverspeek@hotmail.com&lt;/email&gt;&lt;/services&gt;&lt;setup /&gt;&lt;mod_time&gt;1500000010&lt;/mod_time&gt;&lt;uniqueid&gt;1&lt;/uniqueid&gt;&lt;/contact&gt;</v>
      </c>
      <c r="K442" s="5">
        <f t="shared" si="172"/>
        <v>0</v>
      </c>
      <c r="L442" s="5">
        <f t="shared" si="173"/>
        <v>0</v>
      </c>
      <c r="M442" s="5" t="str">
        <f>CONCATENATE(+Contacts!E442)</f>
        <v/>
      </c>
      <c r="N442" t="str">
        <f t="shared" si="174"/>
        <v>&lt;number id="0" prio="1" type="home"&gt;+31 104206741&lt;/number&gt;</v>
      </c>
      <c r="O442" s="5">
        <f t="shared" si="175"/>
        <v>1</v>
      </c>
      <c r="P442" s="5">
        <f t="shared" si="176"/>
        <v>1</v>
      </c>
      <c r="Q442" s="5" t="str">
        <f>CONCATENATE(+Contacts!G442)</f>
        <v>+31 104206741</v>
      </c>
      <c r="R442" t="str">
        <f t="shared" si="177"/>
        <v>&lt;number id="1" prio="0" type="mobile"&gt;+31 633892983&lt;/number&gt;</v>
      </c>
      <c r="S442" s="5">
        <f t="shared" si="178"/>
        <v>2</v>
      </c>
      <c r="T442" s="5">
        <f t="shared" si="179"/>
        <v>0</v>
      </c>
      <c r="U442" s="5" t="str">
        <f>CONCATENATE(+Contacts!H442)</f>
        <v>+31 633892983</v>
      </c>
      <c r="V442" t="str">
        <f t="shared" si="180"/>
        <v/>
      </c>
      <c r="W442" s="5">
        <f t="shared" si="181"/>
        <v>2</v>
      </c>
      <c r="X442" s="5">
        <f t="shared" si="182"/>
        <v>0</v>
      </c>
      <c r="Y442" s="5" t="str">
        <f>CONCATENATE(+Contacts!F442)</f>
        <v/>
      </c>
      <c r="Z442" s="2" t="str">
        <f t="shared" si="183"/>
        <v xml:space="preserve">Verspeek, Anja   </v>
      </c>
      <c r="AA442" s="2" t="str">
        <f>CONCATENATE(+Contacts!C442)</f>
        <v>Verspeek</v>
      </c>
      <c r="AB442" s="2" t="str">
        <f t="shared" si="184"/>
        <v xml:space="preserve">, </v>
      </c>
      <c r="AC442" s="2" t="str">
        <f>CONCATENATE(+Contacts!A442)</f>
        <v>Anja</v>
      </c>
      <c r="AD442" s="3" t="str">
        <f>CONCATENATE(" ",+Contacts!B442)</f>
        <v xml:space="preserve"> </v>
      </c>
      <c r="AE442" s="2" t="str">
        <f t="shared" si="185"/>
        <v xml:space="preserve"> </v>
      </c>
      <c r="AF442" s="3" t="str">
        <f>CONCATENATE(+Contacts!D442)</f>
        <v/>
      </c>
      <c r="AG442" s="2" t="str">
        <f t="shared" si="186"/>
        <v xml:space="preserve"> </v>
      </c>
      <c r="AH442" t="str">
        <f>CONCATENATE(+Contacts!I442)</f>
        <v>anjaverspeek@hotmail.com</v>
      </c>
      <c r="AI442">
        <v>1500000010</v>
      </c>
      <c r="AJ442" s="5">
        <f t="shared" si="187"/>
        <v>1</v>
      </c>
    </row>
    <row r="443" spans="1:36" x14ac:dyDescent="0.35">
      <c r="A443" s="7" t="str">
        <f t="shared" si="162"/>
        <v>&lt;contact&gt;&lt;category&gt;0&lt;/category&gt;&lt;person&gt;&lt;realName&gt;Verspeek, Emma   &lt;/realName&gt;&lt;/person&gt;</v>
      </c>
      <c r="B443" s="7" t="str">
        <f t="shared" si="163"/>
        <v>&lt;telephony nid="1"&gt;&lt;number id="0" prio="1" type="mobile"&gt;+31 644209666&lt;/number&gt;&lt;/telephony&gt;</v>
      </c>
      <c r="C443" s="7" t="str">
        <f t="shared" si="164"/>
        <v>&lt;services nid="1"&gt;&lt;email id="0" classifier="private"&gt;everspeek@hotmail.com&lt;/email&gt;&lt;/services&gt;&lt;setup /&gt;&lt;mod_time&gt;1500000010&lt;/mod_time&gt;&lt;uniqueid&gt;1&lt;/uniqueid&gt;&lt;/contact&gt;</v>
      </c>
      <c r="D443" t="str">
        <f t="shared" si="165"/>
        <v>&lt;contact&gt;&lt;category&gt;0&lt;/category&gt;&lt;person&gt;&lt;realName&gt;Verspeek, Emma   &lt;/realName&gt;&lt;/person&gt;</v>
      </c>
      <c r="E443" t="str">
        <f t="shared" si="166"/>
        <v>&lt;telephony nid="1"&gt;&lt;number id="0" prio="1" type="mobile"&gt;+31 644209666&lt;/number&gt;&lt;/telephony&gt;</v>
      </c>
      <c r="F443" t="str">
        <f t="shared" si="167"/>
        <v>&lt;telephony nid="1"&gt;</v>
      </c>
      <c r="G443" t="str">
        <f t="shared" si="168"/>
        <v/>
      </c>
      <c r="H443" t="str">
        <f t="shared" si="169"/>
        <v>&lt;services nid="1"&gt;&lt;email id="0" classifier="private"&gt;everspeek@hotmail.com&lt;/email&gt;&lt;/services&gt;&lt;setup /&gt;&lt;mod_time&gt;1500000010&lt;/mod_time&gt;&lt;uniqueid&gt;1&lt;/uniqueid&gt;&lt;/contact&gt;</v>
      </c>
      <c r="I443" t="str">
        <f t="shared" si="170"/>
        <v>&lt;services /&gt;&lt;setup /&gt;&lt;mod_time&gt;1500000010&lt;/mod_time&gt;&lt;uniqueid&gt;1&lt;/uniqueid&gt;&lt;/contact&gt;</v>
      </c>
      <c r="J443" t="str">
        <f t="shared" si="171"/>
        <v>&lt;services nid="1"&gt;&lt;email id="0" classifier="private"&gt;everspeek@hotmail.com&lt;/email&gt;&lt;/services&gt;&lt;setup /&gt;&lt;mod_time&gt;1500000010&lt;/mod_time&gt;&lt;uniqueid&gt;1&lt;/uniqueid&gt;&lt;/contact&gt;</v>
      </c>
      <c r="K443" s="5">
        <f t="shared" si="172"/>
        <v>0</v>
      </c>
      <c r="L443" s="5">
        <f t="shared" si="173"/>
        <v>0</v>
      </c>
      <c r="M443" s="5" t="str">
        <f>CONCATENATE(+Contacts!E443)</f>
        <v/>
      </c>
      <c r="N443" t="str">
        <f t="shared" si="174"/>
        <v/>
      </c>
      <c r="O443" s="5">
        <f t="shared" si="175"/>
        <v>0</v>
      </c>
      <c r="P443" s="5">
        <f t="shared" si="176"/>
        <v>0</v>
      </c>
      <c r="Q443" s="5" t="str">
        <f>CONCATENATE(+Contacts!G443)</f>
        <v/>
      </c>
      <c r="R443" t="str">
        <f t="shared" si="177"/>
        <v>&lt;number id="0" prio="1" type="mobile"&gt;+31 644209666&lt;/number&gt;</v>
      </c>
      <c r="S443" s="5">
        <f t="shared" si="178"/>
        <v>1</v>
      </c>
      <c r="T443" s="5">
        <f t="shared" si="179"/>
        <v>1</v>
      </c>
      <c r="U443" s="5" t="str">
        <f>CONCATENATE(+Contacts!H443)</f>
        <v>+31 644209666</v>
      </c>
      <c r="V443" t="str">
        <f t="shared" si="180"/>
        <v/>
      </c>
      <c r="W443" s="5">
        <f t="shared" si="181"/>
        <v>1</v>
      </c>
      <c r="X443" s="5">
        <f t="shared" si="182"/>
        <v>1</v>
      </c>
      <c r="Y443" s="5" t="str">
        <f>CONCATENATE(+Contacts!F443)</f>
        <v/>
      </c>
      <c r="Z443" s="2" t="str">
        <f t="shared" si="183"/>
        <v xml:space="preserve">Verspeek, Emma   </v>
      </c>
      <c r="AA443" s="2" t="str">
        <f>CONCATENATE(+Contacts!C443)</f>
        <v>Verspeek</v>
      </c>
      <c r="AB443" s="2" t="str">
        <f t="shared" si="184"/>
        <v xml:space="preserve">, </v>
      </c>
      <c r="AC443" s="2" t="str">
        <f>CONCATENATE(+Contacts!A443)</f>
        <v>Emma</v>
      </c>
      <c r="AD443" s="3" t="str">
        <f>CONCATENATE(" ",+Contacts!B443)</f>
        <v xml:space="preserve"> </v>
      </c>
      <c r="AE443" s="2" t="str">
        <f t="shared" si="185"/>
        <v xml:space="preserve"> </v>
      </c>
      <c r="AF443" s="3" t="str">
        <f>CONCATENATE(+Contacts!D443)</f>
        <v/>
      </c>
      <c r="AG443" s="2" t="str">
        <f t="shared" si="186"/>
        <v xml:space="preserve"> </v>
      </c>
      <c r="AH443" t="str">
        <f>CONCATENATE(+Contacts!I443)</f>
        <v>everspeek@hotmail.com</v>
      </c>
      <c r="AI443">
        <v>1500000010</v>
      </c>
      <c r="AJ443" s="5">
        <f t="shared" si="187"/>
        <v>1</v>
      </c>
    </row>
    <row r="444" spans="1:36" x14ac:dyDescent="0.35">
      <c r="A444" s="7" t="str">
        <f t="shared" si="162"/>
        <v>&lt;contact&gt;&lt;category&gt;0&lt;/category&gt;&lt;person&gt;&lt;realName&gt;Verspeek, Ruud   &lt;/realName&gt;&lt;/person&gt;</v>
      </c>
      <c r="B444" s="7" t="str">
        <f t="shared" si="163"/>
        <v>&lt;telephony nid="2"&gt;&lt;number id="0" prio="1" type="home"&gt;+31 104206741&lt;/number&gt;&lt;number id="1" prio="0" type="mobile"&gt;+31 636144938&lt;/number&gt;&lt;/telephony&gt;</v>
      </c>
      <c r="C444" s="7" t="str">
        <f t="shared" si="164"/>
        <v>&lt;services nid="1"&gt;&lt;email id="0" classifier="private"&gt;ruudverspeek@gmail.com&lt;/email&gt;&lt;/services&gt;&lt;setup /&gt;&lt;mod_time&gt;1500000010&lt;/mod_time&gt;&lt;uniqueid&gt;1&lt;/uniqueid&gt;&lt;/contact&gt;</v>
      </c>
      <c r="D444" t="str">
        <f t="shared" si="165"/>
        <v>&lt;contact&gt;&lt;category&gt;0&lt;/category&gt;&lt;person&gt;&lt;realName&gt;Verspeek, Ruud   &lt;/realName&gt;&lt;/person&gt;</v>
      </c>
      <c r="E444" t="str">
        <f t="shared" si="166"/>
        <v>&lt;telephony nid="2"&gt;&lt;number id="0" prio="1" type="home"&gt;+31 104206741&lt;/number&gt;&lt;number id="1" prio="0" type="mobile"&gt;+31 636144938&lt;/number&gt;&lt;/telephony&gt;</v>
      </c>
      <c r="F444" t="str">
        <f t="shared" si="167"/>
        <v>&lt;telephony nid="2"&gt;</v>
      </c>
      <c r="G444" t="str">
        <f t="shared" si="168"/>
        <v/>
      </c>
      <c r="H444" t="str">
        <f t="shared" si="169"/>
        <v>&lt;services nid="1"&gt;&lt;email id="0" classifier="private"&gt;ruudverspeek@gmail.com&lt;/email&gt;&lt;/services&gt;&lt;setup /&gt;&lt;mod_time&gt;1500000010&lt;/mod_time&gt;&lt;uniqueid&gt;1&lt;/uniqueid&gt;&lt;/contact&gt;</v>
      </c>
      <c r="I444" t="str">
        <f t="shared" si="170"/>
        <v>&lt;services /&gt;&lt;setup /&gt;&lt;mod_time&gt;1500000010&lt;/mod_time&gt;&lt;uniqueid&gt;1&lt;/uniqueid&gt;&lt;/contact&gt;</v>
      </c>
      <c r="J444" t="str">
        <f t="shared" si="171"/>
        <v>&lt;services nid="1"&gt;&lt;email id="0" classifier="private"&gt;ruudverspeek@gmail.com&lt;/email&gt;&lt;/services&gt;&lt;setup /&gt;&lt;mod_time&gt;1500000010&lt;/mod_time&gt;&lt;uniqueid&gt;1&lt;/uniqueid&gt;&lt;/contact&gt;</v>
      </c>
      <c r="K444" s="5">
        <f t="shared" si="172"/>
        <v>0</v>
      </c>
      <c r="L444" s="5">
        <f t="shared" si="173"/>
        <v>0</v>
      </c>
      <c r="M444" s="5" t="str">
        <f>CONCATENATE(+Contacts!E444)</f>
        <v/>
      </c>
      <c r="N444" t="str">
        <f t="shared" si="174"/>
        <v>&lt;number id="0" prio="1" type="home"&gt;+31 104206741&lt;/number&gt;</v>
      </c>
      <c r="O444" s="5">
        <f t="shared" si="175"/>
        <v>1</v>
      </c>
      <c r="P444" s="5">
        <f t="shared" si="176"/>
        <v>1</v>
      </c>
      <c r="Q444" s="5" t="str">
        <f>CONCATENATE(+Contacts!G444)</f>
        <v>+31 104206741</v>
      </c>
      <c r="R444" t="str">
        <f t="shared" si="177"/>
        <v>&lt;number id="1" prio="0" type="mobile"&gt;+31 636144938&lt;/number&gt;</v>
      </c>
      <c r="S444" s="5">
        <f t="shared" si="178"/>
        <v>2</v>
      </c>
      <c r="T444" s="5">
        <f t="shared" si="179"/>
        <v>0</v>
      </c>
      <c r="U444" s="5" t="str">
        <f>CONCATENATE(+Contacts!H444)</f>
        <v>+31 636144938</v>
      </c>
      <c r="V444" t="str">
        <f t="shared" si="180"/>
        <v/>
      </c>
      <c r="W444" s="5">
        <f t="shared" si="181"/>
        <v>2</v>
      </c>
      <c r="X444" s="5">
        <f t="shared" si="182"/>
        <v>0</v>
      </c>
      <c r="Y444" s="5" t="str">
        <f>CONCATENATE(+Contacts!F444)</f>
        <v/>
      </c>
      <c r="Z444" s="2" t="str">
        <f t="shared" si="183"/>
        <v xml:space="preserve">Verspeek, Ruud   </v>
      </c>
      <c r="AA444" s="2" t="str">
        <f>CONCATENATE(+Contacts!C444)</f>
        <v>Verspeek</v>
      </c>
      <c r="AB444" s="2" t="str">
        <f t="shared" si="184"/>
        <v xml:space="preserve">, </v>
      </c>
      <c r="AC444" s="2" t="str">
        <f>CONCATENATE(+Contacts!A444)</f>
        <v>Ruud</v>
      </c>
      <c r="AD444" s="3" t="str">
        <f>CONCATENATE(" ",+Contacts!B444)</f>
        <v xml:space="preserve"> </v>
      </c>
      <c r="AE444" s="2" t="str">
        <f t="shared" si="185"/>
        <v xml:space="preserve"> </v>
      </c>
      <c r="AF444" s="3" t="str">
        <f>CONCATENATE(+Contacts!D444)</f>
        <v/>
      </c>
      <c r="AG444" s="2" t="str">
        <f t="shared" si="186"/>
        <v xml:space="preserve"> </v>
      </c>
      <c r="AH444" t="str">
        <f>CONCATENATE(+Contacts!I444)</f>
        <v>ruudverspeek@gmail.com</v>
      </c>
      <c r="AI444">
        <v>1500000010</v>
      </c>
      <c r="AJ444" s="5">
        <f t="shared" si="187"/>
        <v>1</v>
      </c>
    </row>
    <row r="445" spans="1:36" x14ac:dyDescent="0.35">
      <c r="A445" s="7" t="str">
        <f t="shared" si="162"/>
        <v>&lt;contact&gt;&lt;category&gt;0&lt;/category&gt;&lt;person&gt;&lt;realName&gt;Verstegen, Peter-Eric   &lt;/realName&gt;&lt;/person&gt;</v>
      </c>
      <c r="B445" s="7" t="str">
        <f t="shared" si="163"/>
        <v>&lt;telephony nid="1"&gt;&lt;number id="0" prio="1" type="mobile"&gt;+31 642466069&lt;/number&gt;&lt;/telephony&gt;</v>
      </c>
      <c r="C445" s="7" t="str">
        <f t="shared" si="164"/>
        <v>&lt;services nid="1"&gt;&lt;email id="0" classifier="private"&gt;peverstegen@yahoo.com&lt;/email&gt;&lt;/services&gt;&lt;setup /&gt;&lt;mod_time&gt;1500000010&lt;/mod_time&gt;&lt;uniqueid&gt;1&lt;/uniqueid&gt;&lt;/contact&gt;</v>
      </c>
      <c r="D445" t="str">
        <f t="shared" si="165"/>
        <v>&lt;contact&gt;&lt;category&gt;0&lt;/category&gt;&lt;person&gt;&lt;realName&gt;Verstegen, Peter-Eric   &lt;/realName&gt;&lt;/person&gt;</v>
      </c>
      <c r="E445" t="str">
        <f t="shared" si="166"/>
        <v>&lt;telephony nid="1"&gt;&lt;number id="0" prio="1" type="mobile"&gt;+31 642466069&lt;/number&gt;&lt;/telephony&gt;</v>
      </c>
      <c r="F445" t="str">
        <f t="shared" si="167"/>
        <v>&lt;telephony nid="1"&gt;</v>
      </c>
      <c r="G445" t="str">
        <f t="shared" si="168"/>
        <v/>
      </c>
      <c r="H445" t="str">
        <f t="shared" si="169"/>
        <v>&lt;services nid="1"&gt;&lt;email id="0" classifier="private"&gt;peverstegen@yahoo.com&lt;/email&gt;&lt;/services&gt;&lt;setup /&gt;&lt;mod_time&gt;1500000010&lt;/mod_time&gt;&lt;uniqueid&gt;1&lt;/uniqueid&gt;&lt;/contact&gt;</v>
      </c>
      <c r="I445" t="str">
        <f t="shared" si="170"/>
        <v>&lt;services /&gt;&lt;setup /&gt;&lt;mod_time&gt;1500000010&lt;/mod_time&gt;&lt;uniqueid&gt;1&lt;/uniqueid&gt;&lt;/contact&gt;</v>
      </c>
      <c r="J445" t="str">
        <f t="shared" si="171"/>
        <v>&lt;services nid="1"&gt;&lt;email id="0" classifier="private"&gt;peverstegen@yahoo.com&lt;/email&gt;&lt;/services&gt;&lt;setup /&gt;&lt;mod_time&gt;1500000010&lt;/mod_time&gt;&lt;uniqueid&gt;1&lt;/uniqueid&gt;&lt;/contact&gt;</v>
      </c>
      <c r="K445" s="5">
        <f t="shared" si="172"/>
        <v>0</v>
      </c>
      <c r="L445" s="5">
        <f t="shared" si="173"/>
        <v>0</v>
      </c>
      <c r="M445" s="5" t="str">
        <f>CONCATENATE(+Contacts!E445)</f>
        <v/>
      </c>
      <c r="N445" t="str">
        <f t="shared" si="174"/>
        <v/>
      </c>
      <c r="O445" s="5">
        <f t="shared" si="175"/>
        <v>0</v>
      </c>
      <c r="P445" s="5">
        <f t="shared" si="176"/>
        <v>0</v>
      </c>
      <c r="Q445" s="5" t="str">
        <f>CONCATENATE(+Contacts!G445)</f>
        <v/>
      </c>
      <c r="R445" t="str">
        <f t="shared" si="177"/>
        <v>&lt;number id="0" prio="1" type="mobile"&gt;+31 642466069&lt;/number&gt;</v>
      </c>
      <c r="S445" s="5">
        <f t="shared" si="178"/>
        <v>1</v>
      </c>
      <c r="T445" s="5">
        <f t="shared" si="179"/>
        <v>1</v>
      </c>
      <c r="U445" s="5" t="str">
        <f>CONCATENATE(+Contacts!H445)</f>
        <v>+31 642466069</v>
      </c>
      <c r="V445" t="str">
        <f t="shared" si="180"/>
        <v/>
      </c>
      <c r="W445" s="5">
        <f t="shared" si="181"/>
        <v>1</v>
      </c>
      <c r="X445" s="5">
        <f t="shared" si="182"/>
        <v>1</v>
      </c>
      <c r="Y445" s="5" t="str">
        <f>CONCATENATE(+Contacts!F445)</f>
        <v/>
      </c>
      <c r="Z445" s="2" t="str">
        <f t="shared" si="183"/>
        <v xml:space="preserve">Verstegen, Peter-Eric   </v>
      </c>
      <c r="AA445" s="2" t="str">
        <f>CONCATENATE(+Contacts!C445)</f>
        <v>Verstegen</v>
      </c>
      <c r="AB445" s="2" t="str">
        <f t="shared" si="184"/>
        <v xml:space="preserve">, </v>
      </c>
      <c r="AC445" s="2" t="str">
        <f>CONCATENATE(+Contacts!A445)</f>
        <v>Peter-Eric</v>
      </c>
      <c r="AD445" s="3" t="str">
        <f>CONCATENATE(" ",+Contacts!B445)</f>
        <v xml:space="preserve"> </v>
      </c>
      <c r="AE445" s="2" t="str">
        <f t="shared" si="185"/>
        <v xml:space="preserve"> </v>
      </c>
      <c r="AF445" s="3" t="str">
        <f>CONCATENATE(+Contacts!D445)</f>
        <v/>
      </c>
      <c r="AG445" s="2" t="str">
        <f t="shared" si="186"/>
        <v xml:space="preserve"> </v>
      </c>
      <c r="AH445" t="str">
        <f>CONCATENATE(+Contacts!I445)</f>
        <v>peverstegen@yahoo.com</v>
      </c>
      <c r="AI445">
        <v>1500000010</v>
      </c>
      <c r="AJ445" s="5">
        <f t="shared" si="187"/>
        <v>1</v>
      </c>
    </row>
    <row r="446" spans="1:36" x14ac:dyDescent="0.35">
      <c r="A446" s="7" t="str">
        <f t="shared" si="162"/>
        <v>&lt;contact&gt;&lt;category&gt;0&lt;/category&gt;&lt;person&gt;&lt;realName&gt;Verweij, Piet   &lt;/realName&gt;&lt;/person&gt;</v>
      </c>
      <c r="B446" s="7" t="str">
        <f t="shared" si="163"/>
        <v>&lt;telephony nid="2"&gt;&lt;number id="0" prio="1" type="home"&gt;+31 348452011&lt;/number&gt;&lt;number id="1" prio="0" type="work"&gt;+31 6 36 41 26 00&lt;/number&gt;&lt;/telephony&gt;</v>
      </c>
      <c r="C446" s="7" t="str">
        <f t="shared" si="164"/>
        <v>&lt;services nid="1"&gt;&lt;email id="0" classifier="private"&gt;verweij.pieter@mac.com&lt;/email&gt;&lt;/services&gt;&lt;setup /&gt;&lt;mod_time&gt;1500000010&lt;/mod_time&gt;&lt;uniqueid&gt;1&lt;/uniqueid&gt;&lt;/contact&gt;</v>
      </c>
      <c r="D446" t="str">
        <f t="shared" si="165"/>
        <v>&lt;contact&gt;&lt;category&gt;0&lt;/category&gt;&lt;person&gt;&lt;realName&gt;Verweij, Piet   &lt;/realName&gt;&lt;/person&gt;</v>
      </c>
      <c r="E446" t="str">
        <f t="shared" si="166"/>
        <v>&lt;telephony nid="2"&gt;&lt;number id="0" prio="1" type="home"&gt;+31 348452011&lt;/number&gt;&lt;number id="1" prio="0" type="work"&gt;+31 6 36 41 26 00&lt;/number&gt;&lt;/telephony&gt;</v>
      </c>
      <c r="F446" t="str">
        <f t="shared" si="167"/>
        <v>&lt;telephony nid="2"&gt;</v>
      </c>
      <c r="G446" t="str">
        <f t="shared" si="168"/>
        <v/>
      </c>
      <c r="H446" t="str">
        <f t="shared" si="169"/>
        <v>&lt;services nid="1"&gt;&lt;email id="0" classifier="private"&gt;verweij.pieter@mac.com&lt;/email&gt;&lt;/services&gt;&lt;setup /&gt;&lt;mod_time&gt;1500000010&lt;/mod_time&gt;&lt;uniqueid&gt;1&lt;/uniqueid&gt;&lt;/contact&gt;</v>
      </c>
      <c r="I446" t="str">
        <f t="shared" si="170"/>
        <v>&lt;services /&gt;&lt;setup /&gt;&lt;mod_time&gt;1500000010&lt;/mod_time&gt;&lt;uniqueid&gt;1&lt;/uniqueid&gt;&lt;/contact&gt;</v>
      </c>
      <c r="J446" t="str">
        <f t="shared" si="171"/>
        <v>&lt;services nid="1"&gt;&lt;email id="0" classifier="private"&gt;verweij.pieter@mac.com&lt;/email&gt;&lt;/services&gt;&lt;setup /&gt;&lt;mod_time&gt;1500000010&lt;/mod_time&gt;&lt;uniqueid&gt;1&lt;/uniqueid&gt;&lt;/contact&gt;</v>
      </c>
      <c r="K446" s="5">
        <f t="shared" si="172"/>
        <v>0</v>
      </c>
      <c r="L446" s="5">
        <f t="shared" si="173"/>
        <v>0</v>
      </c>
      <c r="M446" s="5" t="str">
        <f>CONCATENATE(+Contacts!E446)</f>
        <v/>
      </c>
      <c r="N446" t="str">
        <f t="shared" si="174"/>
        <v>&lt;number id="0" prio="1" type="home"&gt;+31 348452011&lt;/number&gt;</v>
      </c>
      <c r="O446" s="5">
        <f t="shared" si="175"/>
        <v>1</v>
      </c>
      <c r="P446" s="5">
        <f t="shared" si="176"/>
        <v>1</v>
      </c>
      <c r="Q446" s="5" t="str">
        <f>CONCATENATE(+Contacts!G446)</f>
        <v>+31 348452011</v>
      </c>
      <c r="R446" t="str">
        <f t="shared" si="177"/>
        <v/>
      </c>
      <c r="S446" s="5">
        <f t="shared" si="178"/>
        <v>1</v>
      </c>
      <c r="T446" s="5">
        <f t="shared" si="179"/>
        <v>1</v>
      </c>
      <c r="U446" s="5" t="str">
        <f>CONCATENATE(+Contacts!H446)</f>
        <v/>
      </c>
      <c r="V446" t="str">
        <f t="shared" si="180"/>
        <v>&lt;number id="1" prio="0" type="work"&gt;+31 6 36 41 26 00&lt;/number&gt;</v>
      </c>
      <c r="W446" s="5">
        <f t="shared" si="181"/>
        <v>2</v>
      </c>
      <c r="X446" s="5">
        <f t="shared" si="182"/>
        <v>0</v>
      </c>
      <c r="Y446" s="5" t="str">
        <f>CONCATENATE(+Contacts!F446)</f>
        <v>+31 6 36 41 26 00</v>
      </c>
      <c r="Z446" s="2" t="str">
        <f t="shared" si="183"/>
        <v xml:space="preserve">Verweij, Piet   </v>
      </c>
      <c r="AA446" s="2" t="str">
        <f>CONCATENATE(+Contacts!C446)</f>
        <v>Verweij</v>
      </c>
      <c r="AB446" s="2" t="str">
        <f t="shared" si="184"/>
        <v xml:space="preserve">, </v>
      </c>
      <c r="AC446" s="2" t="str">
        <f>CONCATENATE(+Contacts!A446)</f>
        <v>Piet</v>
      </c>
      <c r="AD446" s="3" t="str">
        <f>CONCATENATE(" ",+Contacts!B446)</f>
        <v xml:space="preserve"> </v>
      </c>
      <c r="AE446" s="2" t="str">
        <f t="shared" si="185"/>
        <v xml:space="preserve"> </v>
      </c>
      <c r="AF446" s="3" t="str">
        <f>CONCATENATE(+Contacts!D446)</f>
        <v/>
      </c>
      <c r="AG446" s="2" t="str">
        <f t="shared" si="186"/>
        <v xml:space="preserve"> </v>
      </c>
      <c r="AH446" t="str">
        <f>CONCATENATE(+Contacts!I446)</f>
        <v>verweij.pieter@mac.com</v>
      </c>
      <c r="AI446">
        <v>1500000010</v>
      </c>
      <c r="AJ446" s="5">
        <f t="shared" si="187"/>
        <v>1</v>
      </c>
    </row>
    <row r="447" spans="1:36" x14ac:dyDescent="0.35">
      <c r="A447" s="7" t="str">
        <f t="shared" si="162"/>
        <v>&lt;contact&gt;&lt;category&gt;0&lt;/category&gt;&lt;person&gt;&lt;realName&gt;Vierbergen, Dick   &lt;/realName&gt;&lt;/person&gt;</v>
      </c>
      <c r="B447" s="7" t="str">
        <f t="shared" si="163"/>
        <v>&lt;telephony nid="1"&gt;&lt;number id="0" prio="1" type="mobile"&gt;+31 638400560&lt;/number&gt;&lt;/telephony&gt;</v>
      </c>
      <c r="C447" s="7" t="str">
        <f t="shared" si="164"/>
        <v>&lt;services /&gt;&lt;setup /&gt;&lt;mod_time&gt;1500000010&lt;/mod_time&gt;&lt;uniqueid&gt;1&lt;/uniqueid&gt;&lt;/contact&gt;</v>
      </c>
      <c r="D447" t="str">
        <f t="shared" si="165"/>
        <v>&lt;contact&gt;&lt;category&gt;0&lt;/category&gt;&lt;person&gt;&lt;realName&gt;Vierbergen, Dick   &lt;/realName&gt;&lt;/person&gt;</v>
      </c>
      <c r="E447" t="str">
        <f t="shared" si="166"/>
        <v>&lt;telephony nid="1"&gt;&lt;number id="0" prio="1" type="mobile"&gt;+31 638400560&lt;/number&gt;&lt;/telephony&gt;</v>
      </c>
      <c r="F447" t="str">
        <f t="shared" si="167"/>
        <v>&lt;telephony nid="1"&gt;</v>
      </c>
      <c r="G447" t="str">
        <f t="shared" si="168"/>
        <v/>
      </c>
      <c r="H447" t="str">
        <f t="shared" si="169"/>
        <v>&lt;services nid="1"&gt;&lt;email id="0" classifier="private"&gt;&lt;/email&gt;&lt;/services&gt;&lt;setup /&gt;&lt;mod_time&gt;1500000010&lt;/mod_time&gt;&lt;uniqueid&gt;1&lt;/uniqueid&gt;&lt;/contact&gt;</v>
      </c>
      <c r="I447" t="str">
        <f t="shared" si="170"/>
        <v>&lt;services /&gt;&lt;setup /&gt;&lt;mod_time&gt;1500000010&lt;/mod_time&gt;&lt;uniqueid&gt;1&lt;/uniqueid&gt;&lt;/contact&gt;</v>
      </c>
      <c r="J447" t="str">
        <f t="shared" si="171"/>
        <v>&lt;services /&gt;&lt;setup /&gt;&lt;mod_time&gt;1500000010&lt;/mod_time&gt;&lt;uniqueid&gt;1&lt;/uniqueid&gt;&lt;/contact&gt;</v>
      </c>
      <c r="K447" s="5">
        <f t="shared" si="172"/>
        <v>0</v>
      </c>
      <c r="L447" s="5">
        <f t="shared" si="173"/>
        <v>0</v>
      </c>
      <c r="M447" s="5" t="str">
        <f>CONCATENATE(+Contacts!E447)</f>
        <v/>
      </c>
      <c r="N447" t="str">
        <f t="shared" si="174"/>
        <v/>
      </c>
      <c r="O447" s="5">
        <f t="shared" si="175"/>
        <v>0</v>
      </c>
      <c r="P447" s="5">
        <f t="shared" si="176"/>
        <v>0</v>
      </c>
      <c r="Q447" s="5" t="str">
        <f>CONCATENATE(+Contacts!G447)</f>
        <v/>
      </c>
      <c r="R447" t="str">
        <f t="shared" si="177"/>
        <v>&lt;number id="0" prio="1" type="mobile"&gt;+31 638400560&lt;/number&gt;</v>
      </c>
      <c r="S447" s="5">
        <f t="shared" si="178"/>
        <v>1</v>
      </c>
      <c r="T447" s="5">
        <f t="shared" si="179"/>
        <v>1</v>
      </c>
      <c r="U447" s="5" t="str">
        <f>CONCATENATE(+Contacts!H447)</f>
        <v>+31 638400560</v>
      </c>
      <c r="V447" t="str">
        <f t="shared" si="180"/>
        <v/>
      </c>
      <c r="W447" s="5">
        <f t="shared" si="181"/>
        <v>1</v>
      </c>
      <c r="X447" s="5">
        <f t="shared" si="182"/>
        <v>1</v>
      </c>
      <c r="Y447" s="5" t="str">
        <f>CONCATENATE(+Contacts!F447)</f>
        <v/>
      </c>
      <c r="Z447" s="2" t="str">
        <f t="shared" si="183"/>
        <v xml:space="preserve">Vierbergen, Dick   </v>
      </c>
      <c r="AA447" s="2" t="str">
        <f>CONCATENATE(+Contacts!C447)</f>
        <v>Vierbergen</v>
      </c>
      <c r="AB447" s="2" t="str">
        <f t="shared" si="184"/>
        <v xml:space="preserve">, </v>
      </c>
      <c r="AC447" s="2" t="str">
        <f>CONCATENATE(+Contacts!A447)</f>
        <v>Dick</v>
      </c>
      <c r="AD447" s="3" t="str">
        <f>CONCATENATE(" ",+Contacts!B447)</f>
        <v xml:space="preserve"> </v>
      </c>
      <c r="AE447" s="2" t="str">
        <f t="shared" si="185"/>
        <v xml:space="preserve"> </v>
      </c>
      <c r="AF447" s="3" t="str">
        <f>CONCATENATE(+Contacts!D447)</f>
        <v/>
      </c>
      <c r="AG447" s="2" t="str">
        <f t="shared" si="186"/>
        <v xml:space="preserve"> </v>
      </c>
      <c r="AH447" t="str">
        <f>CONCATENATE(+Contacts!I447)</f>
        <v/>
      </c>
      <c r="AI447">
        <v>1500000010</v>
      </c>
      <c r="AJ447" s="5">
        <f t="shared" si="187"/>
        <v>1</v>
      </c>
    </row>
    <row r="448" spans="1:36" x14ac:dyDescent="0.35">
      <c r="A448" s="7" t="str">
        <f t="shared" si="162"/>
        <v>&lt;contact&gt;&lt;category&gt;0&lt;/category&gt;&lt;person&gt;&lt;realName&gt;Vink, Irene   &lt;/realName&gt;&lt;/person&gt;</v>
      </c>
      <c r="B448" s="7" t="str">
        <f t="shared" si="163"/>
        <v>&lt;telephony nid="1"&gt;&lt;number id="0" prio="1" type="mobile"&gt;+31 624207153&lt;/number&gt;&lt;/telephony&gt;</v>
      </c>
      <c r="C448" s="7" t="str">
        <f t="shared" si="164"/>
        <v>&lt;services nid="1"&gt;&lt;email id="0" classifier="private"&gt;irenevink@tele2.nl&lt;/email&gt;&lt;/services&gt;&lt;setup /&gt;&lt;mod_time&gt;1500000010&lt;/mod_time&gt;&lt;uniqueid&gt;1&lt;/uniqueid&gt;&lt;/contact&gt;</v>
      </c>
      <c r="D448" t="str">
        <f t="shared" si="165"/>
        <v>&lt;contact&gt;&lt;category&gt;0&lt;/category&gt;&lt;person&gt;&lt;realName&gt;Vink, Irene   &lt;/realName&gt;&lt;/person&gt;</v>
      </c>
      <c r="E448" t="str">
        <f t="shared" si="166"/>
        <v>&lt;telephony nid="1"&gt;&lt;number id="0" prio="1" type="mobile"&gt;+31 624207153&lt;/number&gt;&lt;/telephony&gt;</v>
      </c>
      <c r="F448" t="str">
        <f t="shared" si="167"/>
        <v>&lt;telephony nid="1"&gt;</v>
      </c>
      <c r="G448" t="str">
        <f t="shared" si="168"/>
        <v/>
      </c>
      <c r="H448" t="str">
        <f t="shared" si="169"/>
        <v>&lt;services nid="1"&gt;&lt;email id="0" classifier="private"&gt;irenevink@tele2.nl&lt;/email&gt;&lt;/services&gt;&lt;setup /&gt;&lt;mod_time&gt;1500000010&lt;/mod_time&gt;&lt;uniqueid&gt;1&lt;/uniqueid&gt;&lt;/contact&gt;</v>
      </c>
      <c r="I448" t="str">
        <f t="shared" si="170"/>
        <v>&lt;services /&gt;&lt;setup /&gt;&lt;mod_time&gt;1500000010&lt;/mod_time&gt;&lt;uniqueid&gt;1&lt;/uniqueid&gt;&lt;/contact&gt;</v>
      </c>
      <c r="J448" t="str">
        <f t="shared" si="171"/>
        <v>&lt;services nid="1"&gt;&lt;email id="0" classifier="private"&gt;irenevink@tele2.nl&lt;/email&gt;&lt;/services&gt;&lt;setup /&gt;&lt;mod_time&gt;1500000010&lt;/mod_time&gt;&lt;uniqueid&gt;1&lt;/uniqueid&gt;&lt;/contact&gt;</v>
      </c>
      <c r="K448" s="5">
        <f t="shared" si="172"/>
        <v>0</v>
      </c>
      <c r="L448" s="5">
        <f t="shared" si="173"/>
        <v>0</v>
      </c>
      <c r="M448" s="5" t="str">
        <f>CONCATENATE(+Contacts!E448)</f>
        <v/>
      </c>
      <c r="N448" t="str">
        <f t="shared" si="174"/>
        <v/>
      </c>
      <c r="O448" s="5">
        <f t="shared" si="175"/>
        <v>0</v>
      </c>
      <c r="P448" s="5">
        <f t="shared" si="176"/>
        <v>0</v>
      </c>
      <c r="Q448" s="5" t="str">
        <f>CONCATENATE(+Contacts!G448)</f>
        <v/>
      </c>
      <c r="R448" t="str">
        <f t="shared" si="177"/>
        <v>&lt;number id="0" prio="1" type="mobile"&gt;+31 624207153&lt;/number&gt;</v>
      </c>
      <c r="S448" s="5">
        <f t="shared" si="178"/>
        <v>1</v>
      </c>
      <c r="T448" s="5">
        <f t="shared" si="179"/>
        <v>1</v>
      </c>
      <c r="U448" s="5" t="str">
        <f>CONCATENATE(+Contacts!H448)</f>
        <v>+31 624207153</v>
      </c>
      <c r="V448" t="str">
        <f t="shared" si="180"/>
        <v/>
      </c>
      <c r="W448" s="5">
        <f t="shared" si="181"/>
        <v>1</v>
      </c>
      <c r="X448" s="5">
        <f t="shared" si="182"/>
        <v>1</v>
      </c>
      <c r="Y448" s="5" t="str">
        <f>CONCATENATE(+Contacts!F448)</f>
        <v/>
      </c>
      <c r="Z448" s="2" t="str">
        <f t="shared" si="183"/>
        <v xml:space="preserve">Vink, Irene   </v>
      </c>
      <c r="AA448" s="2" t="str">
        <f>CONCATENATE(+Contacts!C448)</f>
        <v>Vink</v>
      </c>
      <c r="AB448" s="2" t="str">
        <f t="shared" si="184"/>
        <v xml:space="preserve">, </v>
      </c>
      <c r="AC448" s="2" t="str">
        <f>CONCATENATE(+Contacts!A448)</f>
        <v>Irene</v>
      </c>
      <c r="AD448" s="3" t="str">
        <f>CONCATENATE(" ",+Contacts!B448)</f>
        <v xml:space="preserve"> </v>
      </c>
      <c r="AE448" s="2" t="str">
        <f t="shared" si="185"/>
        <v xml:space="preserve"> </v>
      </c>
      <c r="AF448" s="3" t="str">
        <f>CONCATENATE(+Contacts!D448)</f>
        <v/>
      </c>
      <c r="AG448" s="2" t="str">
        <f t="shared" si="186"/>
        <v xml:space="preserve"> </v>
      </c>
      <c r="AH448" t="str">
        <f>CONCATENATE(+Contacts!I448)</f>
        <v>irenevink@tele2.nl</v>
      </c>
      <c r="AI448">
        <v>1500000010</v>
      </c>
      <c r="AJ448" s="5">
        <f t="shared" si="187"/>
        <v>1</v>
      </c>
    </row>
    <row r="449" spans="1:36" x14ac:dyDescent="0.35">
      <c r="A449" s="7" t="str">
        <f t="shared" si="162"/>
        <v>&lt;contact&gt;&lt;category&gt;0&lt;/category&gt;&lt;person&gt;&lt;realName&gt;Visser, Bert   &lt;/realName&gt;&lt;/person&gt;</v>
      </c>
      <c r="B449" s="7" t="str">
        <f t="shared" si="163"/>
        <v>&lt;telephony nid="1"&gt;&lt;number id="0" prio="1" type="mobile"&gt;+31 630409408&lt;/number&gt;&lt;/telephony&gt;</v>
      </c>
      <c r="C449" s="7" t="str">
        <f t="shared" si="164"/>
        <v>&lt;services /&gt;&lt;setup /&gt;&lt;mod_time&gt;1500000010&lt;/mod_time&gt;&lt;uniqueid&gt;1&lt;/uniqueid&gt;&lt;/contact&gt;</v>
      </c>
      <c r="D449" t="str">
        <f t="shared" si="165"/>
        <v>&lt;contact&gt;&lt;category&gt;0&lt;/category&gt;&lt;person&gt;&lt;realName&gt;Visser, Bert   &lt;/realName&gt;&lt;/person&gt;</v>
      </c>
      <c r="E449" t="str">
        <f t="shared" si="166"/>
        <v>&lt;telephony nid="1"&gt;&lt;number id="0" prio="1" type="mobile"&gt;+31 630409408&lt;/number&gt;&lt;/telephony&gt;</v>
      </c>
      <c r="F449" t="str">
        <f t="shared" si="167"/>
        <v>&lt;telephony nid="1"&gt;</v>
      </c>
      <c r="G449" t="str">
        <f t="shared" si="168"/>
        <v/>
      </c>
      <c r="H449" t="str">
        <f t="shared" si="169"/>
        <v>&lt;services nid="1"&gt;&lt;email id="0" classifier="private"&gt;&lt;/email&gt;&lt;/services&gt;&lt;setup /&gt;&lt;mod_time&gt;1500000010&lt;/mod_time&gt;&lt;uniqueid&gt;1&lt;/uniqueid&gt;&lt;/contact&gt;</v>
      </c>
      <c r="I449" t="str">
        <f t="shared" si="170"/>
        <v>&lt;services /&gt;&lt;setup /&gt;&lt;mod_time&gt;1500000010&lt;/mod_time&gt;&lt;uniqueid&gt;1&lt;/uniqueid&gt;&lt;/contact&gt;</v>
      </c>
      <c r="J449" t="str">
        <f t="shared" si="171"/>
        <v>&lt;services /&gt;&lt;setup /&gt;&lt;mod_time&gt;1500000010&lt;/mod_time&gt;&lt;uniqueid&gt;1&lt;/uniqueid&gt;&lt;/contact&gt;</v>
      </c>
      <c r="K449" s="5">
        <f t="shared" si="172"/>
        <v>0</v>
      </c>
      <c r="L449" s="5">
        <f t="shared" si="173"/>
        <v>0</v>
      </c>
      <c r="M449" s="5" t="str">
        <f>CONCATENATE(+Contacts!E449)</f>
        <v/>
      </c>
      <c r="N449" t="str">
        <f t="shared" si="174"/>
        <v/>
      </c>
      <c r="O449" s="5">
        <f t="shared" si="175"/>
        <v>0</v>
      </c>
      <c r="P449" s="5">
        <f t="shared" si="176"/>
        <v>0</v>
      </c>
      <c r="Q449" s="5" t="str">
        <f>CONCATENATE(+Contacts!G449)</f>
        <v/>
      </c>
      <c r="R449" t="str">
        <f t="shared" si="177"/>
        <v>&lt;number id="0" prio="1" type="mobile"&gt;+31 630409408&lt;/number&gt;</v>
      </c>
      <c r="S449" s="5">
        <f t="shared" si="178"/>
        <v>1</v>
      </c>
      <c r="T449" s="5">
        <f t="shared" si="179"/>
        <v>1</v>
      </c>
      <c r="U449" s="5" t="str">
        <f>CONCATENATE(+Contacts!H449)</f>
        <v>+31 630409408</v>
      </c>
      <c r="V449" t="str">
        <f t="shared" si="180"/>
        <v/>
      </c>
      <c r="W449" s="5">
        <f t="shared" si="181"/>
        <v>1</v>
      </c>
      <c r="X449" s="5">
        <f t="shared" si="182"/>
        <v>1</v>
      </c>
      <c r="Y449" s="5" t="str">
        <f>CONCATENATE(+Contacts!F449)</f>
        <v/>
      </c>
      <c r="Z449" s="2" t="str">
        <f t="shared" si="183"/>
        <v xml:space="preserve">Visser, Bert   </v>
      </c>
      <c r="AA449" s="2" t="str">
        <f>CONCATENATE(+Contacts!C449)</f>
        <v>Visser</v>
      </c>
      <c r="AB449" s="2" t="str">
        <f t="shared" si="184"/>
        <v xml:space="preserve">, </v>
      </c>
      <c r="AC449" s="2" t="str">
        <f>CONCATENATE(+Contacts!A449)</f>
        <v>Bert</v>
      </c>
      <c r="AD449" s="3" t="str">
        <f>CONCATENATE(" ",+Contacts!B449)</f>
        <v xml:space="preserve"> </v>
      </c>
      <c r="AE449" s="2" t="str">
        <f t="shared" si="185"/>
        <v xml:space="preserve"> </v>
      </c>
      <c r="AF449" s="3" t="str">
        <f>CONCATENATE(+Contacts!D449)</f>
        <v/>
      </c>
      <c r="AG449" s="2" t="str">
        <f t="shared" si="186"/>
        <v xml:space="preserve"> </v>
      </c>
      <c r="AH449" t="str">
        <f>CONCATENATE(+Contacts!I449)</f>
        <v/>
      </c>
      <c r="AI449">
        <v>1500000010</v>
      </c>
      <c r="AJ449" s="5">
        <f t="shared" si="187"/>
        <v>1</v>
      </c>
    </row>
    <row r="450" spans="1:36" x14ac:dyDescent="0.35">
      <c r="A450" s="7" t="str">
        <f t="shared" si="162"/>
        <v/>
      </c>
      <c r="B450" s="7" t="str">
        <f t="shared" si="163"/>
        <v/>
      </c>
      <c r="C450" s="7" t="str">
        <f t="shared" si="164"/>
        <v/>
      </c>
      <c r="D450" t="str">
        <f t="shared" si="165"/>
        <v>&lt;contact&gt;&lt;category&gt;0&lt;/category&gt;&lt;person&gt;&lt;realName&gt;Visser, Henk   &lt;/realName&gt;&lt;/person&gt;</v>
      </c>
      <c r="E450" t="str">
        <f t="shared" si="166"/>
        <v>&lt;telephony nid="0"&gt;&lt;/telephony&gt;</v>
      </c>
      <c r="F450" t="str">
        <f t="shared" si="167"/>
        <v>&lt;telephony nid="0"&gt;</v>
      </c>
      <c r="G450" t="str">
        <f t="shared" si="168"/>
        <v/>
      </c>
      <c r="H450" t="str">
        <f t="shared" si="169"/>
        <v>&lt;services nid="1"&gt;&lt;email id="0" classifier="private"&gt;visserch@ziggo.nl&lt;/email&gt;&lt;/services&gt;&lt;setup /&gt;&lt;mod_time&gt;1500000010&lt;/mod_time&gt;&lt;uniqueid&gt;0&lt;/uniqueid&gt;&lt;/contact&gt;</v>
      </c>
      <c r="I450" t="str">
        <f t="shared" si="170"/>
        <v>&lt;services /&gt;&lt;setup /&gt;&lt;mod_time&gt;1500000010&lt;/mod_time&gt;&lt;uniqueid&gt;0&lt;/uniqueid&gt;&lt;/contact&gt;</v>
      </c>
      <c r="J450" t="str">
        <f t="shared" si="171"/>
        <v>&lt;services nid="1"&gt;&lt;email id="0" classifier="private"&gt;visserch@ziggo.nl&lt;/email&gt;&lt;/services&gt;&lt;setup /&gt;&lt;mod_time&gt;1500000010&lt;/mod_time&gt;&lt;uniqueid&gt;0&lt;/uniqueid&gt;&lt;/contact&gt;</v>
      </c>
      <c r="K450" s="5">
        <f t="shared" si="172"/>
        <v>0</v>
      </c>
      <c r="L450" s="5">
        <f t="shared" si="173"/>
        <v>0</v>
      </c>
      <c r="M450" s="5" t="str">
        <f>CONCATENATE(+Contacts!E450)</f>
        <v/>
      </c>
      <c r="N450" t="str">
        <f t="shared" si="174"/>
        <v/>
      </c>
      <c r="O450" s="5">
        <f t="shared" si="175"/>
        <v>0</v>
      </c>
      <c r="P450" s="5">
        <f t="shared" si="176"/>
        <v>0</v>
      </c>
      <c r="Q450" s="5" t="str">
        <f>CONCATENATE(+Contacts!G450)</f>
        <v/>
      </c>
      <c r="R450" t="str">
        <f t="shared" si="177"/>
        <v/>
      </c>
      <c r="S450" s="5">
        <f t="shared" si="178"/>
        <v>0</v>
      </c>
      <c r="T450" s="5">
        <f t="shared" si="179"/>
        <v>0</v>
      </c>
      <c r="U450" s="5" t="str">
        <f>CONCATENATE(+Contacts!H450)</f>
        <v/>
      </c>
      <c r="V450" t="str">
        <f t="shared" si="180"/>
        <v/>
      </c>
      <c r="W450" s="5">
        <f t="shared" si="181"/>
        <v>0</v>
      </c>
      <c r="X450" s="5">
        <f t="shared" si="182"/>
        <v>0</v>
      </c>
      <c r="Y450" s="5" t="str">
        <f>CONCATENATE(+Contacts!F450)</f>
        <v/>
      </c>
      <c r="Z450" s="2" t="str">
        <f t="shared" si="183"/>
        <v xml:space="preserve">Visser, Henk   </v>
      </c>
      <c r="AA450" s="2" t="str">
        <f>CONCATENATE(+Contacts!C450)</f>
        <v>Visser</v>
      </c>
      <c r="AB450" s="2" t="str">
        <f t="shared" si="184"/>
        <v xml:space="preserve">, </v>
      </c>
      <c r="AC450" s="2" t="str">
        <f>CONCATENATE(+Contacts!A450)</f>
        <v>Henk</v>
      </c>
      <c r="AD450" s="3" t="str">
        <f>CONCATENATE(" ",+Contacts!B450)</f>
        <v xml:space="preserve"> </v>
      </c>
      <c r="AE450" s="2" t="str">
        <f t="shared" si="185"/>
        <v xml:space="preserve"> </v>
      </c>
      <c r="AF450" s="3" t="str">
        <f>CONCATENATE(+Contacts!D450)</f>
        <v/>
      </c>
      <c r="AG450" s="2" t="str">
        <f t="shared" si="186"/>
        <v xml:space="preserve"> </v>
      </c>
      <c r="AH450" t="str">
        <f>CONCATENATE(+Contacts!I450)</f>
        <v>visserch@ziggo.nl</v>
      </c>
      <c r="AI450">
        <v>1500000010</v>
      </c>
      <c r="AJ450" s="5">
        <f t="shared" si="187"/>
        <v>0</v>
      </c>
    </row>
    <row r="451" spans="1:36" x14ac:dyDescent="0.35">
      <c r="A451" s="7" t="str">
        <f t="shared" ref="A451:A489" si="188">IF(+W451 = 0,"",+D451)</f>
        <v/>
      </c>
      <c r="B451" s="7" t="str">
        <f t="shared" ref="B451:B489" si="189">IF(+W451 = 0,"",+E451)</f>
        <v/>
      </c>
      <c r="C451" s="7" t="str">
        <f t="shared" ref="C451:C489" si="190">IF(+W451 = 0,"",+J451)</f>
        <v/>
      </c>
      <c r="D451" t="str">
        <f t="shared" ref="D451:D489" si="191">CONCATENATE("&lt;contact&gt;&lt;category&gt;0&lt;/category&gt;&lt;person&gt;&lt;realName&gt;",+Z451,"&lt;/realName&gt;&lt;/person&gt;")</f>
        <v>&lt;contact&gt;&lt;category&gt;0&lt;/category&gt;&lt;person&gt;&lt;realName&gt;Visser, John   &lt;/realName&gt;&lt;/person&gt;</v>
      </c>
      <c r="E451" t="str">
        <f t="shared" ref="E451:E489" si="192">CONCATENATE(+F451,+G451,+N451,+R451,+V451,"&lt;/telephony&gt;")</f>
        <v>&lt;telephony nid="0"&gt;&lt;/telephony&gt;</v>
      </c>
      <c r="F451" t="str">
        <f t="shared" ref="F451:F489" si="193">CONCATENATE("&lt;telephony nid=""",+W451,"""&gt;")</f>
        <v>&lt;telephony nid="0"&gt;</v>
      </c>
      <c r="G451" t="str">
        <f t="shared" ref="G451:G489" si="194">IF(+K451 &gt; 0,+CONCATENATE("&lt;number id=""",+K451-1,""" prio=""",+L451,""" type=""work""&gt;",+M451,"&lt;/number&gt;"),"")</f>
        <v/>
      </c>
      <c r="H451" t="str">
        <f t="shared" ref="H451:H489" si="195">CONCATENATE("&lt;services nid=""1""&gt;&lt;email id=""0"" classifier=""private""&gt;",+AH451,"&lt;/email&gt;&lt;/services&gt;&lt;setup /&gt;&lt;mod_time&gt;",+AI451,"&lt;/mod_time&gt;&lt;uniqueid&gt;",+AJ451,"&lt;/uniqueid&gt;&lt;/contact&gt;")</f>
        <v>&lt;services nid="1"&gt;&lt;email id="0" classifier="private"&gt;pebbam@zassi.nl&lt;/email&gt;&lt;/services&gt;&lt;setup /&gt;&lt;mod_time&gt;1500000010&lt;/mod_time&gt;&lt;uniqueid&gt;0&lt;/uniqueid&gt;&lt;/contact&gt;</v>
      </c>
      <c r="I451" t="str">
        <f t="shared" ref="I451:I489" si="196">CONCATENATE("&lt;services /&gt;&lt;setup /&gt;&lt;mod_time&gt;",+AI451,"&lt;/mod_time&gt;&lt;uniqueid&gt;",+AJ451,"&lt;/uniqueid&gt;&lt;/contact&gt;")</f>
        <v>&lt;services /&gt;&lt;setup /&gt;&lt;mod_time&gt;1500000010&lt;/mod_time&gt;&lt;uniqueid&gt;0&lt;/uniqueid&gt;&lt;/contact&gt;</v>
      </c>
      <c r="J451" t="str">
        <f t="shared" ref="J451:J489" si="197">+IF(+AH451 = "",+I451,+H451)</f>
        <v>&lt;services nid="1"&gt;&lt;email id="0" classifier="private"&gt;pebbam@zassi.nl&lt;/email&gt;&lt;/services&gt;&lt;setup /&gt;&lt;mod_time&gt;1500000010&lt;/mod_time&gt;&lt;uniqueid&gt;0&lt;/uniqueid&gt;&lt;/contact&gt;</v>
      </c>
      <c r="K451" s="5">
        <f t="shared" ref="K451:K489" si="198">IF(+M451 = "",0,1)</f>
        <v>0</v>
      </c>
      <c r="L451" s="5">
        <f t="shared" ref="L451:L489" si="199">IF(+K451 = 1,1,0)</f>
        <v>0</v>
      </c>
      <c r="M451" s="5" t="str">
        <f>CONCATENATE(+Contacts!E451)</f>
        <v/>
      </c>
      <c r="N451" t="str">
        <f t="shared" ref="N451:N489" si="200">IF(+O451 &gt; +K451,+CONCATENATE("&lt;number id=""",+O451-1,""" prio=""",+P451,""" type=""home""&gt;",+Q451,"&lt;/number&gt;"),"")</f>
        <v/>
      </c>
      <c r="O451" s="5">
        <f t="shared" ref="O451:O489" si="201">IF(+Q451 = "",+K451,+K451+1)</f>
        <v>0</v>
      </c>
      <c r="P451" s="5">
        <f t="shared" ref="P451:P489" si="202">IF(+O451 = 1,1,0)</f>
        <v>0</v>
      </c>
      <c r="Q451" s="5" t="str">
        <f>CONCATENATE(+Contacts!G451)</f>
        <v/>
      </c>
      <c r="R451" t="str">
        <f t="shared" ref="R451:R489" si="203">IF(+S451 &gt; +O451,+CONCATENATE("&lt;number id=""",+S451-1,""" prio=""",+T451,""" type=""mobile""&gt;",+U451,"&lt;/number&gt;"),"")</f>
        <v/>
      </c>
      <c r="S451" s="5">
        <f t="shared" ref="S451:S489" si="204">IF(+U451 = "",+O451,+O451+1)</f>
        <v>0</v>
      </c>
      <c r="T451" s="5">
        <f t="shared" ref="T451:T489" si="205">IF(+S451 = 1,1,0)</f>
        <v>0</v>
      </c>
      <c r="U451" s="5" t="str">
        <f>CONCATENATE(+Contacts!H451)</f>
        <v/>
      </c>
      <c r="V451" t="str">
        <f t="shared" ref="V451:V489" si="206">IF(+W451 &gt; +S451,+CONCATENATE("&lt;number id=""",+W451-1,""" prio=""",+X451,""" type=""work""&gt;",+Y451,"&lt;/number&gt;"),"")</f>
        <v/>
      </c>
      <c r="W451" s="5">
        <f t="shared" ref="W451:W489" si="207">IF(+Y451 = "",+S451,+S451+1)</f>
        <v>0</v>
      </c>
      <c r="X451" s="5">
        <f t="shared" ref="X451:X489" si="208">IF(+W451 = 1,1,0)</f>
        <v>0</v>
      </c>
      <c r="Y451" s="5" t="str">
        <f>CONCATENATE(+Contacts!F451)</f>
        <v/>
      </c>
      <c r="Z451" s="2" t="str">
        <f t="shared" ref="Z451:Z489" si="209">CONCATENATE(+AA451,+AB451,+AC451,+AD451,+AE451,+AF451,+AG451)</f>
        <v xml:space="preserve">Visser, John   </v>
      </c>
      <c r="AA451" s="2" t="str">
        <f>CONCATENATE(+Contacts!C451)</f>
        <v>Visser</v>
      </c>
      <c r="AB451" s="2" t="str">
        <f t="shared" ref="AB451:AB489" si="210">IF(+AC451 = ""," ",", ")</f>
        <v xml:space="preserve">, </v>
      </c>
      <c r="AC451" s="2" t="str">
        <f>CONCATENATE(+Contacts!A451)</f>
        <v>John</v>
      </c>
      <c r="AD451" s="3" t="str">
        <f>CONCATENATE(" ",+Contacts!B451)</f>
        <v xml:space="preserve"> </v>
      </c>
      <c r="AE451" s="2" t="str">
        <f t="shared" ref="AE451:AE489" si="211">IF(+AF451 = ""," ","(")</f>
        <v xml:space="preserve"> </v>
      </c>
      <c r="AF451" s="3" t="str">
        <f>CONCATENATE(+Contacts!D451)</f>
        <v/>
      </c>
      <c r="AG451" s="2" t="str">
        <f t="shared" ref="AG451:AG489" si="212">IF(+AF451 = ""," ",")")</f>
        <v xml:space="preserve"> </v>
      </c>
      <c r="AH451" t="str">
        <f>CONCATENATE(+Contacts!I451)</f>
        <v>pebbam@zassi.nl</v>
      </c>
      <c r="AI451">
        <v>1500000010</v>
      </c>
      <c r="AJ451" s="5">
        <f t="shared" ref="AJ451:AJ489" si="213">IF(+W451 = 0,0,1)</f>
        <v>0</v>
      </c>
    </row>
    <row r="452" spans="1:36" x14ac:dyDescent="0.35">
      <c r="A452" s="7" t="str">
        <f t="shared" si="188"/>
        <v>&lt;contact&gt;&lt;category&gt;0&lt;/category&gt;&lt;person&gt;&lt;realName&gt;Visser, Mirjam   &lt;/realName&gt;&lt;/person&gt;</v>
      </c>
      <c r="B452" s="7" t="str">
        <f t="shared" si="189"/>
        <v>&lt;telephony nid="2"&gt;&lt;number id="0" prio="1" type="home"&gt;+31 10 220 4801&lt;/number&gt;&lt;number id="1" prio="0" type="mobile"&gt;+31 6 41232965&lt;/number&gt;&lt;/telephony&gt;</v>
      </c>
      <c r="C452" s="7" t="str">
        <f t="shared" si="190"/>
        <v>&lt;services nid="1"&gt;&lt;email id="0" classifier="private"&gt;mvisser03@gmail.com&lt;/email&gt;&lt;/services&gt;&lt;setup /&gt;&lt;mod_time&gt;1500000010&lt;/mod_time&gt;&lt;uniqueid&gt;1&lt;/uniqueid&gt;&lt;/contact&gt;</v>
      </c>
      <c r="D452" t="str">
        <f t="shared" si="191"/>
        <v>&lt;contact&gt;&lt;category&gt;0&lt;/category&gt;&lt;person&gt;&lt;realName&gt;Visser, Mirjam   &lt;/realName&gt;&lt;/person&gt;</v>
      </c>
      <c r="E452" t="str">
        <f t="shared" si="192"/>
        <v>&lt;telephony nid="2"&gt;&lt;number id="0" prio="1" type="home"&gt;+31 10 220 4801&lt;/number&gt;&lt;number id="1" prio="0" type="mobile"&gt;+31 6 41232965&lt;/number&gt;&lt;/telephony&gt;</v>
      </c>
      <c r="F452" t="str">
        <f t="shared" si="193"/>
        <v>&lt;telephony nid="2"&gt;</v>
      </c>
      <c r="G452" t="str">
        <f t="shared" si="194"/>
        <v/>
      </c>
      <c r="H452" t="str">
        <f t="shared" si="195"/>
        <v>&lt;services nid="1"&gt;&lt;email id="0" classifier="private"&gt;mvisser03@gmail.com&lt;/email&gt;&lt;/services&gt;&lt;setup /&gt;&lt;mod_time&gt;1500000010&lt;/mod_time&gt;&lt;uniqueid&gt;1&lt;/uniqueid&gt;&lt;/contact&gt;</v>
      </c>
      <c r="I452" t="str">
        <f t="shared" si="196"/>
        <v>&lt;services /&gt;&lt;setup /&gt;&lt;mod_time&gt;1500000010&lt;/mod_time&gt;&lt;uniqueid&gt;1&lt;/uniqueid&gt;&lt;/contact&gt;</v>
      </c>
      <c r="J452" t="str">
        <f t="shared" si="197"/>
        <v>&lt;services nid="1"&gt;&lt;email id="0" classifier="private"&gt;mvisser03@gmail.com&lt;/email&gt;&lt;/services&gt;&lt;setup /&gt;&lt;mod_time&gt;1500000010&lt;/mod_time&gt;&lt;uniqueid&gt;1&lt;/uniqueid&gt;&lt;/contact&gt;</v>
      </c>
      <c r="K452" s="5">
        <f t="shared" si="198"/>
        <v>0</v>
      </c>
      <c r="L452" s="5">
        <f t="shared" si="199"/>
        <v>0</v>
      </c>
      <c r="M452" s="5" t="str">
        <f>CONCATENATE(+Contacts!E452)</f>
        <v/>
      </c>
      <c r="N452" t="str">
        <f t="shared" si="200"/>
        <v>&lt;number id="0" prio="1" type="home"&gt;+31 10 220 4801&lt;/number&gt;</v>
      </c>
      <c r="O452" s="5">
        <f t="shared" si="201"/>
        <v>1</v>
      </c>
      <c r="P452" s="5">
        <f t="shared" si="202"/>
        <v>1</v>
      </c>
      <c r="Q452" s="5" t="str">
        <f>CONCATENATE(+Contacts!G452)</f>
        <v>+31 10 220 4801</v>
      </c>
      <c r="R452" t="str">
        <f t="shared" si="203"/>
        <v>&lt;number id="1" prio="0" type="mobile"&gt;+31 6 41232965&lt;/number&gt;</v>
      </c>
      <c r="S452" s="5">
        <f t="shared" si="204"/>
        <v>2</v>
      </c>
      <c r="T452" s="5">
        <f t="shared" si="205"/>
        <v>0</v>
      </c>
      <c r="U452" s="5" t="str">
        <f>CONCATENATE(+Contacts!H452)</f>
        <v>+31 6 41232965</v>
      </c>
      <c r="V452" t="str">
        <f t="shared" si="206"/>
        <v/>
      </c>
      <c r="W452" s="5">
        <f t="shared" si="207"/>
        <v>2</v>
      </c>
      <c r="X452" s="5">
        <f t="shared" si="208"/>
        <v>0</v>
      </c>
      <c r="Y452" s="5" t="str">
        <f>CONCATENATE(+Contacts!F452)</f>
        <v/>
      </c>
      <c r="Z452" s="2" t="str">
        <f t="shared" si="209"/>
        <v xml:space="preserve">Visser, Mirjam   </v>
      </c>
      <c r="AA452" s="2" t="str">
        <f>CONCATENATE(+Contacts!C452)</f>
        <v>Visser</v>
      </c>
      <c r="AB452" s="2" t="str">
        <f t="shared" si="210"/>
        <v xml:space="preserve">, </v>
      </c>
      <c r="AC452" s="2" t="str">
        <f>CONCATENATE(+Contacts!A452)</f>
        <v>Mirjam</v>
      </c>
      <c r="AD452" s="3" t="str">
        <f>CONCATENATE(" ",+Contacts!B452)</f>
        <v xml:space="preserve"> </v>
      </c>
      <c r="AE452" s="2" t="str">
        <f t="shared" si="211"/>
        <v xml:space="preserve"> </v>
      </c>
      <c r="AF452" s="3" t="str">
        <f>CONCATENATE(+Contacts!D452)</f>
        <v/>
      </c>
      <c r="AG452" s="2" t="str">
        <f t="shared" si="212"/>
        <v xml:space="preserve"> </v>
      </c>
      <c r="AH452" t="str">
        <f>CONCATENATE(+Contacts!I452)</f>
        <v>mvisser03@gmail.com</v>
      </c>
      <c r="AI452">
        <v>1500000010</v>
      </c>
      <c r="AJ452" s="5">
        <f t="shared" si="213"/>
        <v>1</v>
      </c>
    </row>
    <row r="453" spans="1:36" x14ac:dyDescent="0.35">
      <c r="A453" s="7" t="str">
        <f t="shared" si="188"/>
        <v>&lt;contact&gt;&lt;category&gt;0&lt;/category&gt;&lt;person&gt;&lt;realName&gt;Vleut, Ronald   &lt;/realName&gt;&lt;/person&gt;</v>
      </c>
      <c r="B453" s="7" t="str">
        <f t="shared" si="189"/>
        <v>&lt;telephony nid="1"&gt;&lt;number id="0" prio="1" type="mobile"&gt;+31 643064723&lt;/number&gt;&lt;/telephony&gt;</v>
      </c>
      <c r="C453" s="7" t="str">
        <f t="shared" si="190"/>
        <v>&lt;services /&gt;&lt;setup /&gt;&lt;mod_time&gt;1500000010&lt;/mod_time&gt;&lt;uniqueid&gt;1&lt;/uniqueid&gt;&lt;/contact&gt;</v>
      </c>
      <c r="D453" t="str">
        <f t="shared" si="191"/>
        <v>&lt;contact&gt;&lt;category&gt;0&lt;/category&gt;&lt;person&gt;&lt;realName&gt;Vleut, Ronald   &lt;/realName&gt;&lt;/person&gt;</v>
      </c>
      <c r="E453" t="str">
        <f t="shared" si="192"/>
        <v>&lt;telephony nid="1"&gt;&lt;number id="0" prio="1" type="mobile"&gt;+31 643064723&lt;/number&gt;&lt;/telephony&gt;</v>
      </c>
      <c r="F453" t="str">
        <f t="shared" si="193"/>
        <v>&lt;telephony nid="1"&gt;</v>
      </c>
      <c r="G453" t="str">
        <f t="shared" si="194"/>
        <v/>
      </c>
      <c r="H453" t="str">
        <f t="shared" si="195"/>
        <v>&lt;services nid="1"&gt;&lt;email id="0" classifier="private"&gt;&lt;/email&gt;&lt;/services&gt;&lt;setup /&gt;&lt;mod_time&gt;1500000010&lt;/mod_time&gt;&lt;uniqueid&gt;1&lt;/uniqueid&gt;&lt;/contact&gt;</v>
      </c>
      <c r="I453" t="str">
        <f t="shared" si="196"/>
        <v>&lt;services /&gt;&lt;setup /&gt;&lt;mod_time&gt;1500000010&lt;/mod_time&gt;&lt;uniqueid&gt;1&lt;/uniqueid&gt;&lt;/contact&gt;</v>
      </c>
      <c r="J453" t="str">
        <f t="shared" si="197"/>
        <v>&lt;services /&gt;&lt;setup /&gt;&lt;mod_time&gt;1500000010&lt;/mod_time&gt;&lt;uniqueid&gt;1&lt;/uniqueid&gt;&lt;/contact&gt;</v>
      </c>
      <c r="K453" s="5">
        <f t="shared" si="198"/>
        <v>0</v>
      </c>
      <c r="L453" s="5">
        <f t="shared" si="199"/>
        <v>0</v>
      </c>
      <c r="M453" s="5" t="str">
        <f>CONCATENATE(+Contacts!E453)</f>
        <v/>
      </c>
      <c r="N453" t="str">
        <f t="shared" si="200"/>
        <v/>
      </c>
      <c r="O453" s="5">
        <f t="shared" si="201"/>
        <v>0</v>
      </c>
      <c r="P453" s="5">
        <f t="shared" si="202"/>
        <v>0</v>
      </c>
      <c r="Q453" s="5" t="str">
        <f>CONCATENATE(+Contacts!G453)</f>
        <v/>
      </c>
      <c r="R453" t="str">
        <f t="shared" si="203"/>
        <v>&lt;number id="0" prio="1" type="mobile"&gt;+31 643064723&lt;/number&gt;</v>
      </c>
      <c r="S453" s="5">
        <f t="shared" si="204"/>
        <v>1</v>
      </c>
      <c r="T453" s="5">
        <f t="shared" si="205"/>
        <v>1</v>
      </c>
      <c r="U453" s="5" t="str">
        <f>CONCATENATE(+Contacts!H453)</f>
        <v>+31 643064723</v>
      </c>
      <c r="V453" t="str">
        <f t="shared" si="206"/>
        <v/>
      </c>
      <c r="W453" s="5">
        <f t="shared" si="207"/>
        <v>1</v>
      </c>
      <c r="X453" s="5">
        <f t="shared" si="208"/>
        <v>1</v>
      </c>
      <c r="Y453" s="5" t="str">
        <f>CONCATENATE(+Contacts!F453)</f>
        <v/>
      </c>
      <c r="Z453" s="2" t="str">
        <f t="shared" si="209"/>
        <v xml:space="preserve">Vleut, Ronald   </v>
      </c>
      <c r="AA453" s="2" t="str">
        <f>CONCATENATE(+Contacts!C453)</f>
        <v>Vleut</v>
      </c>
      <c r="AB453" s="2" t="str">
        <f t="shared" si="210"/>
        <v xml:space="preserve">, </v>
      </c>
      <c r="AC453" s="2" t="str">
        <f>CONCATENATE(+Contacts!A453)</f>
        <v>Ronald</v>
      </c>
      <c r="AD453" s="3" t="str">
        <f>CONCATENATE(" ",+Contacts!B453)</f>
        <v xml:space="preserve"> </v>
      </c>
      <c r="AE453" s="2" t="str">
        <f t="shared" si="211"/>
        <v xml:space="preserve"> </v>
      </c>
      <c r="AF453" s="3" t="str">
        <f>CONCATENATE(+Contacts!D453)</f>
        <v/>
      </c>
      <c r="AG453" s="2" t="str">
        <f t="shared" si="212"/>
        <v xml:space="preserve"> </v>
      </c>
      <c r="AH453" t="str">
        <f>CONCATENATE(+Contacts!I453)</f>
        <v/>
      </c>
      <c r="AI453">
        <v>1500000010</v>
      </c>
      <c r="AJ453" s="5">
        <f t="shared" si="213"/>
        <v>1</v>
      </c>
    </row>
    <row r="454" spans="1:36" x14ac:dyDescent="0.35">
      <c r="A454" s="7" t="str">
        <f t="shared" si="188"/>
        <v/>
      </c>
      <c r="B454" s="7" t="str">
        <f t="shared" si="189"/>
        <v/>
      </c>
      <c r="C454" s="7" t="str">
        <f t="shared" si="190"/>
        <v/>
      </c>
      <c r="D454" t="str">
        <f t="shared" si="191"/>
        <v>&lt;contact&gt;&lt;category&gt;0&lt;/category&gt;&lt;person&gt;&lt;realName&gt;Vogelezang, Marieke   &lt;/realName&gt;&lt;/person&gt;</v>
      </c>
      <c r="E454" t="str">
        <f t="shared" si="192"/>
        <v>&lt;telephony nid="0"&gt;&lt;/telephony&gt;</v>
      </c>
      <c r="F454" t="str">
        <f t="shared" si="193"/>
        <v>&lt;telephony nid="0"&gt;</v>
      </c>
      <c r="G454" t="str">
        <f t="shared" si="194"/>
        <v/>
      </c>
      <c r="H454" t="str">
        <f t="shared" si="195"/>
        <v>&lt;services nid="1"&gt;&lt;email id="0" classifier="private"&gt;mvogelezang@melanchthon.nl&lt;/email&gt;&lt;/services&gt;&lt;setup /&gt;&lt;mod_time&gt;1500000010&lt;/mod_time&gt;&lt;uniqueid&gt;0&lt;/uniqueid&gt;&lt;/contact&gt;</v>
      </c>
      <c r="I454" t="str">
        <f t="shared" si="196"/>
        <v>&lt;services /&gt;&lt;setup /&gt;&lt;mod_time&gt;1500000010&lt;/mod_time&gt;&lt;uniqueid&gt;0&lt;/uniqueid&gt;&lt;/contact&gt;</v>
      </c>
      <c r="J454" t="str">
        <f t="shared" si="197"/>
        <v>&lt;services nid="1"&gt;&lt;email id="0" classifier="private"&gt;mvogelezang@melanchthon.nl&lt;/email&gt;&lt;/services&gt;&lt;setup /&gt;&lt;mod_time&gt;1500000010&lt;/mod_time&gt;&lt;uniqueid&gt;0&lt;/uniqueid&gt;&lt;/contact&gt;</v>
      </c>
      <c r="K454" s="5">
        <f t="shared" si="198"/>
        <v>0</v>
      </c>
      <c r="L454" s="5">
        <f t="shared" si="199"/>
        <v>0</v>
      </c>
      <c r="M454" s="5" t="str">
        <f>CONCATENATE(+Contacts!E454)</f>
        <v/>
      </c>
      <c r="N454" t="str">
        <f t="shared" si="200"/>
        <v/>
      </c>
      <c r="O454" s="5">
        <f t="shared" si="201"/>
        <v>0</v>
      </c>
      <c r="P454" s="5">
        <f t="shared" si="202"/>
        <v>0</v>
      </c>
      <c r="Q454" s="5" t="str">
        <f>CONCATENATE(+Contacts!G454)</f>
        <v/>
      </c>
      <c r="R454" t="str">
        <f t="shared" si="203"/>
        <v/>
      </c>
      <c r="S454" s="5">
        <f t="shared" si="204"/>
        <v>0</v>
      </c>
      <c r="T454" s="5">
        <f t="shared" si="205"/>
        <v>0</v>
      </c>
      <c r="U454" s="5" t="str">
        <f>CONCATENATE(+Contacts!H454)</f>
        <v/>
      </c>
      <c r="V454" t="str">
        <f t="shared" si="206"/>
        <v/>
      </c>
      <c r="W454" s="5">
        <f t="shared" si="207"/>
        <v>0</v>
      </c>
      <c r="X454" s="5">
        <f t="shared" si="208"/>
        <v>0</v>
      </c>
      <c r="Y454" s="5" t="str">
        <f>CONCATENATE(+Contacts!F454)</f>
        <v/>
      </c>
      <c r="Z454" s="2" t="str">
        <f t="shared" si="209"/>
        <v xml:space="preserve">Vogelezang, Marieke   </v>
      </c>
      <c r="AA454" s="2" t="str">
        <f>CONCATENATE(+Contacts!C454)</f>
        <v>Vogelezang</v>
      </c>
      <c r="AB454" s="2" t="str">
        <f t="shared" si="210"/>
        <v xml:space="preserve">, </v>
      </c>
      <c r="AC454" s="2" t="str">
        <f>CONCATENATE(+Contacts!A454)</f>
        <v>Marieke</v>
      </c>
      <c r="AD454" s="3" t="str">
        <f>CONCATENATE(" ",+Contacts!B454)</f>
        <v xml:space="preserve"> </v>
      </c>
      <c r="AE454" s="2" t="str">
        <f t="shared" si="211"/>
        <v xml:space="preserve"> </v>
      </c>
      <c r="AF454" s="3" t="str">
        <f>CONCATENATE(+Contacts!D454)</f>
        <v/>
      </c>
      <c r="AG454" s="2" t="str">
        <f t="shared" si="212"/>
        <v xml:space="preserve"> </v>
      </c>
      <c r="AH454" t="str">
        <f>CONCATENATE(+Contacts!I454)</f>
        <v>mvogelezang@melanchthon.nl</v>
      </c>
      <c r="AI454">
        <v>1500000010</v>
      </c>
      <c r="AJ454" s="5">
        <f t="shared" si="213"/>
        <v>0</v>
      </c>
    </row>
    <row r="455" spans="1:36" x14ac:dyDescent="0.35">
      <c r="A455" s="7" t="str">
        <f t="shared" si="188"/>
        <v>&lt;contact&gt;&lt;category&gt;0&lt;/category&gt;&lt;person&gt;&lt;realName&gt;VoiceMail  (KPN)&lt;/realName&gt;&lt;/person&gt;</v>
      </c>
      <c r="B455" s="7" t="str">
        <f t="shared" si="189"/>
        <v>&lt;telephony nid="2"&gt;&lt;number id="0" prio="1" type="home"&gt;1233&lt;/number&gt;&lt;number id="1" prio="0" type="mobile"&gt;+31 612001233&lt;/number&gt;&lt;/telephony&gt;</v>
      </c>
      <c r="C455" s="7" t="str">
        <f t="shared" si="190"/>
        <v>&lt;services /&gt;&lt;setup /&gt;&lt;mod_time&gt;1500000010&lt;/mod_time&gt;&lt;uniqueid&gt;1&lt;/uniqueid&gt;&lt;/contact&gt;</v>
      </c>
      <c r="D455" t="str">
        <f t="shared" si="191"/>
        <v>&lt;contact&gt;&lt;category&gt;0&lt;/category&gt;&lt;person&gt;&lt;realName&gt;VoiceMail  (KPN)&lt;/realName&gt;&lt;/person&gt;</v>
      </c>
      <c r="E455" t="str">
        <f t="shared" si="192"/>
        <v>&lt;telephony nid="2"&gt;&lt;number id="0" prio="1" type="home"&gt;1233&lt;/number&gt;&lt;number id="1" prio="0" type="mobile"&gt;+31 612001233&lt;/number&gt;&lt;/telephony&gt;</v>
      </c>
      <c r="F455" t="str">
        <f t="shared" si="193"/>
        <v>&lt;telephony nid="2"&gt;</v>
      </c>
      <c r="G455" t="str">
        <f t="shared" si="194"/>
        <v/>
      </c>
      <c r="H455" t="str">
        <f t="shared" si="195"/>
        <v>&lt;services nid="1"&gt;&lt;email id="0" classifier="private"&gt;&lt;/email&gt;&lt;/services&gt;&lt;setup /&gt;&lt;mod_time&gt;1500000010&lt;/mod_time&gt;&lt;uniqueid&gt;1&lt;/uniqueid&gt;&lt;/contact&gt;</v>
      </c>
      <c r="I455" t="str">
        <f t="shared" si="196"/>
        <v>&lt;services /&gt;&lt;setup /&gt;&lt;mod_time&gt;1500000010&lt;/mod_time&gt;&lt;uniqueid&gt;1&lt;/uniqueid&gt;&lt;/contact&gt;</v>
      </c>
      <c r="J455" t="str">
        <f t="shared" si="197"/>
        <v>&lt;services /&gt;&lt;setup /&gt;&lt;mod_time&gt;1500000010&lt;/mod_time&gt;&lt;uniqueid&gt;1&lt;/uniqueid&gt;&lt;/contact&gt;</v>
      </c>
      <c r="K455" s="5">
        <f t="shared" si="198"/>
        <v>0</v>
      </c>
      <c r="L455" s="5">
        <f t="shared" si="199"/>
        <v>0</v>
      </c>
      <c r="M455" s="5" t="str">
        <f>CONCATENATE(+Contacts!E455)</f>
        <v/>
      </c>
      <c r="N455" t="str">
        <f t="shared" si="200"/>
        <v>&lt;number id="0" prio="1" type="home"&gt;1233&lt;/number&gt;</v>
      </c>
      <c r="O455" s="5">
        <f t="shared" si="201"/>
        <v>1</v>
      </c>
      <c r="P455" s="5">
        <f t="shared" si="202"/>
        <v>1</v>
      </c>
      <c r="Q455" s="5" t="str">
        <f>CONCATENATE(+Contacts!G455)</f>
        <v>1233</v>
      </c>
      <c r="R455" t="str">
        <f t="shared" si="203"/>
        <v>&lt;number id="1" prio="0" type="mobile"&gt;+31 612001233&lt;/number&gt;</v>
      </c>
      <c r="S455" s="5">
        <f t="shared" si="204"/>
        <v>2</v>
      </c>
      <c r="T455" s="5">
        <f t="shared" si="205"/>
        <v>0</v>
      </c>
      <c r="U455" s="5" t="str">
        <f>CONCATENATE(+Contacts!H455)</f>
        <v>+31 612001233</v>
      </c>
      <c r="V455" t="str">
        <f t="shared" si="206"/>
        <v/>
      </c>
      <c r="W455" s="5">
        <f t="shared" si="207"/>
        <v>2</v>
      </c>
      <c r="X455" s="5">
        <f t="shared" si="208"/>
        <v>0</v>
      </c>
      <c r="Y455" s="5" t="str">
        <f>CONCATENATE(+Contacts!F455)</f>
        <v/>
      </c>
      <c r="Z455" s="2" t="str">
        <f t="shared" si="209"/>
        <v>VoiceMail  (KPN)</v>
      </c>
      <c r="AA455" s="2" t="str">
        <f>CONCATENATE(+Contacts!C455)</f>
        <v>VoiceMail</v>
      </c>
      <c r="AB455" s="2" t="str">
        <f t="shared" si="210"/>
        <v xml:space="preserve"> </v>
      </c>
      <c r="AC455" s="2" t="str">
        <f>CONCATENATE(+Contacts!A455)</f>
        <v/>
      </c>
      <c r="AD455" s="3" t="str">
        <f>CONCATENATE(" ",+Contacts!B455)</f>
        <v xml:space="preserve"> </v>
      </c>
      <c r="AE455" s="2" t="str">
        <f t="shared" si="211"/>
        <v>(</v>
      </c>
      <c r="AF455" s="3" t="str">
        <f>CONCATENATE(+Contacts!D455)</f>
        <v>KPN</v>
      </c>
      <c r="AG455" s="2" t="str">
        <f t="shared" si="212"/>
        <v>)</v>
      </c>
      <c r="AH455" t="str">
        <f>CONCATENATE(+Contacts!I455)</f>
        <v/>
      </c>
      <c r="AI455">
        <v>1500000010</v>
      </c>
      <c r="AJ455" s="5">
        <f t="shared" si="213"/>
        <v>1</v>
      </c>
    </row>
    <row r="456" spans="1:36" x14ac:dyDescent="0.35">
      <c r="A456" s="7" t="str">
        <f t="shared" si="188"/>
        <v>&lt;contact&gt;&lt;category&gt;0&lt;/category&gt;&lt;person&gt;&lt;realName&gt;Volmeijer, Laura   &lt;/realName&gt;&lt;/person&gt;</v>
      </c>
      <c r="B456" s="7" t="str">
        <f t="shared" si="189"/>
        <v>&lt;telephony nid="1"&gt;&lt;number id="0" prio="1" type="mobile"&gt;+31 653976044&lt;/number&gt;&lt;/telephony&gt;</v>
      </c>
      <c r="C456" s="7" t="str">
        <f t="shared" si="190"/>
        <v>&lt;services /&gt;&lt;setup /&gt;&lt;mod_time&gt;1500000010&lt;/mod_time&gt;&lt;uniqueid&gt;1&lt;/uniqueid&gt;&lt;/contact&gt;</v>
      </c>
      <c r="D456" t="str">
        <f t="shared" si="191"/>
        <v>&lt;contact&gt;&lt;category&gt;0&lt;/category&gt;&lt;person&gt;&lt;realName&gt;Volmeijer, Laura   &lt;/realName&gt;&lt;/person&gt;</v>
      </c>
      <c r="E456" t="str">
        <f t="shared" si="192"/>
        <v>&lt;telephony nid="1"&gt;&lt;number id="0" prio="1" type="mobile"&gt;+31 653976044&lt;/number&gt;&lt;/telephony&gt;</v>
      </c>
      <c r="F456" t="str">
        <f t="shared" si="193"/>
        <v>&lt;telephony nid="1"&gt;</v>
      </c>
      <c r="G456" t="str">
        <f t="shared" si="194"/>
        <v/>
      </c>
      <c r="H456" t="str">
        <f t="shared" si="195"/>
        <v>&lt;services nid="1"&gt;&lt;email id="0" classifier="private"&gt;&lt;/email&gt;&lt;/services&gt;&lt;setup /&gt;&lt;mod_time&gt;1500000010&lt;/mod_time&gt;&lt;uniqueid&gt;1&lt;/uniqueid&gt;&lt;/contact&gt;</v>
      </c>
      <c r="I456" t="str">
        <f t="shared" si="196"/>
        <v>&lt;services /&gt;&lt;setup /&gt;&lt;mod_time&gt;1500000010&lt;/mod_time&gt;&lt;uniqueid&gt;1&lt;/uniqueid&gt;&lt;/contact&gt;</v>
      </c>
      <c r="J456" t="str">
        <f t="shared" si="197"/>
        <v>&lt;services /&gt;&lt;setup /&gt;&lt;mod_time&gt;1500000010&lt;/mod_time&gt;&lt;uniqueid&gt;1&lt;/uniqueid&gt;&lt;/contact&gt;</v>
      </c>
      <c r="K456" s="5">
        <f t="shared" si="198"/>
        <v>0</v>
      </c>
      <c r="L456" s="5">
        <f t="shared" si="199"/>
        <v>0</v>
      </c>
      <c r="M456" s="5" t="str">
        <f>CONCATENATE(+Contacts!E456)</f>
        <v/>
      </c>
      <c r="N456" t="str">
        <f t="shared" si="200"/>
        <v/>
      </c>
      <c r="O456" s="5">
        <f t="shared" si="201"/>
        <v>0</v>
      </c>
      <c r="P456" s="5">
        <f t="shared" si="202"/>
        <v>0</v>
      </c>
      <c r="Q456" s="5" t="str">
        <f>CONCATENATE(+Contacts!G456)</f>
        <v/>
      </c>
      <c r="R456" t="str">
        <f t="shared" si="203"/>
        <v>&lt;number id="0" prio="1" type="mobile"&gt;+31 653976044&lt;/number&gt;</v>
      </c>
      <c r="S456" s="5">
        <f t="shared" si="204"/>
        <v>1</v>
      </c>
      <c r="T456" s="5">
        <f t="shared" si="205"/>
        <v>1</v>
      </c>
      <c r="U456" s="5" t="str">
        <f>CONCATENATE(+Contacts!H456)</f>
        <v>+31 653976044</v>
      </c>
      <c r="V456" t="str">
        <f t="shared" si="206"/>
        <v/>
      </c>
      <c r="W456" s="5">
        <f t="shared" si="207"/>
        <v>1</v>
      </c>
      <c r="X456" s="5">
        <f t="shared" si="208"/>
        <v>1</v>
      </c>
      <c r="Y456" s="5" t="str">
        <f>CONCATENATE(+Contacts!F456)</f>
        <v/>
      </c>
      <c r="Z456" s="2" t="str">
        <f t="shared" si="209"/>
        <v xml:space="preserve">Volmeijer, Laura   </v>
      </c>
      <c r="AA456" s="2" t="str">
        <f>CONCATENATE(+Contacts!C456)</f>
        <v>Volmeijer</v>
      </c>
      <c r="AB456" s="2" t="str">
        <f t="shared" si="210"/>
        <v xml:space="preserve">, </v>
      </c>
      <c r="AC456" s="2" t="str">
        <f>CONCATENATE(+Contacts!A456)</f>
        <v>Laura</v>
      </c>
      <c r="AD456" s="3" t="str">
        <f>CONCATENATE(" ",+Contacts!B456)</f>
        <v xml:space="preserve"> </v>
      </c>
      <c r="AE456" s="2" t="str">
        <f t="shared" si="211"/>
        <v xml:space="preserve"> </v>
      </c>
      <c r="AF456" s="3" t="str">
        <f>CONCATENATE(+Contacts!D456)</f>
        <v/>
      </c>
      <c r="AG456" s="2" t="str">
        <f t="shared" si="212"/>
        <v xml:space="preserve"> </v>
      </c>
      <c r="AH456" t="str">
        <f>CONCATENATE(+Contacts!I456)</f>
        <v/>
      </c>
      <c r="AI456">
        <v>1500000010</v>
      </c>
      <c r="AJ456" s="5">
        <f t="shared" si="213"/>
        <v>1</v>
      </c>
    </row>
    <row r="457" spans="1:36" x14ac:dyDescent="0.35">
      <c r="A457" s="7" t="str">
        <f t="shared" si="188"/>
        <v/>
      </c>
      <c r="B457" s="7" t="str">
        <f t="shared" si="189"/>
        <v/>
      </c>
      <c r="C457" s="7" t="str">
        <f t="shared" si="190"/>
        <v/>
      </c>
      <c r="D457" t="str">
        <f t="shared" si="191"/>
        <v>&lt;contact&gt;&lt;category&gt;0&lt;/category&gt;&lt;person&gt;&lt;realName&gt;Voormolen, Yvonne   &lt;/realName&gt;&lt;/person&gt;</v>
      </c>
      <c r="E457" t="str">
        <f t="shared" si="192"/>
        <v>&lt;telephony nid="0"&gt;&lt;/telephony&gt;</v>
      </c>
      <c r="F457" t="str">
        <f t="shared" si="193"/>
        <v>&lt;telephony nid="0"&gt;</v>
      </c>
      <c r="G457" t="str">
        <f t="shared" si="194"/>
        <v/>
      </c>
      <c r="H457" t="str">
        <f t="shared" si="195"/>
        <v>&lt;services nid="1"&gt;&lt;email id="0" classifier="private"&gt;&lt;/email&gt;&lt;/services&gt;&lt;setup /&gt;&lt;mod_time&gt;1500000010&lt;/mod_time&gt;&lt;uniqueid&gt;0&lt;/uniqueid&gt;&lt;/contact&gt;</v>
      </c>
      <c r="I457" t="str">
        <f t="shared" si="196"/>
        <v>&lt;services /&gt;&lt;setup /&gt;&lt;mod_time&gt;1500000010&lt;/mod_time&gt;&lt;uniqueid&gt;0&lt;/uniqueid&gt;&lt;/contact&gt;</v>
      </c>
      <c r="J457" t="str">
        <f t="shared" si="197"/>
        <v>&lt;services /&gt;&lt;setup /&gt;&lt;mod_time&gt;1500000010&lt;/mod_time&gt;&lt;uniqueid&gt;0&lt;/uniqueid&gt;&lt;/contact&gt;</v>
      </c>
      <c r="K457" s="5">
        <f t="shared" si="198"/>
        <v>0</v>
      </c>
      <c r="L457" s="5">
        <f t="shared" si="199"/>
        <v>0</v>
      </c>
      <c r="M457" s="5" t="str">
        <f>CONCATENATE(+Contacts!E457)</f>
        <v/>
      </c>
      <c r="N457" t="str">
        <f t="shared" si="200"/>
        <v/>
      </c>
      <c r="O457" s="5">
        <f t="shared" si="201"/>
        <v>0</v>
      </c>
      <c r="P457" s="5">
        <f t="shared" si="202"/>
        <v>0</v>
      </c>
      <c r="Q457" s="5" t="str">
        <f>CONCATENATE(+Contacts!G457)</f>
        <v/>
      </c>
      <c r="R457" t="str">
        <f t="shared" si="203"/>
        <v/>
      </c>
      <c r="S457" s="5">
        <f t="shared" si="204"/>
        <v>0</v>
      </c>
      <c r="T457" s="5">
        <f t="shared" si="205"/>
        <v>0</v>
      </c>
      <c r="U457" s="5" t="str">
        <f>CONCATENATE(+Contacts!H457)</f>
        <v/>
      </c>
      <c r="V457" t="str">
        <f t="shared" si="206"/>
        <v/>
      </c>
      <c r="W457" s="5">
        <f t="shared" si="207"/>
        <v>0</v>
      </c>
      <c r="X457" s="5">
        <f t="shared" si="208"/>
        <v>0</v>
      </c>
      <c r="Y457" s="5" t="str">
        <f>CONCATENATE(+Contacts!F457)</f>
        <v/>
      </c>
      <c r="Z457" s="2" t="str">
        <f t="shared" si="209"/>
        <v xml:space="preserve">Voormolen, Yvonne   </v>
      </c>
      <c r="AA457" s="2" t="str">
        <f>CONCATENATE(+Contacts!C457)</f>
        <v>Voormolen</v>
      </c>
      <c r="AB457" s="2" t="str">
        <f t="shared" si="210"/>
        <v xml:space="preserve">, </v>
      </c>
      <c r="AC457" s="2" t="str">
        <f>CONCATENATE(+Contacts!A457)</f>
        <v>Yvonne</v>
      </c>
      <c r="AD457" s="3" t="str">
        <f>CONCATENATE(" ",+Contacts!B457)</f>
        <v xml:space="preserve"> </v>
      </c>
      <c r="AE457" s="2" t="str">
        <f t="shared" si="211"/>
        <v xml:space="preserve"> </v>
      </c>
      <c r="AF457" s="3" t="str">
        <f>CONCATENATE(+Contacts!D457)</f>
        <v/>
      </c>
      <c r="AG457" s="2" t="str">
        <f t="shared" si="212"/>
        <v xml:space="preserve"> </v>
      </c>
      <c r="AH457" t="str">
        <f>CONCATENATE(+Contacts!I457)</f>
        <v/>
      </c>
      <c r="AI457">
        <v>1500000010</v>
      </c>
      <c r="AJ457" s="5">
        <f t="shared" si="213"/>
        <v>0</v>
      </c>
    </row>
    <row r="458" spans="1:36" x14ac:dyDescent="0.35">
      <c r="A458" s="7" t="str">
        <f t="shared" si="188"/>
        <v>&lt;contact&gt;&lt;category&gt;0&lt;/category&gt;&lt;person&gt;&lt;realName&gt;Vredenbregt, Jacqueline   &lt;/realName&gt;&lt;/person&gt;</v>
      </c>
      <c r="B458" s="7" t="str">
        <f t="shared" si="189"/>
        <v>&lt;telephony nid="1"&gt;&lt;number id="0" prio="1" type="home"&gt;+31 838918831&lt;/number&gt;&lt;/telephony&gt;</v>
      </c>
      <c r="C458" s="7" t="str">
        <f t="shared" si="190"/>
        <v>&lt;services nid="1"&gt;&lt;email id="0" classifier="private"&gt;jj.vredenbregt@kordaat.com&lt;/email&gt;&lt;/services&gt;&lt;setup /&gt;&lt;mod_time&gt;1500000010&lt;/mod_time&gt;&lt;uniqueid&gt;1&lt;/uniqueid&gt;&lt;/contact&gt;</v>
      </c>
      <c r="D458" t="str">
        <f t="shared" si="191"/>
        <v>&lt;contact&gt;&lt;category&gt;0&lt;/category&gt;&lt;person&gt;&lt;realName&gt;Vredenbregt, Jacqueline   &lt;/realName&gt;&lt;/person&gt;</v>
      </c>
      <c r="E458" t="str">
        <f t="shared" si="192"/>
        <v>&lt;telephony nid="1"&gt;&lt;number id="0" prio="1" type="home"&gt;+31 838918831&lt;/number&gt;&lt;/telephony&gt;</v>
      </c>
      <c r="F458" t="str">
        <f t="shared" si="193"/>
        <v>&lt;telephony nid="1"&gt;</v>
      </c>
      <c r="G458" t="str">
        <f t="shared" si="194"/>
        <v/>
      </c>
      <c r="H458" t="str">
        <f t="shared" si="195"/>
        <v>&lt;services nid="1"&gt;&lt;email id="0" classifier="private"&gt;jj.vredenbregt@kordaat.com&lt;/email&gt;&lt;/services&gt;&lt;setup /&gt;&lt;mod_time&gt;1500000010&lt;/mod_time&gt;&lt;uniqueid&gt;1&lt;/uniqueid&gt;&lt;/contact&gt;</v>
      </c>
      <c r="I458" t="str">
        <f t="shared" si="196"/>
        <v>&lt;services /&gt;&lt;setup /&gt;&lt;mod_time&gt;1500000010&lt;/mod_time&gt;&lt;uniqueid&gt;1&lt;/uniqueid&gt;&lt;/contact&gt;</v>
      </c>
      <c r="J458" t="str">
        <f t="shared" si="197"/>
        <v>&lt;services nid="1"&gt;&lt;email id="0" classifier="private"&gt;jj.vredenbregt@kordaat.com&lt;/email&gt;&lt;/services&gt;&lt;setup /&gt;&lt;mod_time&gt;1500000010&lt;/mod_time&gt;&lt;uniqueid&gt;1&lt;/uniqueid&gt;&lt;/contact&gt;</v>
      </c>
      <c r="K458" s="5">
        <f t="shared" si="198"/>
        <v>0</v>
      </c>
      <c r="L458" s="5">
        <f t="shared" si="199"/>
        <v>0</v>
      </c>
      <c r="M458" s="5" t="str">
        <f>CONCATENATE(+Contacts!E458)</f>
        <v/>
      </c>
      <c r="N458" t="str">
        <f t="shared" si="200"/>
        <v>&lt;number id="0" prio="1" type="home"&gt;+31 838918831&lt;/number&gt;</v>
      </c>
      <c r="O458" s="5">
        <f t="shared" si="201"/>
        <v>1</v>
      </c>
      <c r="P458" s="5">
        <f t="shared" si="202"/>
        <v>1</v>
      </c>
      <c r="Q458" s="5" t="str">
        <f>CONCATENATE(+Contacts!G458)</f>
        <v>+31 838918831</v>
      </c>
      <c r="R458" t="str">
        <f t="shared" si="203"/>
        <v/>
      </c>
      <c r="S458" s="5">
        <f t="shared" si="204"/>
        <v>1</v>
      </c>
      <c r="T458" s="5">
        <f t="shared" si="205"/>
        <v>1</v>
      </c>
      <c r="U458" s="5" t="str">
        <f>CONCATENATE(+Contacts!H458)</f>
        <v/>
      </c>
      <c r="V458" t="str">
        <f t="shared" si="206"/>
        <v/>
      </c>
      <c r="W458" s="5">
        <f t="shared" si="207"/>
        <v>1</v>
      </c>
      <c r="X458" s="5">
        <f t="shared" si="208"/>
        <v>1</v>
      </c>
      <c r="Y458" s="5" t="str">
        <f>CONCATENATE(+Contacts!F458)</f>
        <v/>
      </c>
      <c r="Z458" s="2" t="str">
        <f t="shared" si="209"/>
        <v xml:space="preserve">Vredenbregt, Jacqueline   </v>
      </c>
      <c r="AA458" s="2" t="str">
        <f>CONCATENATE(+Contacts!C458)</f>
        <v>Vredenbregt</v>
      </c>
      <c r="AB458" s="2" t="str">
        <f t="shared" si="210"/>
        <v xml:space="preserve">, </v>
      </c>
      <c r="AC458" s="2" t="str">
        <f>CONCATENATE(+Contacts!A458)</f>
        <v>Jacqueline</v>
      </c>
      <c r="AD458" s="3" t="str">
        <f>CONCATENATE(" ",+Contacts!B458)</f>
        <v xml:space="preserve"> </v>
      </c>
      <c r="AE458" s="2" t="str">
        <f t="shared" si="211"/>
        <v xml:space="preserve"> </v>
      </c>
      <c r="AF458" s="3" t="str">
        <f>CONCATENATE(+Contacts!D458)</f>
        <v/>
      </c>
      <c r="AG458" s="2" t="str">
        <f t="shared" si="212"/>
        <v xml:space="preserve"> </v>
      </c>
      <c r="AH458" t="str">
        <f>CONCATENATE(+Contacts!I458)</f>
        <v>jj.vredenbregt@kordaat.com</v>
      </c>
      <c r="AI458">
        <v>1500000010</v>
      </c>
      <c r="AJ458" s="5">
        <f t="shared" si="213"/>
        <v>1</v>
      </c>
    </row>
    <row r="459" spans="1:36" x14ac:dyDescent="0.35">
      <c r="A459" s="7" t="str">
        <f t="shared" si="188"/>
        <v/>
      </c>
      <c r="B459" s="7" t="str">
        <f t="shared" si="189"/>
        <v/>
      </c>
      <c r="C459" s="7" t="str">
        <f t="shared" si="190"/>
        <v/>
      </c>
      <c r="D459" t="str">
        <f t="shared" si="191"/>
        <v>&lt;contact&gt;&lt;category&gt;0&lt;/category&gt;&lt;person&gt;&lt;realName&gt;Waal, Alet van der  &lt;/realName&gt;&lt;/person&gt;</v>
      </c>
      <c r="E459" t="str">
        <f t="shared" si="192"/>
        <v>&lt;telephony nid="0"&gt;&lt;/telephony&gt;</v>
      </c>
      <c r="F459" t="str">
        <f t="shared" si="193"/>
        <v>&lt;telephony nid="0"&gt;</v>
      </c>
      <c r="G459" t="str">
        <f t="shared" si="194"/>
        <v/>
      </c>
      <c r="H459" t="str">
        <f t="shared" si="195"/>
        <v>&lt;services nid="1"&gt;&lt;email id="0" classifier="private"&gt;alet.vanderwaal@gmail.com&lt;/email&gt;&lt;/services&gt;&lt;setup /&gt;&lt;mod_time&gt;1500000010&lt;/mod_time&gt;&lt;uniqueid&gt;0&lt;/uniqueid&gt;&lt;/contact&gt;</v>
      </c>
      <c r="I459" t="str">
        <f t="shared" si="196"/>
        <v>&lt;services /&gt;&lt;setup /&gt;&lt;mod_time&gt;1500000010&lt;/mod_time&gt;&lt;uniqueid&gt;0&lt;/uniqueid&gt;&lt;/contact&gt;</v>
      </c>
      <c r="J459" t="str">
        <f t="shared" si="197"/>
        <v>&lt;services nid="1"&gt;&lt;email id="0" classifier="private"&gt;alet.vanderwaal@gmail.com&lt;/email&gt;&lt;/services&gt;&lt;setup /&gt;&lt;mod_time&gt;1500000010&lt;/mod_time&gt;&lt;uniqueid&gt;0&lt;/uniqueid&gt;&lt;/contact&gt;</v>
      </c>
      <c r="K459" s="5">
        <f t="shared" si="198"/>
        <v>0</v>
      </c>
      <c r="L459" s="5">
        <f t="shared" si="199"/>
        <v>0</v>
      </c>
      <c r="M459" s="5" t="str">
        <f>CONCATENATE(+Contacts!E459)</f>
        <v/>
      </c>
      <c r="N459" t="str">
        <f t="shared" si="200"/>
        <v/>
      </c>
      <c r="O459" s="5">
        <f t="shared" si="201"/>
        <v>0</v>
      </c>
      <c r="P459" s="5">
        <f t="shared" si="202"/>
        <v>0</v>
      </c>
      <c r="Q459" s="5" t="str">
        <f>CONCATENATE(+Contacts!G459)</f>
        <v/>
      </c>
      <c r="R459" t="str">
        <f t="shared" si="203"/>
        <v/>
      </c>
      <c r="S459" s="5">
        <f t="shared" si="204"/>
        <v>0</v>
      </c>
      <c r="T459" s="5">
        <f t="shared" si="205"/>
        <v>0</v>
      </c>
      <c r="U459" s="5" t="str">
        <f>CONCATENATE(+Contacts!H459)</f>
        <v/>
      </c>
      <c r="V459" t="str">
        <f t="shared" si="206"/>
        <v/>
      </c>
      <c r="W459" s="5">
        <f t="shared" si="207"/>
        <v>0</v>
      </c>
      <c r="X459" s="5">
        <f t="shared" si="208"/>
        <v>0</v>
      </c>
      <c r="Y459" s="5" t="str">
        <f>CONCATENATE(+Contacts!F459)</f>
        <v/>
      </c>
      <c r="Z459" s="2" t="str">
        <f t="shared" si="209"/>
        <v xml:space="preserve">Waal, Alet van der  </v>
      </c>
      <c r="AA459" s="2" t="str">
        <f>CONCATENATE(+Contacts!C459)</f>
        <v>Waal</v>
      </c>
      <c r="AB459" s="2" t="str">
        <f t="shared" si="210"/>
        <v xml:space="preserve">, </v>
      </c>
      <c r="AC459" s="2" t="str">
        <f>CONCATENATE(+Contacts!A459)</f>
        <v>Alet</v>
      </c>
      <c r="AD459" s="3" t="str">
        <f>CONCATENATE(" ",+Contacts!B459)</f>
        <v xml:space="preserve"> van der</v>
      </c>
      <c r="AE459" s="2" t="str">
        <f t="shared" si="211"/>
        <v xml:space="preserve"> </v>
      </c>
      <c r="AF459" s="3" t="str">
        <f>CONCATENATE(+Contacts!D459)</f>
        <v/>
      </c>
      <c r="AG459" s="2" t="str">
        <f t="shared" si="212"/>
        <v xml:space="preserve"> </v>
      </c>
      <c r="AH459" t="str">
        <f>CONCATENATE(+Contacts!I459)</f>
        <v>alet.vanderwaal@gmail.com</v>
      </c>
      <c r="AI459">
        <v>1500000010</v>
      </c>
      <c r="AJ459" s="5">
        <f t="shared" si="213"/>
        <v>0</v>
      </c>
    </row>
    <row r="460" spans="1:36" x14ac:dyDescent="0.35">
      <c r="A460" s="7" t="str">
        <f t="shared" si="188"/>
        <v>&lt;contact&gt;&lt;category&gt;0&lt;/category&gt;&lt;person&gt;&lt;realName&gt;Walsum-Mackaij, Corrie van  &lt;/realName&gt;&lt;/person&gt;</v>
      </c>
      <c r="B460" s="7" t="str">
        <f t="shared" si="189"/>
        <v>&lt;telephony nid="2"&gt;&lt;number id="0" prio="1" type="home"&gt;31135134277&lt;/number&gt;&lt;number id="1" prio="0" type="mobile"&gt;31616574510&lt;/number&gt;&lt;/telephony&gt;</v>
      </c>
      <c r="C460" s="7" t="str">
        <f t="shared" si="190"/>
        <v>&lt;services nid="1"&gt;&lt;email id="0" classifier="private"&gt;robtab63@gmail.com&lt;/email&gt;&lt;/services&gt;&lt;setup /&gt;&lt;mod_time&gt;1500000010&lt;/mod_time&gt;&lt;uniqueid&gt;1&lt;/uniqueid&gt;&lt;/contact&gt;</v>
      </c>
      <c r="D460" t="str">
        <f t="shared" si="191"/>
        <v>&lt;contact&gt;&lt;category&gt;0&lt;/category&gt;&lt;person&gt;&lt;realName&gt;Walsum-Mackaij, Corrie van  &lt;/realName&gt;&lt;/person&gt;</v>
      </c>
      <c r="E460" t="str">
        <f t="shared" si="192"/>
        <v>&lt;telephony nid="2"&gt;&lt;number id="0" prio="1" type="home"&gt;31135134277&lt;/number&gt;&lt;number id="1" prio="0" type="mobile"&gt;31616574510&lt;/number&gt;&lt;/telephony&gt;</v>
      </c>
      <c r="F460" t="str">
        <f t="shared" si="193"/>
        <v>&lt;telephony nid="2"&gt;</v>
      </c>
      <c r="G460" t="str">
        <f t="shared" si="194"/>
        <v/>
      </c>
      <c r="H460" t="str">
        <f t="shared" si="195"/>
        <v>&lt;services nid="1"&gt;&lt;email id="0" classifier="private"&gt;robtab63@gmail.com&lt;/email&gt;&lt;/services&gt;&lt;setup /&gt;&lt;mod_time&gt;1500000010&lt;/mod_time&gt;&lt;uniqueid&gt;1&lt;/uniqueid&gt;&lt;/contact&gt;</v>
      </c>
      <c r="I460" t="str">
        <f t="shared" si="196"/>
        <v>&lt;services /&gt;&lt;setup /&gt;&lt;mod_time&gt;1500000010&lt;/mod_time&gt;&lt;uniqueid&gt;1&lt;/uniqueid&gt;&lt;/contact&gt;</v>
      </c>
      <c r="J460" t="str">
        <f t="shared" si="197"/>
        <v>&lt;services nid="1"&gt;&lt;email id="0" classifier="private"&gt;robtab63@gmail.com&lt;/email&gt;&lt;/services&gt;&lt;setup /&gt;&lt;mod_time&gt;1500000010&lt;/mod_time&gt;&lt;uniqueid&gt;1&lt;/uniqueid&gt;&lt;/contact&gt;</v>
      </c>
      <c r="K460" s="5">
        <f t="shared" si="198"/>
        <v>0</v>
      </c>
      <c r="L460" s="5">
        <f t="shared" si="199"/>
        <v>0</v>
      </c>
      <c r="M460" s="5" t="str">
        <f>CONCATENATE(+Contacts!E460)</f>
        <v/>
      </c>
      <c r="N460" t="str">
        <f t="shared" si="200"/>
        <v>&lt;number id="0" prio="1" type="home"&gt;31135134277&lt;/number&gt;</v>
      </c>
      <c r="O460" s="5">
        <f t="shared" si="201"/>
        <v>1</v>
      </c>
      <c r="P460" s="5">
        <f t="shared" si="202"/>
        <v>1</v>
      </c>
      <c r="Q460" s="5" t="str">
        <f>CONCATENATE(+Contacts!G460)</f>
        <v>31135134277</v>
      </c>
      <c r="R460" t="str">
        <f t="shared" si="203"/>
        <v>&lt;number id="1" prio="0" type="mobile"&gt;31616574510&lt;/number&gt;</v>
      </c>
      <c r="S460" s="5">
        <f t="shared" si="204"/>
        <v>2</v>
      </c>
      <c r="T460" s="5">
        <f t="shared" si="205"/>
        <v>0</v>
      </c>
      <c r="U460" s="5" t="str">
        <f>CONCATENATE(+Contacts!H460)</f>
        <v>31616574510</v>
      </c>
      <c r="V460" t="str">
        <f t="shared" si="206"/>
        <v/>
      </c>
      <c r="W460" s="5">
        <f t="shared" si="207"/>
        <v>2</v>
      </c>
      <c r="X460" s="5">
        <f t="shared" si="208"/>
        <v>0</v>
      </c>
      <c r="Y460" s="5" t="str">
        <f>CONCATENATE(+Contacts!F460)</f>
        <v/>
      </c>
      <c r="Z460" s="2" t="str">
        <f t="shared" si="209"/>
        <v xml:space="preserve">Walsum-Mackaij, Corrie van  </v>
      </c>
      <c r="AA460" s="2" t="str">
        <f>CONCATENATE(+Contacts!C460)</f>
        <v>Walsum-Mackaij</v>
      </c>
      <c r="AB460" s="2" t="str">
        <f t="shared" si="210"/>
        <v xml:space="preserve">, </v>
      </c>
      <c r="AC460" s="2" t="str">
        <f>CONCATENATE(+Contacts!A460)</f>
        <v>Corrie</v>
      </c>
      <c r="AD460" s="3" t="str">
        <f>CONCATENATE(" ",+Contacts!B460)</f>
        <v xml:space="preserve"> van</v>
      </c>
      <c r="AE460" s="2" t="str">
        <f t="shared" si="211"/>
        <v xml:space="preserve"> </v>
      </c>
      <c r="AF460" s="3" t="str">
        <f>CONCATENATE(+Contacts!D460)</f>
        <v/>
      </c>
      <c r="AG460" s="2" t="str">
        <f t="shared" si="212"/>
        <v xml:space="preserve"> </v>
      </c>
      <c r="AH460" t="str">
        <f>CONCATENATE(+Contacts!I460)</f>
        <v>robtab63@gmail.com</v>
      </c>
      <c r="AI460">
        <v>1500000010</v>
      </c>
      <c r="AJ460" s="5">
        <f t="shared" si="213"/>
        <v>1</v>
      </c>
    </row>
    <row r="461" spans="1:36" x14ac:dyDescent="0.35">
      <c r="A461" s="7" t="str">
        <f t="shared" si="188"/>
        <v>&lt;contact&gt;&lt;category&gt;0&lt;/category&gt;&lt;person&gt;&lt;realName&gt;Wareman, Hein    &lt;/realName&gt;&lt;/person&gt;</v>
      </c>
      <c r="B461" s="7" t="str">
        <f t="shared" si="189"/>
        <v>&lt;telephony nid="1"&gt;&lt;number id="0" prio="1" type="home"&gt;+31 74 277 32 61&lt;/number&gt;&lt;/telephony&gt;</v>
      </c>
      <c r="C461" s="7" t="str">
        <f t="shared" si="190"/>
        <v>&lt;services nid="1"&gt;&lt;email id="0" classifier="private"&gt;h.w.wareman@outlook.com&lt;/email&gt;&lt;/services&gt;&lt;setup /&gt;&lt;mod_time&gt;1500000010&lt;/mod_time&gt;&lt;uniqueid&gt;1&lt;/uniqueid&gt;&lt;/contact&gt;</v>
      </c>
      <c r="D461" t="str">
        <f t="shared" si="191"/>
        <v>&lt;contact&gt;&lt;category&gt;0&lt;/category&gt;&lt;person&gt;&lt;realName&gt;Wareman, Hein    &lt;/realName&gt;&lt;/person&gt;</v>
      </c>
      <c r="E461" t="str">
        <f t="shared" si="192"/>
        <v>&lt;telephony nid="1"&gt;&lt;number id="0" prio="1" type="home"&gt;+31 74 277 32 61&lt;/number&gt;&lt;/telephony&gt;</v>
      </c>
      <c r="F461" t="str">
        <f t="shared" si="193"/>
        <v>&lt;telephony nid="1"&gt;</v>
      </c>
      <c r="G461" t="str">
        <f t="shared" si="194"/>
        <v/>
      </c>
      <c r="H461" t="str">
        <f t="shared" si="195"/>
        <v>&lt;services nid="1"&gt;&lt;email id="0" classifier="private"&gt;h.w.wareman@outlook.com&lt;/email&gt;&lt;/services&gt;&lt;setup /&gt;&lt;mod_time&gt;1500000010&lt;/mod_time&gt;&lt;uniqueid&gt;1&lt;/uniqueid&gt;&lt;/contact&gt;</v>
      </c>
      <c r="I461" t="str">
        <f t="shared" si="196"/>
        <v>&lt;services /&gt;&lt;setup /&gt;&lt;mod_time&gt;1500000010&lt;/mod_time&gt;&lt;uniqueid&gt;1&lt;/uniqueid&gt;&lt;/contact&gt;</v>
      </c>
      <c r="J461" t="str">
        <f t="shared" si="197"/>
        <v>&lt;services nid="1"&gt;&lt;email id="0" classifier="private"&gt;h.w.wareman@outlook.com&lt;/email&gt;&lt;/services&gt;&lt;setup /&gt;&lt;mod_time&gt;1500000010&lt;/mod_time&gt;&lt;uniqueid&gt;1&lt;/uniqueid&gt;&lt;/contact&gt;</v>
      </c>
      <c r="K461" s="5">
        <f t="shared" si="198"/>
        <v>0</v>
      </c>
      <c r="L461" s="5">
        <f t="shared" si="199"/>
        <v>0</v>
      </c>
      <c r="M461" s="5" t="str">
        <f>CONCATENATE(+Contacts!E461)</f>
        <v/>
      </c>
      <c r="N461" t="str">
        <f t="shared" si="200"/>
        <v>&lt;number id="0" prio="1" type="home"&gt;+31 74 277 32 61&lt;/number&gt;</v>
      </c>
      <c r="O461" s="5">
        <f t="shared" si="201"/>
        <v>1</v>
      </c>
      <c r="P461" s="5">
        <f t="shared" si="202"/>
        <v>1</v>
      </c>
      <c r="Q461" s="5" t="str">
        <f>CONCATENATE(+Contacts!G461)</f>
        <v>+31 74 277 32 61</v>
      </c>
      <c r="R461" t="str">
        <f t="shared" si="203"/>
        <v/>
      </c>
      <c r="S461" s="5">
        <f t="shared" si="204"/>
        <v>1</v>
      </c>
      <c r="T461" s="5">
        <f t="shared" si="205"/>
        <v>1</v>
      </c>
      <c r="U461" s="5" t="str">
        <f>CONCATENATE(+Contacts!H461)</f>
        <v/>
      </c>
      <c r="V461" t="str">
        <f t="shared" si="206"/>
        <v/>
      </c>
      <c r="W461" s="5">
        <f t="shared" si="207"/>
        <v>1</v>
      </c>
      <c r="X461" s="5">
        <f t="shared" si="208"/>
        <v>1</v>
      </c>
      <c r="Y461" s="5" t="str">
        <f>CONCATENATE(+Contacts!F461)</f>
        <v/>
      </c>
      <c r="Z461" s="2" t="str">
        <f t="shared" si="209"/>
        <v xml:space="preserve">Wareman, Hein    </v>
      </c>
      <c r="AA461" s="2" t="str">
        <f>CONCATENATE(+Contacts!C461)</f>
        <v>Wareman</v>
      </c>
      <c r="AB461" s="2" t="str">
        <f t="shared" si="210"/>
        <v xml:space="preserve">, </v>
      </c>
      <c r="AC461" s="2" t="str">
        <f>CONCATENATE(+Contacts!A461)</f>
        <v xml:space="preserve">Hein </v>
      </c>
      <c r="AD461" s="3" t="str">
        <f>CONCATENATE(" ",+Contacts!B461)</f>
        <v xml:space="preserve"> </v>
      </c>
      <c r="AE461" s="2" t="str">
        <f t="shared" si="211"/>
        <v xml:space="preserve"> </v>
      </c>
      <c r="AF461" s="3" t="str">
        <f>CONCATENATE(+Contacts!D461)</f>
        <v/>
      </c>
      <c r="AG461" s="2" t="str">
        <f t="shared" si="212"/>
        <v xml:space="preserve"> </v>
      </c>
      <c r="AH461" t="str">
        <f>CONCATENATE(+Contacts!I461)</f>
        <v>h.w.wareman@outlook.com</v>
      </c>
      <c r="AI461">
        <v>1500000010</v>
      </c>
      <c r="AJ461" s="5">
        <f t="shared" si="213"/>
        <v>1</v>
      </c>
    </row>
    <row r="462" spans="1:36" x14ac:dyDescent="0.35">
      <c r="A462" s="7" t="str">
        <f t="shared" si="188"/>
        <v>&lt;contact&gt;&lt;category&gt;0&lt;/category&gt;&lt;person&gt;&lt;realName&gt;Wareman, Suzanne   &lt;/realName&gt;&lt;/person&gt;</v>
      </c>
      <c r="B462" s="7" t="str">
        <f t="shared" si="189"/>
        <v>&lt;telephony nid="1"&gt;&lt;number id="0" prio="1" type="home"&gt;00 31 6 44 05 28 71&lt;/number&gt;&lt;/telephony&gt;</v>
      </c>
      <c r="C462" s="7" t="str">
        <f t="shared" si="190"/>
        <v>&lt;services /&gt;&lt;setup /&gt;&lt;mod_time&gt;1500000010&lt;/mod_time&gt;&lt;uniqueid&gt;1&lt;/uniqueid&gt;&lt;/contact&gt;</v>
      </c>
      <c r="D462" t="str">
        <f t="shared" si="191"/>
        <v>&lt;contact&gt;&lt;category&gt;0&lt;/category&gt;&lt;person&gt;&lt;realName&gt;Wareman, Suzanne   &lt;/realName&gt;&lt;/person&gt;</v>
      </c>
      <c r="E462" t="str">
        <f t="shared" si="192"/>
        <v>&lt;telephony nid="1"&gt;&lt;number id="0" prio="1" type="home"&gt;00 31 6 44 05 28 71&lt;/number&gt;&lt;/telephony&gt;</v>
      </c>
      <c r="F462" t="str">
        <f t="shared" si="193"/>
        <v>&lt;telephony nid="1"&gt;</v>
      </c>
      <c r="G462" t="str">
        <f t="shared" si="194"/>
        <v/>
      </c>
      <c r="H462" t="str">
        <f t="shared" si="195"/>
        <v>&lt;services nid="1"&gt;&lt;email id="0" classifier="private"&gt;&lt;/email&gt;&lt;/services&gt;&lt;setup /&gt;&lt;mod_time&gt;1500000010&lt;/mod_time&gt;&lt;uniqueid&gt;1&lt;/uniqueid&gt;&lt;/contact&gt;</v>
      </c>
      <c r="I462" t="str">
        <f t="shared" si="196"/>
        <v>&lt;services /&gt;&lt;setup /&gt;&lt;mod_time&gt;1500000010&lt;/mod_time&gt;&lt;uniqueid&gt;1&lt;/uniqueid&gt;&lt;/contact&gt;</v>
      </c>
      <c r="J462" t="str">
        <f t="shared" si="197"/>
        <v>&lt;services /&gt;&lt;setup /&gt;&lt;mod_time&gt;1500000010&lt;/mod_time&gt;&lt;uniqueid&gt;1&lt;/uniqueid&gt;&lt;/contact&gt;</v>
      </c>
      <c r="K462" s="5">
        <f t="shared" si="198"/>
        <v>0</v>
      </c>
      <c r="L462" s="5">
        <f t="shared" si="199"/>
        <v>0</v>
      </c>
      <c r="M462" s="5" t="str">
        <f>CONCATENATE(+Contacts!E462)</f>
        <v/>
      </c>
      <c r="N462" t="str">
        <f t="shared" si="200"/>
        <v>&lt;number id="0" prio="1" type="home"&gt;00 31 6 44 05 28 71&lt;/number&gt;</v>
      </c>
      <c r="O462" s="5">
        <f t="shared" si="201"/>
        <v>1</v>
      </c>
      <c r="P462" s="5">
        <f t="shared" si="202"/>
        <v>1</v>
      </c>
      <c r="Q462" s="5" t="str">
        <f>CONCATENATE(+Contacts!G462)</f>
        <v>00 31 6 44 05 28 71</v>
      </c>
      <c r="R462" t="str">
        <f t="shared" si="203"/>
        <v/>
      </c>
      <c r="S462" s="5">
        <f t="shared" si="204"/>
        <v>1</v>
      </c>
      <c r="T462" s="5">
        <f t="shared" si="205"/>
        <v>1</v>
      </c>
      <c r="U462" s="5" t="str">
        <f>CONCATENATE(+Contacts!H462)</f>
        <v/>
      </c>
      <c r="V462" t="str">
        <f t="shared" si="206"/>
        <v/>
      </c>
      <c r="W462" s="5">
        <f t="shared" si="207"/>
        <v>1</v>
      </c>
      <c r="X462" s="5">
        <f t="shared" si="208"/>
        <v>1</v>
      </c>
      <c r="Y462" s="5" t="str">
        <f>CONCATENATE(+Contacts!F462)</f>
        <v/>
      </c>
      <c r="Z462" s="2" t="str">
        <f t="shared" si="209"/>
        <v xml:space="preserve">Wareman, Suzanne   </v>
      </c>
      <c r="AA462" s="2" t="str">
        <f>CONCATENATE(+Contacts!C462)</f>
        <v>Wareman</v>
      </c>
      <c r="AB462" s="2" t="str">
        <f t="shared" si="210"/>
        <v xml:space="preserve">, </v>
      </c>
      <c r="AC462" s="2" t="str">
        <f>CONCATENATE(+Contacts!A462)</f>
        <v>Suzanne</v>
      </c>
      <c r="AD462" s="3" t="str">
        <f>CONCATENATE(" ",+Contacts!B462)</f>
        <v xml:space="preserve"> </v>
      </c>
      <c r="AE462" s="2" t="str">
        <f t="shared" si="211"/>
        <v xml:space="preserve"> </v>
      </c>
      <c r="AF462" s="3" t="str">
        <f>CONCATENATE(+Contacts!D462)</f>
        <v/>
      </c>
      <c r="AG462" s="2" t="str">
        <f t="shared" si="212"/>
        <v xml:space="preserve"> </v>
      </c>
      <c r="AH462" t="str">
        <f>CONCATENATE(+Contacts!I462)</f>
        <v/>
      </c>
      <c r="AI462">
        <v>1500000010</v>
      </c>
      <c r="AJ462" s="5">
        <f t="shared" si="213"/>
        <v>1</v>
      </c>
    </row>
    <row r="463" spans="1:36" x14ac:dyDescent="0.35">
      <c r="A463" s="7" t="str">
        <f t="shared" si="188"/>
        <v>&lt;contact&gt;&lt;category&gt;0&lt;/category&gt;&lt;person&gt;&lt;realName&gt;Wart, Arjan van der  &lt;/realName&gt;&lt;/person&gt;</v>
      </c>
      <c r="B463" s="7" t="str">
        <f t="shared" si="189"/>
        <v>&lt;telephony nid="1"&gt;&lt;number id="0" prio="1" type="home"&gt;+31 6 38 91 92 25&lt;/number&gt;&lt;/telephony&gt;</v>
      </c>
      <c r="C463" s="7" t="str">
        <f t="shared" si="190"/>
        <v>&lt;services nid="1"&gt;&lt;email id="0" classifier="private"&gt;arjan.vanderwart@planet.nl&lt;/email&gt;&lt;/services&gt;&lt;setup /&gt;&lt;mod_time&gt;1500000010&lt;/mod_time&gt;&lt;uniqueid&gt;1&lt;/uniqueid&gt;&lt;/contact&gt;</v>
      </c>
      <c r="D463" t="str">
        <f t="shared" si="191"/>
        <v>&lt;contact&gt;&lt;category&gt;0&lt;/category&gt;&lt;person&gt;&lt;realName&gt;Wart, Arjan van der  &lt;/realName&gt;&lt;/person&gt;</v>
      </c>
      <c r="E463" t="str">
        <f t="shared" si="192"/>
        <v>&lt;telephony nid="1"&gt;&lt;number id="0" prio="1" type="home"&gt;+31 6 38 91 92 25&lt;/number&gt;&lt;/telephony&gt;</v>
      </c>
      <c r="F463" t="str">
        <f t="shared" si="193"/>
        <v>&lt;telephony nid="1"&gt;</v>
      </c>
      <c r="G463" t="str">
        <f t="shared" si="194"/>
        <v/>
      </c>
      <c r="H463" t="str">
        <f t="shared" si="195"/>
        <v>&lt;services nid="1"&gt;&lt;email id="0" classifier="private"&gt;arjan.vanderwart@planet.nl&lt;/email&gt;&lt;/services&gt;&lt;setup /&gt;&lt;mod_time&gt;1500000010&lt;/mod_time&gt;&lt;uniqueid&gt;1&lt;/uniqueid&gt;&lt;/contact&gt;</v>
      </c>
      <c r="I463" t="str">
        <f t="shared" si="196"/>
        <v>&lt;services /&gt;&lt;setup /&gt;&lt;mod_time&gt;1500000010&lt;/mod_time&gt;&lt;uniqueid&gt;1&lt;/uniqueid&gt;&lt;/contact&gt;</v>
      </c>
      <c r="J463" t="str">
        <f t="shared" si="197"/>
        <v>&lt;services nid="1"&gt;&lt;email id="0" classifier="private"&gt;arjan.vanderwart@planet.nl&lt;/email&gt;&lt;/services&gt;&lt;setup /&gt;&lt;mod_time&gt;1500000010&lt;/mod_time&gt;&lt;uniqueid&gt;1&lt;/uniqueid&gt;&lt;/contact&gt;</v>
      </c>
      <c r="K463" s="5">
        <f t="shared" si="198"/>
        <v>0</v>
      </c>
      <c r="L463" s="5">
        <f t="shared" si="199"/>
        <v>0</v>
      </c>
      <c r="M463" s="5" t="str">
        <f>CONCATENATE(+Contacts!E463)</f>
        <v/>
      </c>
      <c r="N463" t="str">
        <f t="shared" si="200"/>
        <v>&lt;number id="0" prio="1" type="home"&gt;+31 6 38 91 92 25&lt;/number&gt;</v>
      </c>
      <c r="O463" s="5">
        <f t="shared" si="201"/>
        <v>1</v>
      </c>
      <c r="P463" s="5">
        <f t="shared" si="202"/>
        <v>1</v>
      </c>
      <c r="Q463" s="5" t="str">
        <f>CONCATENATE(+Contacts!G463)</f>
        <v>+31 6 38 91 92 25</v>
      </c>
      <c r="R463" t="str">
        <f t="shared" si="203"/>
        <v/>
      </c>
      <c r="S463" s="5">
        <f t="shared" si="204"/>
        <v>1</v>
      </c>
      <c r="T463" s="5">
        <f t="shared" si="205"/>
        <v>1</v>
      </c>
      <c r="U463" s="5" t="str">
        <f>CONCATENATE(+Contacts!H463)</f>
        <v/>
      </c>
      <c r="V463" t="str">
        <f t="shared" si="206"/>
        <v/>
      </c>
      <c r="W463" s="5">
        <f t="shared" si="207"/>
        <v>1</v>
      </c>
      <c r="X463" s="5">
        <f t="shared" si="208"/>
        <v>1</v>
      </c>
      <c r="Y463" s="5" t="str">
        <f>CONCATENATE(+Contacts!F463)</f>
        <v/>
      </c>
      <c r="Z463" s="2" t="str">
        <f t="shared" si="209"/>
        <v xml:space="preserve">Wart, Arjan van der  </v>
      </c>
      <c r="AA463" s="2" t="str">
        <f>CONCATENATE(+Contacts!C463)</f>
        <v>Wart</v>
      </c>
      <c r="AB463" s="2" t="str">
        <f t="shared" si="210"/>
        <v xml:space="preserve">, </v>
      </c>
      <c r="AC463" s="2" t="str">
        <f>CONCATENATE(+Contacts!A463)</f>
        <v>Arjan</v>
      </c>
      <c r="AD463" s="3" t="str">
        <f>CONCATENATE(" ",+Contacts!B463)</f>
        <v xml:space="preserve"> van der</v>
      </c>
      <c r="AE463" s="2" t="str">
        <f t="shared" si="211"/>
        <v xml:space="preserve"> </v>
      </c>
      <c r="AF463" s="3" t="str">
        <f>CONCATENATE(+Contacts!D463)</f>
        <v/>
      </c>
      <c r="AG463" s="2" t="str">
        <f t="shared" si="212"/>
        <v xml:space="preserve"> </v>
      </c>
      <c r="AH463" t="str">
        <f>CONCATENATE(+Contacts!I463)</f>
        <v>arjan.vanderwart@planet.nl</v>
      </c>
      <c r="AI463">
        <v>1500000010</v>
      </c>
      <c r="AJ463" s="5">
        <f t="shared" si="213"/>
        <v>1</v>
      </c>
    </row>
    <row r="464" spans="1:36" x14ac:dyDescent="0.35">
      <c r="A464" s="7" t="str">
        <f t="shared" si="188"/>
        <v/>
      </c>
      <c r="B464" s="7" t="str">
        <f t="shared" si="189"/>
        <v/>
      </c>
      <c r="C464" s="7" t="str">
        <f t="shared" si="190"/>
        <v/>
      </c>
      <c r="D464" t="str">
        <f t="shared" si="191"/>
        <v>&lt;contact&gt;&lt;category&gt;0&lt;/category&gt;&lt;person&gt;&lt;realName&gt;Wart, Arjan &amp;amp; Matanja van der  &lt;/realName&gt;&lt;/person&gt;</v>
      </c>
      <c r="E464" t="str">
        <f t="shared" si="192"/>
        <v>&lt;telephony nid="0"&gt;&lt;/telephony&gt;</v>
      </c>
      <c r="F464" t="str">
        <f t="shared" si="193"/>
        <v>&lt;telephony nid="0"&gt;</v>
      </c>
      <c r="G464" t="str">
        <f t="shared" si="194"/>
        <v/>
      </c>
      <c r="H464" t="str">
        <f t="shared" si="195"/>
        <v>&lt;services nid="1"&gt;&lt;email id="0" classifier="private"&gt;arjan.matanja@planet.nl&lt;/email&gt;&lt;/services&gt;&lt;setup /&gt;&lt;mod_time&gt;1500000010&lt;/mod_time&gt;&lt;uniqueid&gt;0&lt;/uniqueid&gt;&lt;/contact&gt;</v>
      </c>
      <c r="I464" t="str">
        <f t="shared" si="196"/>
        <v>&lt;services /&gt;&lt;setup /&gt;&lt;mod_time&gt;1500000010&lt;/mod_time&gt;&lt;uniqueid&gt;0&lt;/uniqueid&gt;&lt;/contact&gt;</v>
      </c>
      <c r="J464" t="str">
        <f t="shared" si="197"/>
        <v>&lt;services nid="1"&gt;&lt;email id="0" classifier="private"&gt;arjan.matanja@planet.nl&lt;/email&gt;&lt;/services&gt;&lt;setup /&gt;&lt;mod_time&gt;1500000010&lt;/mod_time&gt;&lt;uniqueid&gt;0&lt;/uniqueid&gt;&lt;/contact&gt;</v>
      </c>
      <c r="K464" s="5">
        <f t="shared" si="198"/>
        <v>0</v>
      </c>
      <c r="L464" s="5">
        <f t="shared" si="199"/>
        <v>0</v>
      </c>
      <c r="M464" s="5" t="str">
        <f>CONCATENATE(+Contacts!E464)</f>
        <v/>
      </c>
      <c r="N464" t="str">
        <f t="shared" si="200"/>
        <v/>
      </c>
      <c r="O464" s="5">
        <f t="shared" si="201"/>
        <v>0</v>
      </c>
      <c r="P464" s="5">
        <f t="shared" si="202"/>
        <v>0</v>
      </c>
      <c r="Q464" s="5" t="str">
        <f>CONCATENATE(+Contacts!G464)</f>
        <v/>
      </c>
      <c r="R464" t="str">
        <f t="shared" si="203"/>
        <v/>
      </c>
      <c r="S464" s="5">
        <f t="shared" si="204"/>
        <v>0</v>
      </c>
      <c r="T464" s="5">
        <f t="shared" si="205"/>
        <v>0</v>
      </c>
      <c r="U464" s="5" t="str">
        <f>CONCATENATE(+Contacts!H464)</f>
        <v/>
      </c>
      <c r="V464" t="str">
        <f t="shared" si="206"/>
        <v/>
      </c>
      <c r="W464" s="5">
        <f t="shared" si="207"/>
        <v>0</v>
      </c>
      <c r="X464" s="5">
        <f t="shared" si="208"/>
        <v>0</v>
      </c>
      <c r="Y464" s="5" t="str">
        <f>CONCATENATE(+Contacts!F464)</f>
        <v/>
      </c>
      <c r="Z464" s="2" t="str">
        <f t="shared" si="209"/>
        <v xml:space="preserve">Wart, Arjan &amp;amp; Matanja van der  </v>
      </c>
      <c r="AA464" s="2" t="str">
        <f>CONCATENATE(+Contacts!C464)</f>
        <v>Wart</v>
      </c>
      <c r="AB464" s="2" t="str">
        <f t="shared" si="210"/>
        <v xml:space="preserve">, </v>
      </c>
      <c r="AC464" s="2" t="str">
        <f>CONCATENATE(+Contacts!A464)</f>
        <v>Arjan &amp;amp; Matanja</v>
      </c>
      <c r="AD464" s="3" t="str">
        <f>CONCATENATE(" ",+Contacts!B464)</f>
        <v xml:space="preserve"> van der</v>
      </c>
      <c r="AE464" s="2" t="str">
        <f t="shared" si="211"/>
        <v xml:space="preserve"> </v>
      </c>
      <c r="AF464" s="3" t="str">
        <f>CONCATENATE(+Contacts!D464)</f>
        <v/>
      </c>
      <c r="AG464" s="2" t="str">
        <f t="shared" si="212"/>
        <v xml:space="preserve"> </v>
      </c>
      <c r="AH464" t="str">
        <f>CONCATENATE(+Contacts!I464)</f>
        <v>arjan.matanja@planet.nl</v>
      </c>
      <c r="AI464">
        <v>1500000010</v>
      </c>
      <c r="AJ464" s="5">
        <f t="shared" si="213"/>
        <v>0</v>
      </c>
    </row>
    <row r="465" spans="1:36" x14ac:dyDescent="0.35">
      <c r="A465" s="7" t="str">
        <f t="shared" si="188"/>
        <v/>
      </c>
      <c r="B465" s="7" t="str">
        <f t="shared" si="189"/>
        <v/>
      </c>
      <c r="C465" s="7" t="str">
        <f t="shared" si="190"/>
        <v/>
      </c>
      <c r="D465" t="str">
        <f t="shared" si="191"/>
        <v>&lt;contact&gt;&lt;category&gt;0&lt;/category&gt;&lt;person&gt;&lt;realName&gt;Wehrlen-Vogel, Guillaume &amp;amp; Gaëlle   &lt;/realName&gt;&lt;/person&gt;</v>
      </c>
      <c r="E465" t="str">
        <f t="shared" si="192"/>
        <v>&lt;telephony nid="0"&gt;&lt;/telephony&gt;</v>
      </c>
      <c r="F465" t="str">
        <f t="shared" si="193"/>
        <v>&lt;telephony nid="0"&gt;</v>
      </c>
      <c r="G465" t="str">
        <f t="shared" si="194"/>
        <v/>
      </c>
      <c r="H465" t="str">
        <f t="shared" si="195"/>
        <v>&lt;services nid="1"&gt;&lt;email id="0" classifier="private"&gt;&lt;/email&gt;&lt;/services&gt;&lt;setup /&gt;&lt;mod_time&gt;1500000010&lt;/mod_time&gt;&lt;uniqueid&gt;0&lt;/uniqueid&gt;&lt;/contact&gt;</v>
      </c>
      <c r="I465" t="str">
        <f t="shared" si="196"/>
        <v>&lt;services /&gt;&lt;setup /&gt;&lt;mod_time&gt;1500000010&lt;/mod_time&gt;&lt;uniqueid&gt;0&lt;/uniqueid&gt;&lt;/contact&gt;</v>
      </c>
      <c r="J465" t="str">
        <f t="shared" si="197"/>
        <v>&lt;services /&gt;&lt;setup /&gt;&lt;mod_time&gt;1500000010&lt;/mod_time&gt;&lt;uniqueid&gt;0&lt;/uniqueid&gt;&lt;/contact&gt;</v>
      </c>
      <c r="K465" s="5">
        <f t="shared" si="198"/>
        <v>0</v>
      </c>
      <c r="L465" s="5">
        <f t="shared" si="199"/>
        <v>0</v>
      </c>
      <c r="M465" s="5" t="str">
        <f>CONCATENATE(+Contacts!E465)</f>
        <v/>
      </c>
      <c r="N465" t="str">
        <f t="shared" si="200"/>
        <v/>
      </c>
      <c r="O465" s="5">
        <f t="shared" si="201"/>
        <v>0</v>
      </c>
      <c r="P465" s="5">
        <f t="shared" si="202"/>
        <v>0</v>
      </c>
      <c r="Q465" s="5" t="str">
        <f>CONCATENATE(+Contacts!G465)</f>
        <v/>
      </c>
      <c r="R465" t="str">
        <f t="shared" si="203"/>
        <v/>
      </c>
      <c r="S465" s="5">
        <f t="shared" si="204"/>
        <v>0</v>
      </c>
      <c r="T465" s="5">
        <f t="shared" si="205"/>
        <v>0</v>
      </c>
      <c r="U465" s="5" t="str">
        <f>CONCATENATE(+Contacts!H465)</f>
        <v/>
      </c>
      <c r="V465" t="str">
        <f t="shared" si="206"/>
        <v/>
      </c>
      <c r="W465" s="5">
        <f t="shared" si="207"/>
        <v>0</v>
      </c>
      <c r="X465" s="5">
        <f t="shared" si="208"/>
        <v>0</v>
      </c>
      <c r="Y465" s="5" t="str">
        <f>CONCATENATE(+Contacts!F465)</f>
        <v/>
      </c>
      <c r="Z465" s="2" t="str">
        <f t="shared" si="209"/>
        <v xml:space="preserve">Wehrlen-Vogel, Guillaume &amp;amp; Gaëlle   </v>
      </c>
      <c r="AA465" s="2" t="str">
        <f>CONCATENATE(+Contacts!C465)</f>
        <v>Wehrlen-Vogel</v>
      </c>
      <c r="AB465" s="2" t="str">
        <f t="shared" si="210"/>
        <v xml:space="preserve">, </v>
      </c>
      <c r="AC465" s="2" t="str">
        <f>CONCATENATE(+Contacts!A465)</f>
        <v>Guillaume &amp;amp; Gaëlle</v>
      </c>
      <c r="AD465" s="3" t="str">
        <f>CONCATENATE(" ",+Contacts!B465)</f>
        <v xml:space="preserve"> </v>
      </c>
      <c r="AE465" s="2" t="str">
        <f t="shared" si="211"/>
        <v xml:space="preserve"> </v>
      </c>
      <c r="AF465" s="3" t="str">
        <f>CONCATENATE(+Contacts!D465)</f>
        <v/>
      </c>
      <c r="AG465" s="2" t="str">
        <f t="shared" si="212"/>
        <v xml:space="preserve"> </v>
      </c>
      <c r="AH465" t="str">
        <f>CONCATENATE(+Contacts!I465)</f>
        <v/>
      </c>
      <c r="AI465">
        <v>1500000010</v>
      </c>
      <c r="AJ465" s="5">
        <f t="shared" si="213"/>
        <v>0</v>
      </c>
    </row>
    <row r="466" spans="1:36" x14ac:dyDescent="0.35">
      <c r="A466" s="7" t="str">
        <f t="shared" si="188"/>
        <v>&lt;contact&gt;&lt;category&gt;0&lt;/category&gt;&lt;person&gt;&lt;realName&gt;Wehrlen, Rémy   &lt;/realName&gt;&lt;/person&gt;</v>
      </c>
      <c r="B466" s="7" t="str">
        <f t="shared" si="189"/>
        <v>&lt;telephony nid="1"&gt;&lt;number id="0" prio="1" type="home"&gt;+33 389762514&lt;/number&gt;&lt;/telephony&gt;</v>
      </c>
      <c r="C466" s="7" t="str">
        <f t="shared" si="190"/>
        <v>&lt;services nid="1"&gt;&lt;email id="0" classifier="private"&gt;remy.wehrlen@wanadoo.fr&lt;/email&gt;&lt;/services&gt;&lt;setup /&gt;&lt;mod_time&gt;1500000010&lt;/mod_time&gt;&lt;uniqueid&gt;1&lt;/uniqueid&gt;&lt;/contact&gt;</v>
      </c>
      <c r="D466" t="str">
        <f t="shared" si="191"/>
        <v>&lt;contact&gt;&lt;category&gt;0&lt;/category&gt;&lt;person&gt;&lt;realName&gt;Wehrlen, Rémy   &lt;/realName&gt;&lt;/person&gt;</v>
      </c>
      <c r="E466" t="str">
        <f t="shared" si="192"/>
        <v>&lt;telephony nid="1"&gt;&lt;number id="0" prio="1" type="home"&gt;+33 389762514&lt;/number&gt;&lt;/telephony&gt;</v>
      </c>
      <c r="F466" t="str">
        <f t="shared" si="193"/>
        <v>&lt;telephony nid="1"&gt;</v>
      </c>
      <c r="G466" t="str">
        <f t="shared" si="194"/>
        <v/>
      </c>
      <c r="H466" t="str">
        <f t="shared" si="195"/>
        <v>&lt;services nid="1"&gt;&lt;email id="0" classifier="private"&gt;remy.wehrlen@wanadoo.fr&lt;/email&gt;&lt;/services&gt;&lt;setup /&gt;&lt;mod_time&gt;1500000010&lt;/mod_time&gt;&lt;uniqueid&gt;1&lt;/uniqueid&gt;&lt;/contact&gt;</v>
      </c>
      <c r="I466" t="str">
        <f t="shared" si="196"/>
        <v>&lt;services /&gt;&lt;setup /&gt;&lt;mod_time&gt;1500000010&lt;/mod_time&gt;&lt;uniqueid&gt;1&lt;/uniqueid&gt;&lt;/contact&gt;</v>
      </c>
      <c r="J466" t="str">
        <f t="shared" si="197"/>
        <v>&lt;services nid="1"&gt;&lt;email id="0" classifier="private"&gt;remy.wehrlen@wanadoo.fr&lt;/email&gt;&lt;/services&gt;&lt;setup /&gt;&lt;mod_time&gt;1500000010&lt;/mod_time&gt;&lt;uniqueid&gt;1&lt;/uniqueid&gt;&lt;/contact&gt;</v>
      </c>
      <c r="K466" s="5">
        <f t="shared" si="198"/>
        <v>0</v>
      </c>
      <c r="L466" s="5">
        <f t="shared" si="199"/>
        <v>0</v>
      </c>
      <c r="M466" s="5" t="str">
        <f>CONCATENATE(+Contacts!E466)</f>
        <v/>
      </c>
      <c r="N466" t="str">
        <f t="shared" si="200"/>
        <v>&lt;number id="0" prio="1" type="home"&gt;+33 389762514&lt;/number&gt;</v>
      </c>
      <c r="O466" s="5">
        <f t="shared" si="201"/>
        <v>1</v>
      </c>
      <c r="P466" s="5">
        <f t="shared" si="202"/>
        <v>1</v>
      </c>
      <c r="Q466" s="5" t="str">
        <f>CONCATENATE(+Contacts!G466)</f>
        <v>+33 389762514</v>
      </c>
      <c r="R466" t="str">
        <f t="shared" si="203"/>
        <v/>
      </c>
      <c r="S466" s="5">
        <f t="shared" si="204"/>
        <v>1</v>
      </c>
      <c r="T466" s="5">
        <f t="shared" si="205"/>
        <v>1</v>
      </c>
      <c r="U466" s="5" t="str">
        <f>CONCATENATE(+Contacts!H466)</f>
        <v/>
      </c>
      <c r="V466" t="str">
        <f t="shared" si="206"/>
        <v/>
      </c>
      <c r="W466" s="5">
        <f t="shared" si="207"/>
        <v>1</v>
      </c>
      <c r="X466" s="5">
        <f t="shared" si="208"/>
        <v>1</v>
      </c>
      <c r="Y466" s="5" t="str">
        <f>CONCATENATE(+Contacts!F466)</f>
        <v/>
      </c>
      <c r="Z466" s="2" t="str">
        <f t="shared" si="209"/>
        <v xml:space="preserve">Wehrlen, Rémy   </v>
      </c>
      <c r="AA466" s="2" t="str">
        <f>CONCATENATE(+Contacts!C466)</f>
        <v>Wehrlen</v>
      </c>
      <c r="AB466" s="2" t="str">
        <f t="shared" si="210"/>
        <v xml:space="preserve">, </v>
      </c>
      <c r="AC466" s="2" t="str">
        <f>CONCATENATE(+Contacts!A466)</f>
        <v>Rémy</v>
      </c>
      <c r="AD466" s="3" t="str">
        <f>CONCATENATE(" ",+Contacts!B466)</f>
        <v xml:space="preserve"> </v>
      </c>
      <c r="AE466" s="2" t="str">
        <f t="shared" si="211"/>
        <v xml:space="preserve"> </v>
      </c>
      <c r="AF466" s="3" t="str">
        <f>CONCATENATE(+Contacts!D466)</f>
        <v/>
      </c>
      <c r="AG466" s="2" t="str">
        <f t="shared" si="212"/>
        <v xml:space="preserve"> </v>
      </c>
      <c r="AH466" t="str">
        <f>CONCATENATE(+Contacts!I466)</f>
        <v>remy.wehrlen@wanadoo.fr</v>
      </c>
      <c r="AI466">
        <v>1500000010</v>
      </c>
      <c r="AJ466" s="5">
        <f t="shared" si="213"/>
        <v>1</v>
      </c>
    </row>
    <row r="467" spans="1:36" x14ac:dyDescent="0.35">
      <c r="A467" s="7" t="str">
        <f t="shared" si="188"/>
        <v/>
      </c>
      <c r="B467" s="7" t="str">
        <f t="shared" si="189"/>
        <v/>
      </c>
      <c r="C467" s="7" t="str">
        <f t="shared" si="190"/>
        <v/>
      </c>
      <c r="D467" t="str">
        <f t="shared" si="191"/>
        <v>&lt;contact&gt;&lt;category&gt;0&lt;/category&gt;&lt;person&gt;&lt;realName&gt;Wehrlen, Sophie   &lt;/realName&gt;&lt;/person&gt;</v>
      </c>
      <c r="E467" t="str">
        <f t="shared" si="192"/>
        <v>&lt;telephony nid="0"&gt;&lt;/telephony&gt;</v>
      </c>
      <c r="F467" t="str">
        <f t="shared" si="193"/>
        <v>&lt;telephony nid="0"&gt;</v>
      </c>
      <c r="G467" t="str">
        <f t="shared" si="194"/>
        <v/>
      </c>
      <c r="H467" t="str">
        <f t="shared" si="195"/>
        <v>&lt;services nid="1"&gt;&lt;email id="0" classifier="private"&gt;wehrlens@wanadoo.fr&lt;/email&gt;&lt;/services&gt;&lt;setup /&gt;&lt;mod_time&gt;1500000010&lt;/mod_time&gt;&lt;uniqueid&gt;0&lt;/uniqueid&gt;&lt;/contact&gt;</v>
      </c>
      <c r="I467" t="str">
        <f t="shared" si="196"/>
        <v>&lt;services /&gt;&lt;setup /&gt;&lt;mod_time&gt;1500000010&lt;/mod_time&gt;&lt;uniqueid&gt;0&lt;/uniqueid&gt;&lt;/contact&gt;</v>
      </c>
      <c r="J467" t="str">
        <f t="shared" si="197"/>
        <v>&lt;services nid="1"&gt;&lt;email id="0" classifier="private"&gt;wehrlens@wanadoo.fr&lt;/email&gt;&lt;/services&gt;&lt;setup /&gt;&lt;mod_time&gt;1500000010&lt;/mod_time&gt;&lt;uniqueid&gt;0&lt;/uniqueid&gt;&lt;/contact&gt;</v>
      </c>
      <c r="K467" s="5">
        <f t="shared" si="198"/>
        <v>0</v>
      </c>
      <c r="L467" s="5">
        <f t="shared" si="199"/>
        <v>0</v>
      </c>
      <c r="M467" s="5" t="str">
        <f>CONCATENATE(+Contacts!E467)</f>
        <v/>
      </c>
      <c r="N467" t="str">
        <f t="shared" si="200"/>
        <v/>
      </c>
      <c r="O467" s="5">
        <f t="shared" si="201"/>
        <v>0</v>
      </c>
      <c r="P467" s="5">
        <f t="shared" si="202"/>
        <v>0</v>
      </c>
      <c r="Q467" s="5" t="str">
        <f>CONCATENATE(+Contacts!G467)</f>
        <v/>
      </c>
      <c r="R467" t="str">
        <f t="shared" si="203"/>
        <v/>
      </c>
      <c r="S467" s="5">
        <f t="shared" si="204"/>
        <v>0</v>
      </c>
      <c r="T467" s="5">
        <f t="shared" si="205"/>
        <v>0</v>
      </c>
      <c r="U467" s="5" t="str">
        <f>CONCATENATE(+Contacts!H467)</f>
        <v/>
      </c>
      <c r="V467" t="str">
        <f t="shared" si="206"/>
        <v/>
      </c>
      <c r="W467" s="5">
        <f t="shared" si="207"/>
        <v>0</v>
      </c>
      <c r="X467" s="5">
        <f t="shared" si="208"/>
        <v>0</v>
      </c>
      <c r="Y467" s="5" t="str">
        <f>CONCATENATE(+Contacts!F467)</f>
        <v/>
      </c>
      <c r="Z467" s="2" t="str">
        <f t="shared" si="209"/>
        <v xml:space="preserve">Wehrlen, Sophie   </v>
      </c>
      <c r="AA467" s="2" t="str">
        <f>CONCATENATE(+Contacts!C467)</f>
        <v>Wehrlen</v>
      </c>
      <c r="AB467" s="2" t="str">
        <f t="shared" si="210"/>
        <v xml:space="preserve">, </v>
      </c>
      <c r="AC467" s="2" t="str">
        <f>CONCATENATE(+Contacts!A467)</f>
        <v>Sophie</v>
      </c>
      <c r="AD467" s="3" t="str">
        <f>CONCATENATE(" ",+Contacts!B467)</f>
        <v xml:space="preserve"> </v>
      </c>
      <c r="AE467" s="2" t="str">
        <f t="shared" si="211"/>
        <v xml:space="preserve"> </v>
      </c>
      <c r="AF467" s="3" t="str">
        <f>CONCATENATE(+Contacts!D467)</f>
        <v/>
      </c>
      <c r="AG467" s="2" t="str">
        <f t="shared" si="212"/>
        <v xml:space="preserve"> </v>
      </c>
      <c r="AH467" t="str">
        <f>CONCATENATE(+Contacts!I467)</f>
        <v>wehrlens@wanadoo.fr</v>
      </c>
      <c r="AI467">
        <v>1500000010</v>
      </c>
      <c r="AJ467" s="5">
        <f t="shared" si="213"/>
        <v>0</v>
      </c>
    </row>
    <row r="468" spans="1:36" x14ac:dyDescent="0.35">
      <c r="A468" s="7" t="str">
        <f t="shared" si="188"/>
        <v>&lt;contact&gt;&lt;category&gt;0&lt;/category&gt;&lt;person&gt;&lt;realName&gt;Werksma, Trudie   &lt;/realName&gt;&lt;/person&gt;</v>
      </c>
      <c r="B468" s="7" t="str">
        <f t="shared" si="189"/>
        <v>&lt;telephony nid="2"&gt;&lt;number id="0" prio="1" type="home"&gt;+31 505034344&lt;/number&gt;&lt;number id="1" prio="0" type="mobile"&gt;+31 618 146 243&lt;/number&gt;&lt;/telephony&gt;</v>
      </c>
      <c r="C468" s="7" t="str">
        <f t="shared" si="190"/>
        <v>&lt;services nid="1"&gt;&lt;email id="0" classifier="private"&gt;trudiewerksma@gmail.com&lt;/email&gt;&lt;/services&gt;&lt;setup /&gt;&lt;mod_time&gt;1500000010&lt;/mod_time&gt;&lt;uniqueid&gt;1&lt;/uniqueid&gt;&lt;/contact&gt;</v>
      </c>
      <c r="D468" t="str">
        <f t="shared" si="191"/>
        <v>&lt;contact&gt;&lt;category&gt;0&lt;/category&gt;&lt;person&gt;&lt;realName&gt;Werksma, Trudie   &lt;/realName&gt;&lt;/person&gt;</v>
      </c>
      <c r="E468" t="str">
        <f t="shared" si="192"/>
        <v>&lt;telephony nid="2"&gt;&lt;number id="0" prio="1" type="home"&gt;+31 505034344&lt;/number&gt;&lt;number id="1" prio="0" type="mobile"&gt;+31 618 146 243&lt;/number&gt;&lt;/telephony&gt;</v>
      </c>
      <c r="F468" t="str">
        <f t="shared" si="193"/>
        <v>&lt;telephony nid="2"&gt;</v>
      </c>
      <c r="G468" t="str">
        <f t="shared" si="194"/>
        <v/>
      </c>
      <c r="H468" t="str">
        <f t="shared" si="195"/>
        <v>&lt;services nid="1"&gt;&lt;email id="0" classifier="private"&gt;trudiewerksma@gmail.com&lt;/email&gt;&lt;/services&gt;&lt;setup /&gt;&lt;mod_time&gt;1500000010&lt;/mod_time&gt;&lt;uniqueid&gt;1&lt;/uniqueid&gt;&lt;/contact&gt;</v>
      </c>
      <c r="I468" t="str">
        <f t="shared" si="196"/>
        <v>&lt;services /&gt;&lt;setup /&gt;&lt;mod_time&gt;1500000010&lt;/mod_time&gt;&lt;uniqueid&gt;1&lt;/uniqueid&gt;&lt;/contact&gt;</v>
      </c>
      <c r="J468" t="str">
        <f t="shared" si="197"/>
        <v>&lt;services nid="1"&gt;&lt;email id="0" classifier="private"&gt;trudiewerksma@gmail.com&lt;/email&gt;&lt;/services&gt;&lt;setup /&gt;&lt;mod_time&gt;1500000010&lt;/mod_time&gt;&lt;uniqueid&gt;1&lt;/uniqueid&gt;&lt;/contact&gt;</v>
      </c>
      <c r="K468" s="5">
        <f t="shared" si="198"/>
        <v>0</v>
      </c>
      <c r="L468" s="5">
        <f t="shared" si="199"/>
        <v>0</v>
      </c>
      <c r="M468" s="5" t="str">
        <f>CONCATENATE(+Contacts!E468)</f>
        <v/>
      </c>
      <c r="N468" t="str">
        <f t="shared" si="200"/>
        <v>&lt;number id="0" prio="1" type="home"&gt;+31 505034344&lt;/number&gt;</v>
      </c>
      <c r="O468" s="5">
        <f t="shared" si="201"/>
        <v>1</v>
      </c>
      <c r="P468" s="5">
        <f t="shared" si="202"/>
        <v>1</v>
      </c>
      <c r="Q468" s="5" t="str">
        <f>CONCATENATE(+Contacts!G468)</f>
        <v>+31 505034344</v>
      </c>
      <c r="R468" t="str">
        <f t="shared" si="203"/>
        <v>&lt;number id="1" prio="0" type="mobile"&gt;+31 618 146 243&lt;/number&gt;</v>
      </c>
      <c r="S468" s="5">
        <f t="shared" si="204"/>
        <v>2</v>
      </c>
      <c r="T468" s="5">
        <f t="shared" si="205"/>
        <v>0</v>
      </c>
      <c r="U468" s="5" t="str">
        <f>CONCATENATE(+Contacts!H468)</f>
        <v>+31 618 146 243</v>
      </c>
      <c r="V468" t="str">
        <f t="shared" si="206"/>
        <v/>
      </c>
      <c r="W468" s="5">
        <f t="shared" si="207"/>
        <v>2</v>
      </c>
      <c r="X468" s="5">
        <f t="shared" si="208"/>
        <v>0</v>
      </c>
      <c r="Y468" s="5" t="str">
        <f>CONCATENATE(+Contacts!F468)</f>
        <v/>
      </c>
      <c r="Z468" s="2" t="str">
        <f t="shared" si="209"/>
        <v xml:space="preserve">Werksma, Trudie   </v>
      </c>
      <c r="AA468" s="2" t="str">
        <f>CONCATENATE(+Contacts!C468)</f>
        <v>Werksma</v>
      </c>
      <c r="AB468" s="2" t="str">
        <f t="shared" si="210"/>
        <v xml:space="preserve">, </v>
      </c>
      <c r="AC468" s="2" t="str">
        <f>CONCATENATE(+Contacts!A468)</f>
        <v>Trudie</v>
      </c>
      <c r="AD468" s="3" t="str">
        <f>CONCATENATE(" ",+Contacts!B468)</f>
        <v xml:space="preserve"> </v>
      </c>
      <c r="AE468" s="2" t="str">
        <f t="shared" si="211"/>
        <v xml:space="preserve"> </v>
      </c>
      <c r="AF468" s="3" t="str">
        <f>CONCATENATE(+Contacts!D468)</f>
        <v/>
      </c>
      <c r="AG468" s="2" t="str">
        <f t="shared" si="212"/>
        <v xml:space="preserve"> </v>
      </c>
      <c r="AH468" t="str">
        <f>CONCATENATE(+Contacts!I468)</f>
        <v>trudiewerksma@gmail.com</v>
      </c>
      <c r="AI468">
        <v>1500000010</v>
      </c>
      <c r="AJ468" s="5">
        <f t="shared" si="213"/>
        <v>1</v>
      </c>
    </row>
    <row r="469" spans="1:36" x14ac:dyDescent="0.35">
      <c r="A469" s="7" t="str">
        <f t="shared" si="188"/>
        <v>&lt;contact&gt;&lt;category&gt;0&lt;/category&gt;&lt;person&gt;&lt;realName&gt;Whalen, Nikita   &lt;/realName&gt;&lt;/person&gt;</v>
      </c>
      <c r="B469" s="7" t="str">
        <f t="shared" si="189"/>
        <v>&lt;telephony nid="1"&gt;&lt;number id="0" prio="1" type="mobile"&gt;+1 6017901461&lt;/number&gt;&lt;/telephony&gt;</v>
      </c>
      <c r="C469" s="7" t="str">
        <f t="shared" si="190"/>
        <v>&lt;services nid="1"&gt;&lt;email id="0" classifier="private"&gt;nwhalen@gmail.com&lt;/email&gt;&lt;/services&gt;&lt;setup /&gt;&lt;mod_time&gt;1500000010&lt;/mod_time&gt;&lt;uniqueid&gt;1&lt;/uniqueid&gt;&lt;/contact&gt;</v>
      </c>
      <c r="D469" t="str">
        <f t="shared" si="191"/>
        <v>&lt;contact&gt;&lt;category&gt;0&lt;/category&gt;&lt;person&gt;&lt;realName&gt;Whalen, Nikita   &lt;/realName&gt;&lt;/person&gt;</v>
      </c>
      <c r="E469" t="str">
        <f t="shared" si="192"/>
        <v>&lt;telephony nid="1"&gt;&lt;number id="0" prio="1" type="mobile"&gt;+1 6017901461&lt;/number&gt;&lt;/telephony&gt;</v>
      </c>
      <c r="F469" t="str">
        <f t="shared" si="193"/>
        <v>&lt;telephony nid="1"&gt;</v>
      </c>
      <c r="G469" t="str">
        <f t="shared" si="194"/>
        <v/>
      </c>
      <c r="H469" t="str">
        <f t="shared" si="195"/>
        <v>&lt;services nid="1"&gt;&lt;email id="0" classifier="private"&gt;nwhalen@gmail.com&lt;/email&gt;&lt;/services&gt;&lt;setup /&gt;&lt;mod_time&gt;1500000010&lt;/mod_time&gt;&lt;uniqueid&gt;1&lt;/uniqueid&gt;&lt;/contact&gt;</v>
      </c>
      <c r="I469" t="str">
        <f t="shared" si="196"/>
        <v>&lt;services /&gt;&lt;setup /&gt;&lt;mod_time&gt;1500000010&lt;/mod_time&gt;&lt;uniqueid&gt;1&lt;/uniqueid&gt;&lt;/contact&gt;</v>
      </c>
      <c r="J469" t="str">
        <f t="shared" si="197"/>
        <v>&lt;services nid="1"&gt;&lt;email id="0" classifier="private"&gt;nwhalen@gmail.com&lt;/email&gt;&lt;/services&gt;&lt;setup /&gt;&lt;mod_time&gt;1500000010&lt;/mod_time&gt;&lt;uniqueid&gt;1&lt;/uniqueid&gt;&lt;/contact&gt;</v>
      </c>
      <c r="K469" s="5">
        <f t="shared" si="198"/>
        <v>0</v>
      </c>
      <c r="L469" s="5">
        <f t="shared" si="199"/>
        <v>0</v>
      </c>
      <c r="M469" s="5" t="str">
        <f>CONCATENATE(+Contacts!E469)</f>
        <v/>
      </c>
      <c r="N469" t="str">
        <f t="shared" si="200"/>
        <v/>
      </c>
      <c r="O469" s="5">
        <f t="shared" si="201"/>
        <v>0</v>
      </c>
      <c r="P469" s="5">
        <f t="shared" si="202"/>
        <v>0</v>
      </c>
      <c r="Q469" s="5" t="str">
        <f>CONCATENATE(+Contacts!G469)</f>
        <v/>
      </c>
      <c r="R469" t="str">
        <f t="shared" si="203"/>
        <v>&lt;number id="0" prio="1" type="mobile"&gt;+1 6017901461&lt;/number&gt;</v>
      </c>
      <c r="S469" s="5">
        <f t="shared" si="204"/>
        <v>1</v>
      </c>
      <c r="T469" s="5">
        <f t="shared" si="205"/>
        <v>1</v>
      </c>
      <c r="U469" s="5" t="str">
        <f>CONCATENATE(+Contacts!H469)</f>
        <v>+1 6017901461</v>
      </c>
      <c r="V469" t="str">
        <f t="shared" si="206"/>
        <v/>
      </c>
      <c r="W469" s="5">
        <f t="shared" si="207"/>
        <v>1</v>
      </c>
      <c r="X469" s="5">
        <f t="shared" si="208"/>
        <v>1</v>
      </c>
      <c r="Y469" s="5" t="str">
        <f>CONCATENATE(+Contacts!F469)</f>
        <v/>
      </c>
      <c r="Z469" s="2" t="str">
        <f t="shared" si="209"/>
        <v xml:space="preserve">Whalen, Nikita   </v>
      </c>
      <c r="AA469" s="2" t="str">
        <f>CONCATENATE(+Contacts!C469)</f>
        <v>Whalen</v>
      </c>
      <c r="AB469" s="2" t="str">
        <f t="shared" si="210"/>
        <v xml:space="preserve">, </v>
      </c>
      <c r="AC469" s="2" t="str">
        <f>CONCATENATE(+Contacts!A469)</f>
        <v>Nikita</v>
      </c>
      <c r="AD469" s="3" t="str">
        <f>CONCATENATE(" ",+Contacts!B469)</f>
        <v xml:space="preserve"> </v>
      </c>
      <c r="AE469" s="2" t="str">
        <f t="shared" si="211"/>
        <v xml:space="preserve"> </v>
      </c>
      <c r="AF469" s="3" t="str">
        <f>CONCATENATE(+Contacts!D469)</f>
        <v/>
      </c>
      <c r="AG469" s="2" t="str">
        <f t="shared" si="212"/>
        <v xml:space="preserve"> </v>
      </c>
      <c r="AH469" t="str">
        <f>CONCATENATE(+Contacts!I469)</f>
        <v>nwhalen@gmail.com</v>
      </c>
      <c r="AI469">
        <v>1500000010</v>
      </c>
      <c r="AJ469" s="5">
        <f t="shared" si="213"/>
        <v>1</v>
      </c>
    </row>
    <row r="470" spans="1:36" x14ac:dyDescent="0.35">
      <c r="A470" s="7" t="str">
        <f t="shared" si="188"/>
        <v>&lt;contact&gt;&lt;category&gt;0&lt;/category&gt;&lt;person&gt;&lt;realName&gt;Wiegand, Hans   &lt;/realName&gt;&lt;/person&gt;</v>
      </c>
      <c r="B470" s="7" t="str">
        <f t="shared" si="189"/>
        <v>&lt;telephony nid="1"&gt;&lt;number id="0" prio="1" type="mobile"&gt;+31 612642772&lt;/number&gt;&lt;/telephony&gt;</v>
      </c>
      <c r="C470" s="7" t="str">
        <f t="shared" si="190"/>
        <v>&lt;services nid="1"&gt;&lt;email id="0" classifier="private"&gt;hwiegand@melanchthon.nl&lt;/email&gt;&lt;/services&gt;&lt;setup /&gt;&lt;mod_time&gt;1500000010&lt;/mod_time&gt;&lt;uniqueid&gt;1&lt;/uniqueid&gt;&lt;/contact&gt;</v>
      </c>
      <c r="D470" t="str">
        <f t="shared" si="191"/>
        <v>&lt;contact&gt;&lt;category&gt;0&lt;/category&gt;&lt;person&gt;&lt;realName&gt;Wiegand, Hans   &lt;/realName&gt;&lt;/person&gt;</v>
      </c>
      <c r="E470" t="str">
        <f t="shared" si="192"/>
        <v>&lt;telephony nid="1"&gt;&lt;number id="0" prio="1" type="mobile"&gt;+31 612642772&lt;/number&gt;&lt;/telephony&gt;</v>
      </c>
      <c r="F470" t="str">
        <f t="shared" si="193"/>
        <v>&lt;telephony nid="1"&gt;</v>
      </c>
      <c r="G470" t="str">
        <f t="shared" si="194"/>
        <v/>
      </c>
      <c r="H470" t="str">
        <f t="shared" si="195"/>
        <v>&lt;services nid="1"&gt;&lt;email id="0" classifier="private"&gt;hwiegand@melanchthon.nl&lt;/email&gt;&lt;/services&gt;&lt;setup /&gt;&lt;mod_time&gt;1500000010&lt;/mod_time&gt;&lt;uniqueid&gt;1&lt;/uniqueid&gt;&lt;/contact&gt;</v>
      </c>
      <c r="I470" t="str">
        <f t="shared" si="196"/>
        <v>&lt;services /&gt;&lt;setup /&gt;&lt;mod_time&gt;1500000010&lt;/mod_time&gt;&lt;uniqueid&gt;1&lt;/uniqueid&gt;&lt;/contact&gt;</v>
      </c>
      <c r="J470" t="str">
        <f t="shared" si="197"/>
        <v>&lt;services nid="1"&gt;&lt;email id="0" classifier="private"&gt;hwiegand@melanchthon.nl&lt;/email&gt;&lt;/services&gt;&lt;setup /&gt;&lt;mod_time&gt;1500000010&lt;/mod_time&gt;&lt;uniqueid&gt;1&lt;/uniqueid&gt;&lt;/contact&gt;</v>
      </c>
      <c r="K470" s="5">
        <f t="shared" si="198"/>
        <v>0</v>
      </c>
      <c r="L470" s="5">
        <f t="shared" si="199"/>
        <v>0</v>
      </c>
      <c r="M470" s="5" t="str">
        <f>CONCATENATE(+Contacts!E470)</f>
        <v/>
      </c>
      <c r="N470" t="str">
        <f t="shared" si="200"/>
        <v/>
      </c>
      <c r="O470" s="5">
        <f t="shared" si="201"/>
        <v>0</v>
      </c>
      <c r="P470" s="5">
        <f t="shared" si="202"/>
        <v>0</v>
      </c>
      <c r="Q470" s="5" t="str">
        <f>CONCATENATE(+Contacts!G470)</f>
        <v/>
      </c>
      <c r="R470" t="str">
        <f t="shared" si="203"/>
        <v>&lt;number id="0" prio="1" type="mobile"&gt;+31 612642772&lt;/number&gt;</v>
      </c>
      <c r="S470" s="5">
        <f t="shared" si="204"/>
        <v>1</v>
      </c>
      <c r="T470" s="5">
        <f t="shared" si="205"/>
        <v>1</v>
      </c>
      <c r="U470" s="5" t="str">
        <f>CONCATENATE(+Contacts!H470)</f>
        <v>+31 612642772</v>
      </c>
      <c r="V470" t="str">
        <f t="shared" si="206"/>
        <v/>
      </c>
      <c r="W470" s="5">
        <f t="shared" si="207"/>
        <v>1</v>
      </c>
      <c r="X470" s="5">
        <f t="shared" si="208"/>
        <v>1</v>
      </c>
      <c r="Y470" s="5" t="str">
        <f>CONCATENATE(+Contacts!F470)</f>
        <v/>
      </c>
      <c r="Z470" s="2" t="str">
        <f t="shared" si="209"/>
        <v xml:space="preserve">Wiegand, Hans   </v>
      </c>
      <c r="AA470" s="2" t="str">
        <f>CONCATENATE(+Contacts!C470)</f>
        <v>Wiegand</v>
      </c>
      <c r="AB470" s="2" t="str">
        <f t="shared" si="210"/>
        <v xml:space="preserve">, </v>
      </c>
      <c r="AC470" s="2" t="str">
        <f>CONCATENATE(+Contacts!A470)</f>
        <v>Hans</v>
      </c>
      <c r="AD470" s="3" t="str">
        <f>CONCATENATE(" ",+Contacts!B470)</f>
        <v xml:space="preserve"> </v>
      </c>
      <c r="AE470" s="2" t="str">
        <f t="shared" si="211"/>
        <v xml:space="preserve"> </v>
      </c>
      <c r="AF470" s="3" t="str">
        <f>CONCATENATE(+Contacts!D470)</f>
        <v/>
      </c>
      <c r="AG470" s="2" t="str">
        <f t="shared" si="212"/>
        <v xml:space="preserve"> </v>
      </c>
      <c r="AH470" t="str">
        <f>CONCATENATE(+Contacts!I470)</f>
        <v>hwiegand@melanchthon.nl</v>
      </c>
      <c r="AI470">
        <v>1500000010</v>
      </c>
      <c r="AJ470" s="5">
        <f t="shared" si="213"/>
        <v>1</v>
      </c>
    </row>
    <row r="471" spans="1:36" x14ac:dyDescent="0.35">
      <c r="A471" s="7" t="str">
        <f t="shared" si="188"/>
        <v>&lt;contact&gt;&lt;category&gt;0&lt;/category&gt;&lt;person&gt;&lt;realName&gt;Wiering-Hoogerwaard, Eva-Lisa &amp;amp; Jaap   &lt;/realName&gt;&lt;/person&gt;</v>
      </c>
      <c r="B471" s="7" t="str">
        <f t="shared" si="189"/>
        <v>&lt;telephony nid="2"&gt;&lt;number id="0" prio="1" type="home"&gt;+31 102181683&lt;/number&gt;&lt;number id="1" prio="0" type="mobile"&gt;+31 641455334&lt;/number&gt;&lt;/telephony&gt;</v>
      </c>
      <c r="C471" s="7" t="str">
        <f t="shared" si="190"/>
        <v>&lt;services nid="1"&gt;&lt;email id="0" classifier="private"&gt;evalisawiering@gmail.com&lt;/email&gt;&lt;/services&gt;&lt;setup /&gt;&lt;mod_time&gt;1500000010&lt;/mod_time&gt;&lt;uniqueid&gt;1&lt;/uniqueid&gt;&lt;/contact&gt;</v>
      </c>
      <c r="D471" t="str">
        <f t="shared" si="191"/>
        <v>&lt;contact&gt;&lt;category&gt;0&lt;/category&gt;&lt;person&gt;&lt;realName&gt;Wiering-Hoogerwaard, Eva-Lisa &amp;amp; Jaap   &lt;/realName&gt;&lt;/person&gt;</v>
      </c>
      <c r="E471" t="str">
        <f t="shared" si="192"/>
        <v>&lt;telephony nid="2"&gt;&lt;number id="0" prio="1" type="home"&gt;+31 102181683&lt;/number&gt;&lt;number id="1" prio="0" type="mobile"&gt;+31 641455334&lt;/number&gt;&lt;/telephony&gt;</v>
      </c>
      <c r="F471" t="str">
        <f t="shared" si="193"/>
        <v>&lt;telephony nid="2"&gt;</v>
      </c>
      <c r="G471" t="str">
        <f t="shared" si="194"/>
        <v/>
      </c>
      <c r="H471" t="str">
        <f t="shared" si="195"/>
        <v>&lt;services nid="1"&gt;&lt;email id="0" classifier="private"&gt;evalisawiering@gmail.com&lt;/email&gt;&lt;/services&gt;&lt;setup /&gt;&lt;mod_time&gt;1500000010&lt;/mod_time&gt;&lt;uniqueid&gt;1&lt;/uniqueid&gt;&lt;/contact&gt;</v>
      </c>
      <c r="I471" t="str">
        <f t="shared" si="196"/>
        <v>&lt;services /&gt;&lt;setup /&gt;&lt;mod_time&gt;1500000010&lt;/mod_time&gt;&lt;uniqueid&gt;1&lt;/uniqueid&gt;&lt;/contact&gt;</v>
      </c>
      <c r="J471" t="str">
        <f t="shared" si="197"/>
        <v>&lt;services nid="1"&gt;&lt;email id="0" classifier="private"&gt;evalisawiering@gmail.com&lt;/email&gt;&lt;/services&gt;&lt;setup /&gt;&lt;mod_time&gt;1500000010&lt;/mod_time&gt;&lt;uniqueid&gt;1&lt;/uniqueid&gt;&lt;/contact&gt;</v>
      </c>
      <c r="K471" s="5">
        <f t="shared" si="198"/>
        <v>0</v>
      </c>
      <c r="L471" s="5">
        <f t="shared" si="199"/>
        <v>0</v>
      </c>
      <c r="M471" s="5" t="str">
        <f>CONCATENATE(+Contacts!E471)</f>
        <v/>
      </c>
      <c r="N471" t="str">
        <f t="shared" si="200"/>
        <v>&lt;number id="0" prio="1" type="home"&gt;+31 102181683&lt;/number&gt;</v>
      </c>
      <c r="O471" s="5">
        <f t="shared" si="201"/>
        <v>1</v>
      </c>
      <c r="P471" s="5">
        <f t="shared" si="202"/>
        <v>1</v>
      </c>
      <c r="Q471" s="5" t="str">
        <f>CONCATENATE(+Contacts!G471)</f>
        <v>+31 102181683</v>
      </c>
      <c r="R471" t="str">
        <f t="shared" si="203"/>
        <v>&lt;number id="1" prio="0" type="mobile"&gt;+31 641455334&lt;/number&gt;</v>
      </c>
      <c r="S471" s="5">
        <f t="shared" si="204"/>
        <v>2</v>
      </c>
      <c r="T471" s="5">
        <f t="shared" si="205"/>
        <v>0</v>
      </c>
      <c r="U471" s="5" t="str">
        <f>CONCATENATE(+Contacts!H471)</f>
        <v>+31 641455334</v>
      </c>
      <c r="V471" t="str">
        <f t="shared" si="206"/>
        <v/>
      </c>
      <c r="W471" s="5">
        <f t="shared" si="207"/>
        <v>2</v>
      </c>
      <c r="X471" s="5">
        <f t="shared" si="208"/>
        <v>0</v>
      </c>
      <c r="Y471" s="5" t="str">
        <f>CONCATENATE(+Contacts!F471)</f>
        <v/>
      </c>
      <c r="Z471" s="2" t="str">
        <f t="shared" si="209"/>
        <v xml:space="preserve">Wiering-Hoogerwaard, Eva-Lisa &amp;amp; Jaap   </v>
      </c>
      <c r="AA471" s="2" t="str">
        <f>CONCATENATE(+Contacts!C471)</f>
        <v>Wiering-Hoogerwaard</v>
      </c>
      <c r="AB471" s="2" t="str">
        <f t="shared" si="210"/>
        <v xml:space="preserve">, </v>
      </c>
      <c r="AC471" s="2" t="str">
        <f>CONCATENATE(+Contacts!A471)</f>
        <v>Eva-Lisa &amp;amp; Jaap</v>
      </c>
      <c r="AD471" s="3" t="str">
        <f>CONCATENATE(" ",+Contacts!B471)</f>
        <v xml:space="preserve"> </v>
      </c>
      <c r="AE471" s="2" t="str">
        <f t="shared" si="211"/>
        <v xml:space="preserve"> </v>
      </c>
      <c r="AF471" s="3" t="str">
        <f>CONCATENATE(+Contacts!D471)</f>
        <v/>
      </c>
      <c r="AG471" s="2" t="str">
        <f t="shared" si="212"/>
        <v xml:space="preserve"> </v>
      </c>
      <c r="AH471" t="str">
        <f>CONCATENATE(+Contacts!I471)</f>
        <v>evalisawiering@gmail.com</v>
      </c>
      <c r="AI471">
        <v>1500000010</v>
      </c>
      <c r="AJ471" s="5">
        <f t="shared" si="213"/>
        <v>1</v>
      </c>
    </row>
    <row r="472" spans="1:36" x14ac:dyDescent="0.35">
      <c r="A472" s="7" t="str">
        <f t="shared" si="188"/>
        <v>&lt;contact&gt;&lt;category&gt;0&lt;/category&gt;&lt;person&gt;&lt;realName&gt;Wijk, Paul van  &lt;/realName&gt;&lt;/person&gt;</v>
      </c>
      <c r="B472" s="7" t="str">
        <f t="shared" si="189"/>
        <v>&lt;telephony nid="1"&gt;&lt;number id="0" prio="1" type="mobile"&gt;+31 621591031&lt;/number&gt;&lt;/telephony&gt;</v>
      </c>
      <c r="C472" s="7" t="str">
        <f t="shared" si="190"/>
        <v>&lt;services nid="1"&gt;&lt;email id="0" classifier="private"&gt;pjvwijk@xs4all.nl&lt;/email&gt;&lt;/services&gt;&lt;setup /&gt;&lt;mod_time&gt;1500000010&lt;/mod_time&gt;&lt;uniqueid&gt;1&lt;/uniqueid&gt;&lt;/contact&gt;</v>
      </c>
      <c r="D472" t="str">
        <f t="shared" si="191"/>
        <v>&lt;contact&gt;&lt;category&gt;0&lt;/category&gt;&lt;person&gt;&lt;realName&gt;Wijk, Paul van  &lt;/realName&gt;&lt;/person&gt;</v>
      </c>
      <c r="E472" t="str">
        <f t="shared" si="192"/>
        <v>&lt;telephony nid="1"&gt;&lt;number id="0" prio="1" type="mobile"&gt;+31 621591031&lt;/number&gt;&lt;/telephony&gt;</v>
      </c>
      <c r="F472" t="str">
        <f t="shared" si="193"/>
        <v>&lt;telephony nid="1"&gt;</v>
      </c>
      <c r="G472" t="str">
        <f t="shared" si="194"/>
        <v/>
      </c>
      <c r="H472" t="str">
        <f t="shared" si="195"/>
        <v>&lt;services nid="1"&gt;&lt;email id="0" classifier="private"&gt;pjvwijk@xs4all.nl&lt;/email&gt;&lt;/services&gt;&lt;setup /&gt;&lt;mod_time&gt;1500000010&lt;/mod_time&gt;&lt;uniqueid&gt;1&lt;/uniqueid&gt;&lt;/contact&gt;</v>
      </c>
      <c r="I472" t="str">
        <f t="shared" si="196"/>
        <v>&lt;services /&gt;&lt;setup /&gt;&lt;mod_time&gt;1500000010&lt;/mod_time&gt;&lt;uniqueid&gt;1&lt;/uniqueid&gt;&lt;/contact&gt;</v>
      </c>
      <c r="J472" t="str">
        <f t="shared" si="197"/>
        <v>&lt;services nid="1"&gt;&lt;email id="0" classifier="private"&gt;pjvwijk@xs4all.nl&lt;/email&gt;&lt;/services&gt;&lt;setup /&gt;&lt;mod_time&gt;1500000010&lt;/mod_time&gt;&lt;uniqueid&gt;1&lt;/uniqueid&gt;&lt;/contact&gt;</v>
      </c>
      <c r="K472" s="5">
        <f t="shared" si="198"/>
        <v>0</v>
      </c>
      <c r="L472" s="5">
        <f t="shared" si="199"/>
        <v>0</v>
      </c>
      <c r="M472" s="5" t="str">
        <f>CONCATENATE(+Contacts!E472)</f>
        <v/>
      </c>
      <c r="N472" t="str">
        <f t="shared" si="200"/>
        <v/>
      </c>
      <c r="O472" s="5">
        <f t="shared" si="201"/>
        <v>0</v>
      </c>
      <c r="P472" s="5">
        <f t="shared" si="202"/>
        <v>0</v>
      </c>
      <c r="Q472" s="5" t="str">
        <f>CONCATENATE(+Contacts!G472)</f>
        <v/>
      </c>
      <c r="R472" t="str">
        <f t="shared" si="203"/>
        <v>&lt;number id="0" prio="1" type="mobile"&gt;+31 621591031&lt;/number&gt;</v>
      </c>
      <c r="S472" s="5">
        <f t="shared" si="204"/>
        <v>1</v>
      </c>
      <c r="T472" s="5">
        <f t="shared" si="205"/>
        <v>1</v>
      </c>
      <c r="U472" s="5" t="str">
        <f>CONCATENATE(+Contacts!H472)</f>
        <v>+31 621591031</v>
      </c>
      <c r="V472" t="str">
        <f t="shared" si="206"/>
        <v/>
      </c>
      <c r="W472" s="5">
        <f t="shared" si="207"/>
        <v>1</v>
      </c>
      <c r="X472" s="5">
        <f t="shared" si="208"/>
        <v>1</v>
      </c>
      <c r="Y472" s="5" t="str">
        <f>CONCATENATE(+Contacts!F472)</f>
        <v/>
      </c>
      <c r="Z472" s="2" t="str">
        <f t="shared" si="209"/>
        <v xml:space="preserve">Wijk, Paul van  </v>
      </c>
      <c r="AA472" s="2" t="str">
        <f>CONCATENATE(+Contacts!C472)</f>
        <v>Wijk</v>
      </c>
      <c r="AB472" s="2" t="str">
        <f t="shared" si="210"/>
        <v xml:space="preserve">, </v>
      </c>
      <c r="AC472" s="2" t="str">
        <f>CONCATENATE(+Contacts!A472)</f>
        <v>Paul</v>
      </c>
      <c r="AD472" s="3" t="str">
        <f>CONCATENATE(" ",+Contacts!B472)</f>
        <v xml:space="preserve"> van</v>
      </c>
      <c r="AE472" s="2" t="str">
        <f t="shared" si="211"/>
        <v xml:space="preserve"> </v>
      </c>
      <c r="AF472" s="3" t="str">
        <f>CONCATENATE(+Contacts!D472)</f>
        <v/>
      </c>
      <c r="AG472" s="2" t="str">
        <f t="shared" si="212"/>
        <v xml:space="preserve"> </v>
      </c>
      <c r="AH472" t="str">
        <f>CONCATENATE(+Contacts!I472)</f>
        <v>pjvwijk@xs4all.nl</v>
      </c>
      <c r="AI472">
        <v>1500000010</v>
      </c>
      <c r="AJ472" s="5">
        <f t="shared" si="213"/>
        <v>1</v>
      </c>
    </row>
    <row r="473" spans="1:36" x14ac:dyDescent="0.35">
      <c r="A473" s="7" t="str">
        <f t="shared" si="188"/>
        <v>&lt;contact&gt;&lt;category&gt;0&lt;/category&gt;&lt;person&gt;&lt;realName&gt;Wijngaarden, Van, Carlinde   &lt;/realName&gt;&lt;/person&gt;</v>
      </c>
      <c r="B473" s="7" t="str">
        <f t="shared" si="189"/>
        <v>&lt;telephony nid="1"&gt;&lt;number id="0" prio="1" type="mobile"&gt;+31 6 50840100&lt;/number&gt;&lt;/telephony&gt;</v>
      </c>
      <c r="C473" s="7" t="str">
        <f t="shared" si="190"/>
        <v>&lt;services /&gt;&lt;setup /&gt;&lt;mod_time&gt;1500000010&lt;/mod_time&gt;&lt;uniqueid&gt;1&lt;/uniqueid&gt;&lt;/contact&gt;</v>
      </c>
      <c r="D473" t="str">
        <f t="shared" si="191"/>
        <v>&lt;contact&gt;&lt;category&gt;0&lt;/category&gt;&lt;person&gt;&lt;realName&gt;Wijngaarden, Van, Carlinde   &lt;/realName&gt;&lt;/person&gt;</v>
      </c>
      <c r="E473" t="str">
        <f t="shared" si="192"/>
        <v>&lt;telephony nid="1"&gt;&lt;number id="0" prio="1" type="mobile"&gt;+31 6 50840100&lt;/number&gt;&lt;/telephony&gt;</v>
      </c>
      <c r="F473" t="str">
        <f t="shared" si="193"/>
        <v>&lt;telephony nid="1"&gt;</v>
      </c>
      <c r="G473" t="str">
        <f t="shared" si="194"/>
        <v/>
      </c>
      <c r="H473" t="str">
        <f t="shared" si="195"/>
        <v>&lt;services nid="1"&gt;&lt;email id="0" classifier="private"&gt;&lt;/email&gt;&lt;/services&gt;&lt;setup /&gt;&lt;mod_time&gt;1500000010&lt;/mod_time&gt;&lt;uniqueid&gt;1&lt;/uniqueid&gt;&lt;/contact&gt;</v>
      </c>
      <c r="I473" t="str">
        <f t="shared" si="196"/>
        <v>&lt;services /&gt;&lt;setup /&gt;&lt;mod_time&gt;1500000010&lt;/mod_time&gt;&lt;uniqueid&gt;1&lt;/uniqueid&gt;&lt;/contact&gt;</v>
      </c>
      <c r="J473" t="str">
        <f t="shared" si="197"/>
        <v>&lt;services /&gt;&lt;setup /&gt;&lt;mod_time&gt;1500000010&lt;/mod_time&gt;&lt;uniqueid&gt;1&lt;/uniqueid&gt;&lt;/contact&gt;</v>
      </c>
      <c r="K473" s="5">
        <f t="shared" si="198"/>
        <v>0</v>
      </c>
      <c r="L473" s="5">
        <f t="shared" si="199"/>
        <v>0</v>
      </c>
      <c r="M473" s="5" t="str">
        <f>CONCATENATE(+Contacts!E473)</f>
        <v/>
      </c>
      <c r="N473" t="str">
        <f t="shared" si="200"/>
        <v/>
      </c>
      <c r="O473" s="5">
        <f t="shared" si="201"/>
        <v>0</v>
      </c>
      <c r="P473" s="5">
        <f t="shared" si="202"/>
        <v>0</v>
      </c>
      <c r="Q473" s="5" t="str">
        <f>CONCATENATE(+Contacts!G473)</f>
        <v/>
      </c>
      <c r="R473" t="str">
        <f t="shared" si="203"/>
        <v>&lt;number id="0" prio="1" type="mobile"&gt;+31 6 50840100&lt;/number&gt;</v>
      </c>
      <c r="S473" s="5">
        <f t="shared" si="204"/>
        <v>1</v>
      </c>
      <c r="T473" s="5">
        <f t="shared" si="205"/>
        <v>1</v>
      </c>
      <c r="U473" s="5" t="str">
        <f>CONCATENATE(+Contacts!H473)</f>
        <v>+31 6 50840100</v>
      </c>
      <c r="V473" t="str">
        <f t="shared" si="206"/>
        <v/>
      </c>
      <c r="W473" s="5">
        <f t="shared" si="207"/>
        <v>1</v>
      </c>
      <c r="X473" s="5">
        <f t="shared" si="208"/>
        <v>1</v>
      </c>
      <c r="Y473" s="5" t="str">
        <f>CONCATENATE(+Contacts!F473)</f>
        <v/>
      </c>
      <c r="Z473" s="2" t="str">
        <f t="shared" si="209"/>
        <v xml:space="preserve">Wijngaarden, Van, Carlinde   </v>
      </c>
      <c r="AA473" s="2" t="str">
        <f>CONCATENATE(+Contacts!C473)</f>
        <v>Wijngaarden, Van</v>
      </c>
      <c r="AB473" s="2" t="str">
        <f t="shared" si="210"/>
        <v xml:space="preserve">, </v>
      </c>
      <c r="AC473" s="2" t="str">
        <f>CONCATENATE(+Contacts!A473)</f>
        <v>Carlinde</v>
      </c>
      <c r="AD473" s="3" t="str">
        <f>CONCATENATE(" ",+Contacts!B473)</f>
        <v xml:space="preserve"> </v>
      </c>
      <c r="AE473" s="2" t="str">
        <f t="shared" si="211"/>
        <v xml:space="preserve"> </v>
      </c>
      <c r="AF473" s="3" t="str">
        <f>CONCATENATE(+Contacts!D473)</f>
        <v/>
      </c>
      <c r="AG473" s="2" t="str">
        <f t="shared" si="212"/>
        <v xml:space="preserve"> </v>
      </c>
      <c r="AH473" t="str">
        <f>CONCATENATE(+Contacts!I473)</f>
        <v/>
      </c>
      <c r="AI473">
        <v>1500000010</v>
      </c>
      <c r="AJ473" s="5">
        <f t="shared" si="213"/>
        <v>1</v>
      </c>
    </row>
    <row r="474" spans="1:36" x14ac:dyDescent="0.35">
      <c r="A474" s="7" t="str">
        <f t="shared" si="188"/>
        <v>&lt;contact&gt;&lt;category&gt;0&lt;/category&gt;&lt;person&gt;&lt;realName&gt;Wijnmalen, Diny   &lt;/realName&gt;&lt;/person&gt;</v>
      </c>
      <c r="B474" s="7" t="str">
        <f t="shared" si="189"/>
        <v>&lt;telephony nid="1"&gt;&lt;number id="0" prio="1" type="home"&gt;+31 104556901&lt;/number&gt;&lt;/telephony&gt;</v>
      </c>
      <c r="C474" s="7" t="str">
        <f t="shared" si="190"/>
        <v>&lt;services /&gt;&lt;setup /&gt;&lt;mod_time&gt;1500000010&lt;/mod_time&gt;&lt;uniqueid&gt;1&lt;/uniqueid&gt;&lt;/contact&gt;</v>
      </c>
      <c r="D474" t="str">
        <f t="shared" si="191"/>
        <v>&lt;contact&gt;&lt;category&gt;0&lt;/category&gt;&lt;person&gt;&lt;realName&gt;Wijnmalen, Diny   &lt;/realName&gt;&lt;/person&gt;</v>
      </c>
      <c r="E474" t="str">
        <f t="shared" si="192"/>
        <v>&lt;telephony nid="1"&gt;&lt;number id="0" prio="1" type="home"&gt;+31 104556901&lt;/number&gt;&lt;/telephony&gt;</v>
      </c>
      <c r="F474" t="str">
        <f t="shared" si="193"/>
        <v>&lt;telephony nid="1"&gt;</v>
      </c>
      <c r="G474" t="str">
        <f t="shared" si="194"/>
        <v/>
      </c>
      <c r="H474" t="str">
        <f t="shared" si="195"/>
        <v>&lt;services nid="1"&gt;&lt;email id="0" classifier="private"&gt;&lt;/email&gt;&lt;/services&gt;&lt;setup /&gt;&lt;mod_time&gt;1500000010&lt;/mod_time&gt;&lt;uniqueid&gt;1&lt;/uniqueid&gt;&lt;/contact&gt;</v>
      </c>
      <c r="I474" t="str">
        <f t="shared" si="196"/>
        <v>&lt;services /&gt;&lt;setup /&gt;&lt;mod_time&gt;1500000010&lt;/mod_time&gt;&lt;uniqueid&gt;1&lt;/uniqueid&gt;&lt;/contact&gt;</v>
      </c>
      <c r="J474" t="str">
        <f t="shared" si="197"/>
        <v>&lt;services /&gt;&lt;setup /&gt;&lt;mod_time&gt;1500000010&lt;/mod_time&gt;&lt;uniqueid&gt;1&lt;/uniqueid&gt;&lt;/contact&gt;</v>
      </c>
      <c r="K474" s="5">
        <f t="shared" si="198"/>
        <v>0</v>
      </c>
      <c r="L474" s="5">
        <f t="shared" si="199"/>
        <v>0</v>
      </c>
      <c r="M474" s="5" t="str">
        <f>CONCATENATE(+Contacts!E474)</f>
        <v/>
      </c>
      <c r="N474" t="str">
        <f t="shared" si="200"/>
        <v>&lt;number id="0" prio="1" type="home"&gt;+31 104556901&lt;/number&gt;</v>
      </c>
      <c r="O474" s="5">
        <f t="shared" si="201"/>
        <v>1</v>
      </c>
      <c r="P474" s="5">
        <f t="shared" si="202"/>
        <v>1</v>
      </c>
      <c r="Q474" s="5" t="str">
        <f>CONCATENATE(+Contacts!G474)</f>
        <v>+31 104556901</v>
      </c>
      <c r="R474" t="str">
        <f t="shared" si="203"/>
        <v/>
      </c>
      <c r="S474" s="5">
        <f t="shared" si="204"/>
        <v>1</v>
      </c>
      <c r="T474" s="5">
        <f t="shared" si="205"/>
        <v>1</v>
      </c>
      <c r="U474" s="5" t="str">
        <f>CONCATENATE(+Contacts!H474)</f>
        <v/>
      </c>
      <c r="V474" t="str">
        <f t="shared" si="206"/>
        <v/>
      </c>
      <c r="W474" s="5">
        <f t="shared" si="207"/>
        <v>1</v>
      </c>
      <c r="X474" s="5">
        <f t="shared" si="208"/>
        <v>1</v>
      </c>
      <c r="Y474" s="5" t="str">
        <f>CONCATENATE(+Contacts!F474)</f>
        <v/>
      </c>
      <c r="Z474" s="2" t="str">
        <f t="shared" si="209"/>
        <v xml:space="preserve">Wijnmalen, Diny   </v>
      </c>
      <c r="AA474" s="2" t="str">
        <f>CONCATENATE(+Contacts!C474)</f>
        <v>Wijnmalen</v>
      </c>
      <c r="AB474" s="2" t="str">
        <f t="shared" si="210"/>
        <v xml:space="preserve">, </v>
      </c>
      <c r="AC474" s="2" t="str">
        <f>CONCATENATE(+Contacts!A474)</f>
        <v>Diny</v>
      </c>
      <c r="AD474" s="3" t="str">
        <f>CONCATENATE(" ",+Contacts!B474)</f>
        <v xml:space="preserve"> </v>
      </c>
      <c r="AE474" s="2" t="str">
        <f t="shared" si="211"/>
        <v xml:space="preserve"> </v>
      </c>
      <c r="AF474" s="3" t="str">
        <f>CONCATENATE(+Contacts!D474)</f>
        <v/>
      </c>
      <c r="AG474" s="2" t="str">
        <f t="shared" si="212"/>
        <v xml:space="preserve"> </v>
      </c>
      <c r="AH474" t="str">
        <f>CONCATENATE(+Contacts!I474)</f>
        <v/>
      </c>
      <c r="AI474">
        <v>1500000010</v>
      </c>
      <c r="AJ474" s="5">
        <f t="shared" si="213"/>
        <v>1</v>
      </c>
    </row>
    <row r="475" spans="1:36" x14ac:dyDescent="0.35">
      <c r="A475" s="7" t="str">
        <f t="shared" si="188"/>
        <v>&lt;contact&gt;&lt;category&gt;0&lt;/category&gt;&lt;person&gt;&lt;realName&gt;Wilde, Maaike de(ING - IMC)&lt;/realName&gt;&lt;/person&gt;</v>
      </c>
      <c r="B475" s="7" t="str">
        <f t="shared" si="189"/>
        <v>&lt;telephony nid="1"&gt;&lt;number id="0" prio="1" type="mobile"&gt;+31 623064367&lt;/number&gt;&lt;/telephony&gt;</v>
      </c>
      <c r="C475" s="7" t="str">
        <f t="shared" si="190"/>
        <v>&lt;services /&gt;&lt;setup /&gt;&lt;mod_time&gt;1500000010&lt;/mod_time&gt;&lt;uniqueid&gt;1&lt;/uniqueid&gt;&lt;/contact&gt;</v>
      </c>
      <c r="D475" t="str">
        <f t="shared" si="191"/>
        <v>&lt;contact&gt;&lt;category&gt;0&lt;/category&gt;&lt;person&gt;&lt;realName&gt;Wilde, Maaike de(ING - IMC)&lt;/realName&gt;&lt;/person&gt;</v>
      </c>
      <c r="E475" t="str">
        <f t="shared" si="192"/>
        <v>&lt;telephony nid="1"&gt;&lt;number id="0" prio="1" type="mobile"&gt;+31 623064367&lt;/number&gt;&lt;/telephony&gt;</v>
      </c>
      <c r="F475" t="str">
        <f t="shared" si="193"/>
        <v>&lt;telephony nid="1"&gt;</v>
      </c>
      <c r="G475" t="str">
        <f t="shared" si="194"/>
        <v/>
      </c>
      <c r="H475" t="str">
        <f t="shared" si="195"/>
        <v>&lt;services nid="1"&gt;&lt;email id="0" classifier="private"&gt;&lt;/email&gt;&lt;/services&gt;&lt;setup /&gt;&lt;mod_time&gt;1500000010&lt;/mod_time&gt;&lt;uniqueid&gt;1&lt;/uniqueid&gt;&lt;/contact&gt;</v>
      </c>
      <c r="I475" t="str">
        <f t="shared" si="196"/>
        <v>&lt;services /&gt;&lt;setup /&gt;&lt;mod_time&gt;1500000010&lt;/mod_time&gt;&lt;uniqueid&gt;1&lt;/uniqueid&gt;&lt;/contact&gt;</v>
      </c>
      <c r="J475" t="str">
        <f t="shared" si="197"/>
        <v>&lt;services /&gt;&lt;setup /&gt;&lt;mod_time&gt;1500000010&lt;/mod_time&gt;&lt;uniqueid&gt;1&lt;/uniqueid&gt;&lt;/contact&gt;</v>
      </c>
      <c r="K475" s="5">
        <f t="shared" si="198"/>
        <v>0</v>
      </c>
      <c r="L475" s="5">
        <f t="shared" si="199"/>
        <v>0</v>
      </c>
      <c r="M475" s="5" t="str">
        <f>CONCATENATE(+Contacts!E475)</f>
        <v/>
      </c>
      <c r="N475" t="str">
        <f t="shared" si="200"/>
        <v/>
      </c>
      <c r="O475" s="5">
        <f t="shared" si="201"/>
        <v>0</v>
      </c>
      <c r="P475" s="5">
        <f t="shared" si="202"/>
        <v>0</v>
      </c>
      <c r="Q475" s="5" t="str">
        <f>CONCATENATE(+Contacts!G475)</f>
        <v/>
      </c>
      <c r="R475" t="str">
        <f t="shared" si="203"/>
        <v>&lt;number id="0" prio="1" type="mobile"&gt;+31 623064367&lt;/number&gt;</v>
      </c>
      <c r="S475" s="5">
        <f t="shared" si="204"/>
        <v>1</v>
      </c>
      <c r="T475" s="5">
        <f t="shared" si="205"/>
        <v>1</v>
      </c>
      <c r="U475" s="5" t="str">
        <f>CONCATENATE(+Contacts!H475)</f>
        <v>+31 623064367</v>
      </c>
      <c r="V475" t="str">
        <f t="shared" si="206"/>
        <v/>
      </c>
      <c r="W475" s="5">
        <f t="shared" si="207"/>
        <v>1</v>
      </c>
      <c r="X475" s="5">
        <f t="shared" si="208"/>
        <v>1</v>
      </c>
      <c r="Y475" s="5" t="str">
        <f>CONCATENATE(+Contacts!F475)</f>
        <v/>
      </c>
      <c r="Z475" s="2" t="str">
        <f t="shared" si="209"/>
        <v>Wilde, Maaike de(ING - IMC)</v>
      </c>
      <c r="AA475" s="2" t="str">
        <f>CONCATENATE(+Contacts!C475)</f>
        <v>Wilde</v>
      </c>
      <c r="AB475" s="2" t="str">
        <f t="shared" si="210"/>
        <v xml:space="preserve">, </v>
      </c>
      <c r="AC475" s="2" t="str">
        <f>CONCATENATE(+Contacts!A475)</f>
        <v>Maaike</v>
      </c>
      <c r="AD475" s="3" t="str">
        <f>CONCATENATE(" ",+Contacts!B475)</f>
        <v xml:space="preserve"> de</v>
      </c>
      <c r="AE475" s="2" t="str">
        <f t="shared" si="211"/>
        <v>(</v>
      </c>
      <c r="AF475" s="3" t="str">
        <f>CONCATENATE(+Contacts!D475)</f>
        <v>ING - IMC</v>
      </c>
      <c r="AG475" s="2" t="str">
        <f t="shared" si="212"/>
        <v>)</v>
      </c>
      <c r="AH475" t="str">
        <f>CONCATENATE(+Contacts!I475)</f>
        <v/>
      </c>
      <c r="AI475">
        <v>1500000010</v>
      </c>
      <c r="AJ475" s="5">
        <f t="shared" si="213"/>
        <v>1</v>
      </c>
    </row>
    <row r="476" spans="1:36" x14ac:dyDescent="0.35">
      <c r="A476" s="7" t="str">
        <f t="shared" si="188"/>
        <v>&lt;contact&gt;&lt;category&gt;0&lt;/category&gt;&lt;person&gt;&lt;realName&gt;Wilhelmus, Fieke   &lt;/realName&gt;&lt;/person&gt;</v>
      </c>
      <c r="B476" s="7" t="str">
        <f t="shared" si="189"/>
        <v>&lt;telephony nid="1"&gt;&lt;number id="0" prio="1" type="home"&gt;+31 30676107&lt;/number&gt;&lt;/telephony&gt;</v>
      </c>
      <c r="C476" s="7" t="str">
        <f t="shared" si="190"/>
        <v>&lt;services /&gt;&lt;setup /&gt;&lt;mod_time&gt;1500000010&lt;/mod_time&gt;&lt;uniqueid&gt;1&lt;/uniqueid&gt;&lt;/contact&gt;</v>
      </c>
      <c r="D476" t="str">
        <f t="shared" si="191"/>
        <v>&lt;contact&gt;&lt;category&gt;0&lt;/category&gt;&lt;person&gt;&lt;realName&gt;Wilhelmus, Fieke   &lt;/realName&gt;&lt;/person&gt;</v>
      </c>
      <c r="E476" t="str">
        <f t="shared" si="192"/>
        <v>&lt;telephony nid="1"&gt;&lt;number id="0" prio="1" type="home"&gt;+31 30676107&lt;/number&gt;&lt;/telephony&gt;</v>
      </c>
      <c r="F476" t="str">
        <f t="shared" si="193"/>
        <v>&lt;telephony nid="1"&gt;</v>
      </c>
      <c r="G476" t="str">
        <f t="shared" si="194"/>
        <v/>
      </c>
      <c r="H476" t="str">
        <f t="shared" si="195"/>
        <v>&lt;services nid="1"&gt;&lt;email id="0" classifier="private"&gt;&lt;/email&gt;&lt;/services&gt;&lt;setup /&gt;&lt;mod_time&gt;1500000010&lt;/mod_time&gt;&lt;uniqueid&gt;1&lt;/uniqueid&gt;&lt;/contact&gt;</v>
      </c>
      <c r="I476" t="str">
        <f t="shared" si="196"/>
        <v>&lt;services /&gt;&lt;setup /&gt;&lt;mod_time&gt;1500000010&lt;/mod_time&gt;&lt;uniqueid&gt;1&lt;/uniqueid&gt;&lt;/contact&gt;</v>
      </c>
      <c r="J476" t="str">
        <f t="shared" si="197"/>
        <v>&lt;services /&gt;&lt;setup /&gt;&lt;mod_time&gt;1500000010&lt;/mod_time&gt;&lt;uniqueid&gt;1&lt;/uniqueid&gt;&lt;/contact&gt;</v>
      </c>
      <c r="K476" s="5">
        <f t="shared" si="198"/>
        <v>0</v>
      </c>
      <c r="L476" s="5">
        <f t="shared" si="199"/>
        <v>0</v>
      </c>
      <c r="M476" s="5" t="str">
        <f>CONCATENATE(+Contacts!E476)</f>
        <v/>
      </c>
      <c r="N476" t="str">
        <f t="shared" si="200"/>
        <v>&lt;number id="0" prio="1" type="home"&gt;+31 30676107&lt;/number&gt;</v>
      </c>
      <c r="O476" s="5">
        <f t="shared" si="201"/>
        <v>1</v>
      </c>
      <c r="P476" s="5">
        <f t="shared" si="202"/>
        <v>1</v>
      </c>
      <c r="Q476" s="5" t="str">
        <f>CONCATENATE(+Contacts!G476)</f>
        <v>+31 30676107</v>
      </c>
      <c r="R476" t="str">
        <f t="shared" si="203"/>
        <v/>
      </c>
      <c r="S476" s="5">
        <f t="shared" si="204"/>
        <v>1</v>
      </c>
      <c r="T476" s="5">
        <f t="shared" si="205"/>
        <v>1</v>
      </c>
      <c r="U476" s="5" t="str">
        <f>CONCATENATE(+Contacts!H476)</f>
        <v/>
      </c>
      <c r="V476" t="str">
        <f t="shared" si="206"/>
        <v/>
      </c>
      <c r="W476" s="5">
        <f t="shared" si="207"/>
        <v>1</v>
      </c>
      <c r="X476" s="5">
        <f t="shared" si="208"/>
        <v>1</v>
      </c>
      <c r="Y476" s="5" t="str">
        <f>CONCATENATE(+Contacts!F476)</f>
        <v/>
      </c>
      <c r="Z476" s="2" t="str">
        <f t="shared" si="209"/>
        <v xml:space="preserve">Wilhelmus, Fieke   </v>
      </c>
      <c r="AA476" s="2" t="str">
        <f>CONCATENATE(+Contacts!C476)</f>
        <v>Wilhelmus</v>
      </c>
      <c r="AB476" s="2" t="str">
        <f t="shared" si="210"/>
        <v xml:space="preserve">, </v>
      </c>
      <c r="AC476" s="2" t="str">
        <f>CONCATENATE(+Contacts!A476)</f>
        <v>Fieke</v>
      </c>
      <c r="AD476" s="3" t="str">
        <f>CONCATENATE(" ",+Contacts!B476)</f>
        <v xml:space="preserve"> </v>
      </c>
      <c r="AE476" s="2" t="str">
        <f t="shared" si="211"/>
        <v xml:space="preserve"> </v>
      </c>
      <c r="AF476" s="3" t="str">
        <f>CONCATENATE(+Contacts!D476)</f>
        <v/>
      </c>
      <c r="AG476" s="2" t="str">
        <f t="shared" si="212"/>
        <v xml:space="preserve"> </v>
      </c>
      <c r="AH476" t="str">
        <f>CONCATENATE(+Contacts!I476)</f>
        <v/>
      </c>
      <c r="AI476">
        <v>1500000010</v>
      </c>
      <c r="AJ476" s="5">
        <f t="shared" si="213"/>
        <v>1</v>
      </c>
    </row>
    <row r="477" spans="1:36" x14ac:dyDescent="0.35">
      <c r="A477" s="7" t="str">
        <f t="shared" si="188"/>
        <v>&lt;contact&gt;&lt;category&gt;0&lt;/category&gt;&lt;person&gt;&lt;realName&gt;Willemse, Christine   &lt;/realName&gt;&lt;/person&gt;</v>
      </c>
      <c r="B477" s="7" t="str">
        <f t="shared" si="189"/>
        <v>&lt;telephony nid="2"&gt;&lt;number id="0" prio="1" type="home"&gt;+31 104567275&lt;/number&gt;&lt;number id="1" prio="0" type="mobile"&gt;+31 6 54 37 41 83&lt;/number&gt;&lt;/telephony&gt;</v>
      </c>
      <c r="C477" s="7" t="str">
        <f t="shared" si="190"/>
        <v>&lt;services /&gt;&lt;setup /&gt;&lt;mod_time&gt;1500000010&lt;/mod_time&gt;&lt;uniqueid&gt;1&lt;/uniqueid&gt;&lt;/contact&gt;</v>
      </c>
      <c r="D477" t="str">
        <f t="shared" si="191"/>
        <v>&lt;contact&gt;&lt;category&gt;0&lt;/category&gt;&lt;person&gt;&lt;realName&gt;Willemse, Christine   &lt;/realName&gt;&lt;/person&gt;</v>
      </c>
      <c r="E477" t="str">
        <f t="shared" si="192"/>
        <v>&lt;telephony nid="2"&gt;&lt;number id="0" prio="1" type="home"&gt;+31 104567275&lt;/number&gt;&lt;number id="1" prio="0" type="mobile"&gt;+31 6 54 37 41 83&lt;/number&gt;&lt;/telephony&gt;</v>
      </c>
      <c r="F477" t="str">
        <f t="shared" si="193"/>
        <v>&lt;telephony nid="2"&gt;</v>
      </c>
      <c r="G477" t="str">
        <f t="shared" si="194"/>
        <v/>
      </c>
      <c r="H477" t="str">
        <f t="shared" si="195"/>
        <v>&lt;services nid="1"&gt;&lt;email id="0" classifier="private"&gt;&lt;/email&gt;&lt;/services&gt;&lt;setup /&gt;&lt;mod_time&gt;1500000010&lt;/mod_time&gt;&lt;uniqueid&gt;1&lt;/uniqueid&gt;&lt;/contact&gt;</v>
      </c>
      <c r="I477" t="str">
        <f t="shared" si="196"/>
        <v>&lt;services /&gt;&lt;setup /&gt;&lt;mod_time&gt;1500000010&lt;/mod_time&gt;&lt;uniqueid&gt;1&lt;/uniqueid&gt;&lt;/contact&gt;</v>
      </c>
      <c r="J477" t="str">
        <f t="shared" si="197"/>
        <v>&lt;services /&gt;&lt;setup /&gt;&lt;mod_time&gt;1500000010&lt;/mod_time&gt;&lt;uniqueid&gt;1&lt;/uniqueid&gt;&lt;/contact&gt;</v>
      </c>
      <c r="K477" s="5">
        <f t="shared" si="198"/>
        <v>0</v>
      </c>
      <c r="L477" s="5">
        <f t="shared" si="199"/>
        <v>0</v>
      </c>
      <c r="M477" s="5" t="str">
        <f>CONCATENATE(+Contacts!E477)</f>
        <v/>
      </c>
      <c r="N477" t="str">
        <f t="shared" si="200"/>
        <v>&lt;number id="0" prio="1" type="home"&gt;+31 104567275&lt;/number&gt;</v>
      </c>
      <c r="O477" s="5">
        <f t="shared" si="201"/>
        <v>1</v>
      </c>
      <c r="P477" s="5">
        <f t="shared" si="202"/>
        <v>1</v>
      </c>
      <c r="Q477" s="5" t="str">
        <f>CONCATENATE(+Contacts!G477)</f>
        <v>+31 104567275</v>
      </c>
      <c r="R477" t="str">
        <f t="shared" si="203"/>
        <v>&lt;number id="1" prio="0" type="mobile"&gt;+31 6 54 37 41 83&lt;/number&gt;</v>
      </c>
      <c r="S477" s="5">
        <f t="shared" si="204"/>
        <v>2</v>
      </c>
      <c r="T477" s="5">
        <f t="shared" si="205"/>
        <v>0</v>
      </c>
      <c r="U477" s="5" t="str">
        <f>CONCATENATE(+Contacts!H477)</f>
        <v>+31 6 54 37 41 83</v>
      </c>
      <c r="V477" t="str">
        <f t="shared" si="206"/>
        <v/>
      </c>
      <c r="W477" s="5">
        <f t="shared" si="207"/>
        <v>2</v>
      </c>
      <c r="X477" s="5">
        <f t="shared" si="208"/>
        <v>0</v>
      </c>
      <c r="Y477" s="5" t="str">
        <f>CONCATENATE(+Contacts!F477)</f>
        <v/>
      </c>
      <c r="Z477" s="2" t="str">
        <f t="shared" si="209"/>
        <v xml:space="preserve">Willemse, Christine   </v>
      </c>
      <c r="AA477" s="2" t="str">
        <f>CONCATENATE(+Contacts!C477)</f>
        <v>Willemse</v>
      </c>
      <c r="AB477" s="2" t="str">
        <f t="shared" si="210"/>
        <v xml:space="preserve">, </v>
      </c>
      <c r="AC477" s="2" t="str">
        <f>CONCATENATE(+Contacts!A477)</f>
        <v>Christine</v>
      </c>
      <c r="AD477" s="3" t="str">
        <f>CONCATENATE(" ",+Contacts!B477)</f>
        <v xml:space="preserve"> </v>
      </c>
      <c r="AE477" s="2" t="str">
        <f t="shared" si="211"/>
        <v xml:space="preserve"> </v>
      </c>
      <c r="AF477" s="3" t="str">
        <f>CONCATENATE(+Contacts!D477)</f>
        <v/>
      </c>
      <c r="AG477" s="2" t="str">
        <f t="shared" si="212"/>
        <v xml:space="preserve"> </v>
      </c>
      <c r="AH477" t="str">
        <f>CONCATENATE(+Contacts!I477)</f>
        <v/>
      </c>
      <c r="AI477">
        <v>1500000010</v>
      </c>
      <c r="AJ477" s="5">
        <f t="shared" si="213"/>
        <v>1</v>
      </c>
    </row>
    <row r="478" spans="1:36" x14ac:dyDescent="0.35">
      <c r="A478" s="7" t="str">
        <f t="shared" si="188"/>
        <v>&lt;contact&gt;&lt;category&gt;0&lt;/category&gt;&lt;person&gt;&lt;realName&gt;Woittiez, Lotte   &lt;/realName&gt;&lt;/person&gt;</v>
      </c>
      <c r="B478" s="7" t="str">
        <f t="shared" si="189"/>
        <v>&lt;telephony nid="2"&gt;&lt;number id="0" prio="1" type="mobile"&gt;+31 630117407&lt;/number&gt;&lt;number id="1" prio="0" type="work"&gt;+62 85216494814&lt;/number&gt;&lt;/telephony&gt;</v>
      </c>
      <c r="C478" s="7" t="str">
        <f t="shared" si="190"/>
        <v>&lt;services nid="1"&gt;&lt;email id="0" classifier="private"&gt;lotte.woittiez@gmail.com&lt;/email&gt;&lt;/services&gt;&lt;setup /&gt;&lt;mod_time&gt;1500000010&lt;/mod_time&gt;&lt;uniqueid&gt;1&lt;/uniqueid&gt;&lt;/contact&gt;</v>
      </c>
      <c r="D478" t="str">
        <f t="shared" si="191"/>
        <v>&lt;contact&gt;&lt;category&gt;0&lt;/category&gt;&lt;person&gt;&lt;realName&gt;Woittiez, Lotte   &lt;/realName&gt;&lt;/person&gt;</v>
      </c>
      <c r="E478" t="str">
        <f t="shared" si="192"/>
        <v>&lt;telephony nid="2"&gt;&lt;number id="0" prio="1" type="mobile"&gt;+31 630117407&lt;/number&gt;&lt;number id="1" prio="0" type="work"&gt;+62 85216494814&lt;/number&gt;&lt;/telephony&gt;</v>
      </c>
      <c r="F478" t="str">
        <f t="shared" si="193"/>
        <v>&lt;telephony nid="2"&gt;</v>
      </c>
      <c r="G478" t="str">
        <f t="shared" si="194"/>
        <v/>
      </c>
      <c r="H478" t="str">
        <f t="shared" si="195"/>
        <v>&lt;services nid="1"&gt;&lt;email id="0" classifier="private"&gt;lotte.woittiez@gmail.com&lt;/email&gt;&lt;/services&gt;&lt;setup /&gt;&lt;mod_time&gt;1500000010&lt;/mod_time&gt;&lt;uniqueid&gt;1&lt;/uniqueid&gt;&lt;/contact&gt;</v>
      </c>
      <c r="I478" t="str">
        <f t="shared" si="196"/>
        <v>&lt;services /&gt;&lt;setup /&gt;&lt;mod_time&gt;1500000010&lt;/mod_time&gt;&lt;uniqueid&gt;1&lt;/uniqueid&gt;&lt;/contact&gt;</v>
      </c>
      <c r="J478" t="str">
        <f t="shared" si="197"/>
        <v>&lt;services nid="1"&gt;&lt;email id="0" classifier="private"&gt;lotte.woittiez@gmail.com&lt;/email&gt;&lt;/services&gt;&lt;setup /&gt;&lt;mod_time&gt;1500000010&lt;/mod_time&gt;&lt;uniqueid&gt;1&lt;/uniqueid&gt;&lt;/contact&gt;</v>
      </c>
      <c r="K478" s="5">
        <f t="shared" si="198"/>
        <v>0</v>
      </c>
      <c r="L478" s="5">
        <f t="shared" si="199"/>
        <v>0</v>
      </c>
      <c r="M478" s="5" t="str">
        <f>CONCATENATE(+Contacts!E478)</f>
        <v/>
      </c>
      <c r="N478" t="str">
        <f t="shared" si="200"/>
        <v/>
      </c>
      <c r="O478" s="5">
        <f t="shared" si="201"/>
        <v>0</v>
      </c>
      <c r="P478" s="5">
        <f t="shared" si="202"/>
        <v>0</v>
      </c>
      <c r="Q478" s="5" t="str">
        <f>CONCATENATE(+Contacts!G478)</f>
        <v/>
      </c>
      <c r="R478" t="str">
        <f t="shared" si="203"/>
        <v>&lt;number id="0" prio="1" type="mobile"&gt;+31 630117407&lt;/number&gt;</v>
      </c>
      <c r="S478" s="5">
        <f t="shared" si="204"/>
        <v>1</v>
      </c>
      <c r="T478" s="5">
        <f t="shared" si="205"/>
        <v>1</v>
      </c>
      <c r="U478" s="5" t="str">
        <f>CONCATENATE(+Contacts!H478)</f>
        <v>+31 630117407</v>
      </c>
      <c r="V478" t="str">
        <f t="shared" si="206"/>
        <v>&lt;number id="1" prio="0" type="work"&gt;+62 85216494814&lt;/number&gt;</v>
      </c>
      <c r="W478" s="5">
        <f t="shared" si="207"/>
        <v>2</v>
      </c>
      <c r="X478" s="5">
        <f t="shared" si="208"/>
        <v>0</v>
      </c>
      <c r="Y478" s="5" t="str">
        <f>CONCATENATE(+Contacts!F478)</f>
        <v>+62 85216494814</v>
      </c>
      <c r="Z478" s="2" t="str">
        <f t="shared" si="209"/>
        <v xml:space="preserve">Woittiez, Lotte   </v>
      </c>
      <c r="AA478" s="2" t="str">
        <f>CONCATENATE(+Contacts!C478)</f>
        <v>Woittiez</v>
      </c>
      <c r="AB478" s="2" t="str">
        <f t="shared" si="210"/>
        <v xml:space="preserve">, </v>
      </c>
      <c r="AC478" s="2" t="str">
        <f>CONCATENATE(+Contacts!A478)</f>
        <v>Lotte</v>
      </c>
      <c r="AD478" s="3" t="str">
        <f>CONCATENATE(" ",+Contacts!B478)</f>
        <v xml:space="preserve"> </v>
      </c>
      <c r="AE478" s="2" t="str">
        <f t="shared" si="211"/>
        <v xml:space="preserve"> </v>
      </c>
      <c r="AF478" s="3" t="str">
        <f>CONCATENATE(+Contacts!D478)</f>
        <v/>
      </c>
      <c r="AG478" s="2" t="str">
        <f t="shared" si="212"/>
        <v xml:space="preserve"> </v>
      </c>
      <c r="AH478" t="str">
        <f>CONCATENATE(+Contacts!I478)</f>
        <v>lotte.woittiez@gmail.com</v>
      </c>
      <c r="AI478">
        <v>1500000010</v>
      </c>
      <c r="AJ478" s="5">
        <f t="shared" si="213"/>
        <v>1</v>
      </c>
    </row>
    <row r="479" spans="1:36" x14ac:dyDescent="0.35">
      <c r="A479" s="7" t="str">
        <f t="shared" si="188"/>
        <v/>
      </c>
      <c r="B479" s="7" t="str">
        <f t="shared" si="189"/>
        <v/>
      </c>
      <c r="C479" s="7" t="str">
        <f t="shared" si="190"/>
        <v/>
      </c>
      <c r="D479" t="str">
        <f t="shared" si="191"/>
        <v>&lt;contact&gt;&lt;category&gt;0&lt;/category&gt;&lt;person&gt;&lt;realName&gt;Wolterink, Dick   &lt;/realName&gt;&lt;/person&gt;</v>
      </c>
      <c r="E479" t="str">
        <f t="shared" si="192"/>
        <v>&lt;telephony nid="0"&gt;&lt;/telephony&gt;</v>
      </c>
      <c r="F479" t="str">
        <f t="shared" si="193"/>
        <v>&lt;telephony nid="0"&gt;</v>
      </c>
      <c r="G479" t="str">
        <f t="shared" si="194"/>
        <v/>
      </c>
      <c r="H479" t="str">
        <f t="shared" si="195"/>
        <v>&lt;services nid="1"&gt;&lt;email id="0" classifier="private"&gt;dwolterink@melanchthon.nl&lt;/email&gt;&lt;/services&gt;&lt;setup /&gt;&lt;mod_time&gt;1500000010&lt;/mod_time&gt;&lt;uniqueid&gt;0&lt;/uniqueid&gt;&lt;/contact&gt;</v>
      </c>
      <c r="I479" t="str">
        <f t="shared" si="196"/>
        <v>&lt;services /&gt;&lt;setup /&gt;&lt;mod_time&gt;1500000010&lt;/mod_time&gt;&lt;uniqueid&gt;0&lt;/uniqueid&gt;&lt;/contact&gt;</v>
      </c>
      <c r="J479" t="str">
        <f t="shared" si="197"/>
        <v>&lt;services nid="1"&gt;&lt;email id="0" classifier="private"&gt;dwolterink@melanchthon.nl&lt;/email&gt;&lt;/services&gt;&lt;setup /&gt;&lt;mod_time&gt;1500000010&lt;/mod_time&gt;&lt;uniqueid&gt;0&lt;/uniqueid&gt;&lt;/contact&gt;</v>
      </c>
      <c r="K479" s="5">
        <f t="shared" si="198"/>
        <v>0</v>
      </c>
      <c r="L479" s="5">
        <f t="shared" si="199"/>
        <v>0</v>
      </c>
      <c r="M479" s="5" t="str">
        <f>CONCATENATE(+Contacts!E479)</f>
        <v/>
      </c>
      <c r="N479" t="str">
        <f t="shared" si="200"/>
        <v/>
      </c>
      <c r="O479" s="5">
        <f t="shared" si="201"/>
        <v>0</v>
      </c>
      <c r="P479" s="5">
        <f t="shared" si="202"/>
        <v>0</v>
      </c>
      <c r="Q479" s="5" t="str">
        <f>CONCATENATE(+Contacts!G479)</f>
        <v/>
      </c>
      <c r="R479" t="str">
        <f t="shared" si="203"/>
        <v/>
      </c>
      <c r="S479" s="5">
        <f t="shared" si="204"/>
        <v>0</v>
      </c>
      <c r="T479" s="5">
        <f t="shared" si="205"/>
        <v>0</v>
      </c>
      <c r="U479" s="5" t="str">
        <f>CONCATENATE(+Contacts!H479)</f>
        <v/>
      </c>
      <c r="V479" t="str">
        <f t="shared" si="206"/>
        <v/>
      </c>
      <c r="W479" s="5">
        <f t="shared" si="207"/>
        <v>0</v>
      </c>
      <c r="X479" s="5">
        <f t="shared" si="208"/>
        <v>0</v>
      </c>
      <c r="Y479" s="5" t="str">
        <f>CONCATENATE(+Contacts!F479)</f>
        <v/>
      </c>
      <c r="Z479" s="2" t="str">
        <f t="shared" si="209"/>
        <v xml:space="preserve">Wolterink, Dick   </v>
      </c>
      <c r="AA479" s="2" t="str">
        <f>CONCATENATE(+Contacts!C479)</f>
        <v>Wolterink</v>
      </c>
      <c r="AB479" s="2" t="str">
        <f t="shared" si="210"/>
        <v xml:space="preserve">, </v>
      </c>
      <c r="AC479" s="2" t="str">
        <f>CONCATENATE(+Contacts!A479)</f>
        <v>Dick</v>
      </c>
      <c r="AD479" s="3" t="str">
        <f>CONCATENATE(" ",+Contacts!B479)</f>
        <v xml:space="preserve"> </v>
      </c>
      <c r="AE479" s="2" t="str">
        <f t="shared" si="211"/>
        <v xml:space="preserve"> </v>
      </c>
      <c r="AF479" s="3" t="str">
        <f>CONCATENATE(+Contacts!D479)</f>
        <v/>
      </c>
      <c r="AG479" s="2" t="str">
        <f t="shared" si="212"/>
        <v xml:space="preserve"> </v>
      </c>
      <c r="AH479" t="str">
        <f>CONCATENATE(+Contacts!I479)</f>
        <v>dwolterink@melanchthon.nl</v>
      </c>
      <c r="AI479">
        <v>1500000010</v>
      </c>
      <c r="AJ479" s="5">
        <f t="shared" si="213"/>
        <v>0</v>
      </c>
    </row>
    <row r="480" spans="1:36" x14ac:dyDescent="0.35">
      <c r="A480" s="7" t="str">
        <f t="shared" si="188"/>
        <v>&lt;contact&gt;&lt;category&gt;0&lt;/category&gt;&lt;person&gt;&lt;realName&gt;Wolters, Frouktje   &lt;/realName&gt;&lt;/person&gt;</v>
      </c>
      <c r="B480" s="7" t="str">
        <f t="shared" si="189"/>
        <v>&lt;telephony nid="2"&gt;&lt;number id="0" prio="1" type="home"&gt;+31 793219680&lt;/number&gt;&lt;number id="1" prio="0" type="mobile"&gt;+31 683544440&lt;/number&gt;&lt;/telephony&gt;</v>
      </c>
      <c r="C480" s="7" t="str">
        <f t="shared" si="190"/>
        <v>&lt;services nid="1"&gt;&lt;email id="0" classifier="private"&gt;fm.wolters@hccnet.nl&lt;/email&gt;&lt;/services&gt;&lt;setup /&gt;&lt;mod_time&gt;1500000010&lt;/mod_time&gt;&lt;uniqueid&gt;1&lt;/uniqueid&gt;&lt;/contact&gt;</v>
      </c>
      <c r="D480" t="str">
        <f t="shared" si="191"/>
        <v>&lt;contact&gt;&lt;category&gt;0&lt;/category&gt;&lt;person&gt;&lt;realName&gt;Wolters, Frouktje   &lt;/realName&gt;&lt;/person&gt;</v>
      </c>
      <c r="E480" t="str">
        <f t="shared" si="192"/>
        <v>&lt;telephony nid="2"&gt;&lt;number id="0" prio="1" type="home"&gt;+31 793219680&lt;/number&gt;&lt;number id="1" prio="0" type="mobile"&gt;+31 683544440&lt;/number&gt;&lt;/telephony&gt;</v>
      </c>
      <c r="F480" t="str">
        <f t="shared" si="193"/>
        <v>&lt;telephony nid="2"&gt;</v>
      </c>
      <c r="G480" t="str">
        <f t="shared" si="194"/>
        <v/>
      </c>
      <c r="H480" t="str">
        <f t="shared" si="195"/>
        <v>&lt;services nid="1"&gt;&lt;email id="0" classifier="private"&gt;fm.wolters@hccnet.nl&lt;/email&gt;&lt;/services&gt;&lt;setup /&gt;&lt;mod_time&gt;1500000010&lt;/mod_time&gt;&lt;uniqueid&gt;1&lt;/uniqueid&gt;&lt;/contact&gt;</v>
      </c>
      <c r="I480" t="str">
        <f t="shared" si="196"/>
        <v>&lt;services /&gt;&lt;setup /&gt;&lt;mod_time&gt;1500000010&lt;/mod_time&gt;&lt;uniqueid&gt;1&lt;/uniqueid&gt;&lt;/contact&gt;</v>
      </c>
      <c r="J480" t="str">
        <f t="shared" si="197"/>
        <v>&lt;services nid="1"&gt;&lt;email id="0" classifier="private"&gt;fm.wolters@hccnet.nl&lt;/email&gt;&lt;/services&gt;&lt;setup /&gt;&lt;mod_time&gt;1500000010&lt;/mod_time&gt;&lt;uniqueid&gt;1&lt;/uniqueid&gt;&lt;/contact&gt;</v>
      </c>
      <c r="K480" s="5">
        <f t="shared" si="198"/>
        <v>0</v>
      </c>
      <c r="L480" s="5">
        <f t="shared" si="199"/>
        <v>0</v>
      </c>
      <c r="M480" s="5" t="str">
        <f>CONCATENATE(+Contacts!E480)</f>
        <v/>
      </c>
      <c r="N480" t="str">
        <f t="shared" si="200"/>
        <v>&lt;number id="0" prio="1" type="home"&gt;+31 793219680&lt;/number&gt;</v>
      </c>
      <c r="O480" s="5">
        <f t="shared" si="201"/>
        <v>1</v>
      </c>
      <c r="P480" s="5">
        <f t="shared" si="202"/>
        <v>1</v>
      </c>
      <c r="Q480" s="5" t="str">
        <f>CONCATENATE(+Contacts!G480)</f>
        <v>+31 793219680</v>
      </c>
      <c r="R480" t="str">
        <f t="shared" si="203"/>
        <v>&lt;number id="1" prio="0" type="mobile"&gt;+31 683544440&lt;/number&gt;</v>
      </c>
      <c r="S480" s="5">
        <f t="shared" si="204"/>
        <v>2</v>
      </c>
      <c r="T480" s="5">
        <f t="shared" si="205"/>
        <v>0</v>
      </c>
      <c r="U480" s="5" t="str">
        <f>CONCATENATE(+Contacts!H480)</f>
        <v>+31 683544440</v>
      </c>
      <c r="V480" t="str">
        <f t="shared" si="206"/>
        <v/>
      </c>
      <c r="W480" s="5">
        <f t="shared" si="207"/>
        <v>2</v>
      </c>
      <c r="X480" s="5">
        <f t="shared" si="208"/>
        <v>0</v>
      </c>
      <c r="Y480" s="5" t="str">
        <f>CONCATENATE(+Contacts!F480)</f>
        <v/>
      </c>
      <c r="Z480" s="2" t="str">
        <f t="shared" si="209"/>
        <v xml:space="preserve">Wolters, Frouktje   </v>
      </c>
      <c r="AA480" s="2" t="str">
        <f>CONCATENATE(+Contacts!C480)</f>
        <v>Wolters</v>
      </c>
      <c r="AB480" s="2" t="str">
        <f t="shared" si="210"/>
        <v xml:space="preserve">, </v>
      </c>
      <c r="AC480" s="2" t="str">
        <f>CONCATENATE(+Contacts!A480)</f>
        <v>Frouktje</v>
      </c>
      <c r="AD480" s="3" t="str">
        <f>CONCATENATE(" ",+Contacts!B480)</f>
        <v xml:space="preserve"> </v>
      </c>
      <c r="AE480" s="2" t="str">
        <f t="shared" si="211"/>
        <v xml:space="preserve"> </v>
      </c>
      <c r="AF480" s="3" t="str">
        <f>CONCATENATE(+Contacts!D480)</f>
        <v/>
      </c>
      <c r="AG480" s="2" t="str">
        <f t="shared" si="212"/>
        <v xml:space="preserve"> </v>
      </c>
      <c r="AH480" t="str">
        <f>CONCATENATE(+Contacts!I480)</f>
        <v>fm.wolters@hccnet.nl</v>
      </c>
      <c r="AI480">
        <v>1500000010</v>
      </c>
      <c r="AJ480" s="5">
        <f t="shared" si="213"/>
        <v>1</v>
      </c>
    </row>
    <row r="481" spans="1:36" x14ac:dyDescent="0.35">
      <c r="A481" s="7" t="str">
        <f t="shared" si="188"/>
        <v>&lt;contact&gt;&lt;category&gt;0&lt;/category&gt;&lt;person&gt;&lt;realName&gt;Zandbergen, Paul   &lt;/realName&gt;&lt;/person&gt;</v>
      </c>
      <c r="B481" s="7" t="str">
        <f t="shared" si="189"/>
        <v>&lt;telephony nid="1"&gt;&lt;number id="0" prio="1" type="home"&gt;+31 648 072 391&lt;/number&gt;&lt;/telephony&gt;</v>
      </c>
      <c r="C481" s="7" t="str">
        <f t="shared" si="190"/>
        <v>&lt;services nid="1"&gt;&lt;email id="0" classifier="private"&gt;info@zandbergenguitars.nl&lt;/email&gt;&lt;/services&gt;&lt;setup /&gt;&lt;mod_time&gt;1500000010&lt;/mod_time&gt;&lt;uniqueid&gt;1&lt;/uniqueid&gt;&lt;/contact&gt;</v>
      </c>
      <c r="D481" t="str">
        <f t="shared" si="191"/>
        <v>&lt;contact&gt;&lt;category&gt;0&lt;/category&gt;&lt;person&gt;&lt;realName&gt;Zandbergen, Paul   &lt;/realName&gt;&lt;/person&gt;</v>
      </c>
      <c r="E481" t="str">
        <f t="shared" si="192"/>
        <v>&lt;telephony nid="1"&gt;&lt;number id="0" prio="1" type="home"&gt;+31 648 072 391&lt;/number&gt;&lt;/telephony&gt;</v>
      </c>
      <c r="F481" t="str">
        <f t="shared" si="193"/>
        <v>&lt;telephony nid="1"&gt;</v>
      </c>
      <c r="G481" t="str">
        <f t="shared" si="194"/>
        <v/>
      </c>
      <c r="H481" t="str">
        <f t="shared" si="195"/>
        <v>&lt;services nid="1"&gt;&lt;email id="0" classifier="private"&gt;info@zandbergenguitars.nl&lt;/email&gt;&lt;/services&gt;&lt;setup /&gt;&lt;mod_time&gt;1500000010&lt;/mod_time&gt;&lt;uniqueid&gt;1&lt;/uniqueid&gt;&lt;/contact&gt;</v>
      </c>
      <c r="I481" t="str">
        <f t="shared" si="196"/>
        <v>&lt;services /&gt;&lt;setup /&gt;&lt;mod_time&gt;1500000010&lt;/mod_time&gt;&lt;uniqueid&gt;1&lt;/uniqueid&gt;&lt;/contact&gt;</v>
      </c>
      <c r="J481" t="str">
        <f t="shared" si="197"/>
        <v>&lt;services nid="1"&gt;&lt;email id="0" classifier="private"&gt;info@zandbergenguitars.nl&lt;/email&gt;&lt;/services&gt;&lt;setup /&gt;&lt;mod_time&gt;1500000010&lt;/mod_time&gt;&lt;uniqueid&gt;1&lt;/uniqueid&gt;&lt;/contact&gt;</v>
      </c>
      <c r="K481" s="5">
        <f t="shared" si="198"/>
        <v>0</v>
      </c>
      <c r="L481" s="5">
        <f t="shared" si="199"/>
        <v>0</v>
      </c>
      <c r="M481" s="5" t="str">
        <f>CONCATENATE(+Contacts!E481)</f>
        <v/>
      </c>
      <c r="N481" t="str">
        <f t="shared" si="200"/>
        <v>&lt;number id="0" prio="1" type="home"&gt;+31 648 072 391&lt;/number&gt;</v>
      </c>
      <c r="O481" s="5">
        <f t="shared" si="201"/>
        <v>1</v>
      </c>
      <c r="P481" s="5">
        <f t="shared" si="202"/>
        <v>1</v>
      </c>
      <c r="Q481" s="5" t="str">
        <f>CONCATENATE(+Contacts!G481)</f>
        <v>+31 648 072 391</v>
      </c>
      <c r="R481" t="str">
        <f t="shared" si="203"/>
        <v/>
      </c>
      <c r="S481" s="5">
        <f t="shared" si="204"/>
        <v>1</v>
      </c>
      <c r="T481" s="5">
        <f t="shared" si="205"/>
        <v>1</v>
      </c>
      <c r="U481" s="5" t="str">
        <f>CONCATENATE(+Contacts!H481)</f>
        <v/>
      </c>
      <c r="V481" t="str">
        <f t="shared" si="206"/>
        <v/>
      </c>
      <c r="W481" s="5">
        <f t="shared" si="207"/>
        <v>1</v>
      </c>
      <c r="X481" s="5">
        <f t="shared" si="208"/>
        <v>1</v>
      </c>
      <c r="Y481" s="5" t="str">
        <f>CONCATENATE(+Contacts!F481)</f>
        <v/>
      </c>
      <c r="Z481" s="2" t="str">
        <f t="shared" si="209"/>
        <v xml:space="preserve">Zandbergen, Paul   </v>
      </c>
      <c r="AA481" s="2" t="str">
        <f>CONCATENATE(+Contacts!C481)</f>
        <v>Zandbergen</v>
      </c>
      <c r="AB481" s="2" t="str">
        <f t="shared" si="210"/>
        <v xml:space="preserve">, </v>
      </c>
      <c r="AC481" s="2" t="str">
        <f>CONCATENATE(+Contacts!A481)</f>
        <v>Paul</v>
      </c>
      <c r="AD481" s="3" t="str">
        <f>CONCATENATE(" ",+Contacts!B481)</f>
        <v xml:space="preserve"> </v>
      </c>
      <c r="AE481" s="2" t="str">
        <f t="shared" si="211"/>
        <v xml:space="preserve"> </v>
      </c>
      <c r="AF481" s="3" t="str">
        <f>CONCATENATE(+Contacts!D481)</f>
        <v/>
      </c>
      <c r="AG481" s="2" t="str">
        <f t="shared" si="212"/>
        <v xml:space="preserve"> </v>
      </c>
      <c r="AH481" t="str">
        <f>CONCATENATE(+Contacts!I481)</f>
        <v>info@zandbergenguitars.nl</v>
      </c>
      <c r="AI481">
        <v>1500000010</v>
      </c>
      <c r="AJ481" s="5">
        <f t="shared" si="213"/>
        <v>1</v>
      </c>
    </row>
    <row r="482" spans="1:36" x14ac:dyDescent="0.35">
      <c r="A482" s="7" t="str">
        <f t="shared" si="188"/>
        <v/>
      </c>
      <c r="B482" s="7" t="str">
        <f t="shared" si="189"/>
        <v/>
      </c>
      <c r="C482" s="7" t="str">
        <f t="shared" si="190"/>
        <v/>
      </c>
      <c r="D482" t="str">
        <f t="shared" si="191"/>
        <v>&lt;contact&gt;&lt;category&gt;0&lt;/category&gt;&lt;person&gt;&lt;realName&gt;Zandstra, Jente   &lt;/realName&gt;&lt;/person&gt;</v>
      </c>
      <c r="E482" t="str">
        <f t="shared" si="192"/>
        <v>&lt;telephony nid="0"&gt;&lt;/telephony&gt;</v>
      </c>
      <c r="F482" t="str">
        <f t="shared" si="193"/>
        <v>&lt;telephony nid="0"&gt;</v>
      </c>
      <c r="G482" t="str">
        <f t="shared" si="194"/>
        <v/>
      </c>
      <c r="H482" t="str">
        <f t="shared" si="195"/>
        <v>&lt;services nid="1"&gt;&lt;email id="0" classifier="private"&gt;&lt;/email&gt;&lt;/services&gt;&lt;setup /&gt;&lt;mod_time&gt;1500000010&lt;/mod_time&gt;&lt;uniqueid&gt;0&lt;/uniqueid&gt;&lt;/contact&gt;</v>
      </c>
      <c r="I482" t="str">
        <f t="shared" si="196"/>
        <v>&lt;services /&gt;&lt;setup /&gt;&lt;mod_time&gt;1500000010&lt;/mod_time&gt;&lt;uniqueid&gt;0&lt;/uniqueid&gt;&lt;/contact&gt;</v>
      </c>
      <c r="J482" t="str">
        <f t="shared" si="197"/>
        <v>&lt;services /&gt;&lt;setup /&gt;&lt;mod_time&gt;1500000010&lt;/mod_time&gt;&lt;uniqueid&gt;0&lt;/uniqueid&gt;&lt;/contact&gt;</v>
      </c>
      <c r="K482" s="5">
        <f t="shared" si="198"/>
        <v>0</v>
      </c>
      <c r="L482" s="5">
        <f t="shared" si="199"/>
        <v>0</v>
      </c>
      <c r="M482" s="5" t="str">
        <f>CONCATENATE(+Contacts!E482)</f>
        <v/>
      </c>
      <c r="N482" t="str">
        <f t="shared" si="200"/>
        <v/>
      </c>
      <c r="O482" s="5">
        <f t="shared" si="201"/>
        <v>0</v>
      </c>
      <c r="P482" s="5">
        <f t="shared" si="202"/>
        <v>0</v>
      </c>
      <c r="Q482" s="5" t="str">
        <f>CONCATENATE(+Contacts!G482)</f>
        <v/>
      </c>
      <c r="R482" t="str">
        <f t="shared" si="203"/>
        <v/>
      </c>
      <c r="S482" s="5">
        <f t="shared" si="204"/>
        <v>0</v>
      </c>
      <c r="T482" s="5">
        <f t="shared" si="205"/>
        <v>0</v>
      </c>
      <c r="U482" s="5" t="str">
        <f>CONCATENATE(+Contacts!H482)</f>
        <v/>
      </c>
      <c r="V482" t="str">
        <f t="shared" si="206"/>
        <v/>
      </c>
      <c r="W482" s="5">
        <f t="shared" si="207"/>
        <v>0</v>
      </c>
      <c r="X482" s="5">
        <f t="shared" si="208"/>
        <v>0</v>
      </c>
      <c r="Y482" s="5" t="str">
        <f>CONCATENATE(+Contacts!F482)</f>
        <v/>
      </c>
      <c r="Z482" s="2" t="str">
        <f t="shared" si="209"/>
        <v xml:space="preserve">Zandstra, Jente   </v>
      </c>
      <c r="AA482" s="2" t="str">
        <f>CONCATENATE(+Contacts!C482)</f>
        <v>Zandstra</v>
      </c>
      <c r="AB482" s="2" t="str">
        <f t="shared" si="210"/>
        <v xml:space="preserve">, </v>
      </c>
      <c r="AC482" s="2" t="str">
        <f>CONCATENATE(+Contacts!A482)</f>
        <v>Jente</v>
      </c>
      <c r="AD482" s="3" t="str">
        <f>CONCATENATE(" ",+Contacts!B482)</f>
        <v xml:space="preserve"> </v>
      </c>
      <c r="AE482" s="2" t="str">
        <f t="shared" si="211"/>
        <v xml:space="preserve"> </v>
      </c>
      <c r="AF482" s="3" t="str">
        <f>CONCATENATE(+Contacts!D482)</f>
        <v/>
      </c>
      <c r="AG482" s="2" t="str">
        <f t="shared" si="212"/>
        <v xml:space="preserve"> </v>
      </c>
      <c r="AH482" t="str">
        <f>CONCATENATE(+Contacts!I482)</f>
        <v/>
      </c>
      <c r="AI482">
        <v>1500000010</v>
      </c>
      <c r="AJ482" s="5">
        <f t="shared" si="213"/>
        <v>0</v>
      </c>
    </row>
    <row r="483" spans="1:36" x14ac:dyDescent="0.35">
      <c r="A483" s="7" t="str">
        <f t="shared" si="188"/>
        <v>&lt;contact&gt;&lt;category&gt;0&lt;/category&gt;&lt;person&gt;&lt;realName&gt;Zandstra, Joren   &lt;/realName&gt;&lt;/person&gt;</v>
      </c>
      <c r="B483" s="7" t="str">
        <f t="shared" si="189"/>
        <v>&lt;telephony nid="1"&gt;&lt;number id="0" prio="1" type="mobile"&gt;+31 643435499&lt;/number&gt;&lt;/telephony&gt;</v>
      </c>
      <c r="C483" s="7" t="str">
        <f t="shared" si="190"/>
        <v>&lt;services nid="1"&gt;&lt;email id="0" classifier="private"&gt;m_d_m_@hotmail.com&lt;/email&gt;&lt;/services&gt;&lt;setup /&gt;&lt;mod_time&gt;1500000010&lt;/mod_time&gt;&lt;uniqueid&gt;1&lt;/uniqueid&gt;&lt;/contact&gt;</v>
      </c>
      <c r="D483" t="str">
        <f t="shared" si="191"/>
        <v>&lt;contact&gt;&lt;category&gt;0&lt;/category&gt;&lt;person&gt;&lt;realName&gt;Zandstra, Joren   &lt;/realName&gt;&lt;/person&gt;</v>
      </c>
      <c r="E483" t="str">
        <f t="shared" si="192"/>
        <v>&lt;telephony nid="1"&gt;&lt;number id="0" prio="1" type="mobile"&gt;+31 643435499&lt;/number&gt;&lt;/telephony&gt;</v>
      </c>
      <c r="F483" t="str">
        <f t="shared" si="193"/>
        <v>&lt;telephony nid="1"&gt;</v>
      </c>
      <c r="G483" t="str">
        <f t="shared" si="194"/>
        <v/>
      </c>
      <c r="H483" t="str">
        <f t="shared" si="195"/>
        <v>&lt;services nid="1"&gt;&lt;email id="0" classifier="private"&gt;m_d_m_@hotmail.com&lt;/email&gt;&lt;/services&gt;&lt;setup /&gt;&lt;mod_time&gt;1500000010&lt;/mod_time&gt;&lt;uniqueid&gt;1&lt;/uniqueid&gt;&lt;/contact&gt;</v>
      </c>
      <c r="I483" t="str">
        <f t="shared" si="196"/>
        <v>&lt;services /&gt;&lt;setup /&gt;&lt;mod_time&gt;1500000010&lt;/mod_time&gt;&lt;uniqueid&gt;1&lt;/uniqueid&gt;&lt;/contact&gt;</v>
      </c>
      <c r="J483" t="str">
        <f t="shared" si="197"/>
        <v>&lt;services nid="1"&gt;&lt;email id="0" classifier="private"&gt;m_d_m_@hotmail.com&lt;/email&gt;&lt;/services&gt;&lt;setup /&gt;&lt;mod_time&gt;1500000010&lt;/mod_time&gt;&lt;uniqueid&gt;1&lt;/uniqueid&gt;&lt;/contact&gt;</v>
      </c>
      <c r="K483" s="5">
        <f t="shared" si="198"/>
        <v>0</v>
      </c>
      <c r="L483" s="5">
        <f t="shared" si="199"/>
        <v>0</v>
      </c>
      <c r="M483" s="5" t="str">
        <f>CONCATENATE(+Contacts!E483)</f>
        <v/>
      </c>
      <c r="N483" t="str">
        <f t="shared" si="200"/>
        <v/>
      </c>
      <c r="O483" s="5">
        <f t="shared" si="201"/>
        <v>0</v>
      </c>
      <c r="P483" s="5">
        <f t="shared" si="202"/>
        <v>0</v>
      </c>
      <c r="Q483" s="5" t="str">
        <f>CONCATENATE(+Contacts!G483)</f>
        <v/>
      </c>
      <c r="R483" t="str">
        <f t="shared" si="203"/>
        <v>&lt;number id="0" prio="1" type="mobile"&gt;+31 643435499&lt;/number&gt;</v>
      </c>
      <c r="S483" s="5">
        <f t="shared" si="204"/>
        <v>1</v>
      </c>
      <c r="T483" s="5">
        <f t="shared" si="205"/>
        <v>1</v>
      </c>
      <c r="U483" s="5" t="str">
        <f>CONCATENATE(+Contacts!H483)</f>
        <v>+31 643435499</v>
      </c>
      <c r="V483" t="str">
        <f t="shared" si="206"/>
        <v/>
      </c>
      <c r="W483" s="5">
        <f t="shared" si="207"/>
        <v>1</v>
      </c>
      <c r="X483" s="5">
        <f t="shared" si="208"/>
        <v>1</v>
      </c>
      <c r="Y483" s="5" t="str">
        <f>CONCATENATE(+Contacts!F483)</f>
        <v/>
      </c>
      <c r="Z483" s="2" t="str">
        <f t="shared" si="209"/>
        <v xml:space="preserve">Zandstra, Joren   </v>
      </c>
      <c r="AA483" s="2" t="str">
        <f>CONCATENATE(+Contacts!C483)</f>
        <v>Zandstra</v>
      </c>
      <c r="AB483" s="2" t="str">
        <f t="shared" si="210"/>
        <v xml:space="preserve">, </v>
      </c>
      <c r="AC483" s="2" t="str">
        <f>CONCATENATE(+Contacts!A483)</f>
        <v>Joren</v>
      </c>
      <c r="AD483" s="3" t="str">
        <f>CONCATENATE(" ",+Contacts!B483)</f>
        <v xml:space="preserve"> </v>
      </c>
      <c r="AE483" s="2" t="str">
        <f t="shared" si="211"/>
        <v xml:space="preserve"> </v>
      </c>
      <c r="AF483" s="3" t="str">
        <f>CONCATENATE(+Contacts!D483)</f>
        <v/>
      </c>
      <c r="AG483" s="2" t="str">
        <f t="shared" si="212"/>
        <v xml:space="preserve"> </v>
      </c>
      <c r="AH483" t="str">
        <f>CONCATENATE(+Contacts!I483)</f>
        <v>m_d_m_@hotmail.com</v>
      </c>
      <c r="AI483">
        <v>1500000010</v>
      </c>
      <c r="AJ483" s="5">
        <f t="shared" si="213"/>
        <v>1</v>
      </c>
    </row>
    <row r="484" spans="1:36" x14ac:dyDescent="0.35">
      <c r="A484" s="7" t="str">
        <f t="shared" si="188"/>
        <v/>
      </c>
      <c r="B484" s="7" t="str">
        <f t="shared" si="189"/>
        <v/>
      </c>
      <c r="C484" s="7" t="str">
        <f t="shared" si="190"/>
        <v/>
      </c>
      <c r="D484" t="str">
        <f t="shared" si="191"/>
        <v>&lt;contact&gt;&lt;category&gt;0&lt;/category&gt;&lt;person&gt;&lt;realName&gt;Zandstra, Merijn   &lt;/realName&gt;&lt;/person&gt;</v>
      </c>
      <c r="E484" t="str">
        <f t="shared" si="192"/>
        <v>&lt;telephony nid="0"&gt;&lt;/telephony&gt;</v>
      </c>
      <c r="F484" t="str">
        <f t="shared" si="193"/>
        <v>&lt;telephony nid="0"&gt;</v>
      </c>
      <c r="G484" t="str">
        <f t="shared" si="194"/>
        <v/>
      </c>
      <c r="H484" t="str">
        <f t="shared" si="195"/>
        <v>&lt;services nid="1"&gt;&lt;email id="0" classifier="private"&gt;&lt;/email&gt;&lt;/services&gt;&lt;setup /&gt;&lt;mod_time&gt;1500000010&lt;/mod_time&gt;&lt;uniqueid&gt;0&lt;/uniqueid&gt;&lt;/contact&gt;</v>
      </c>
      <c r="I484" t="str">
        <f t="shared" si="196"/>
        <v>&lt;services /&gt;&lt;setup /&gt;&lt;mod_time&gt;1500000010&lt;/mod_time&gt;&lt;uniqueid&gt;0&lt;/uniqueid&gt;&lt;/contact&gt;</v>
      </c>
      <c r="J484" t="str">
        <f t="shared" si="197"/>
        <v>&lt;services /&gt;&lt;setup /&gt;&lt;mod_time&gt;1500000010&lt;/mod_time&gt;&lt;uniqueid&gt;0&lt;/uniqueid&gt;&lt;/contact&gt;</v>
      </c>
      <c r="K484" s="5">
        <f t="shared" si="198"/>
        <v>0</v>
      </c>
      <c r="L484" s="5">
        <f t="shared" si="199"/>
        <v>0</v>
      </c>
      <c r="M484" s="5" t="str">
        <f>CONCATENATE(+Contacts!E484)</f>
        <v/>
      </c>
      <c r="N484" t="str">
        <f t="shared" si="200"/>
        <v/>
      </c>
      <c r="O484" s="5">
        <f t="shared" si="201"/>
        <v>0</v>
      </c>
      <c r="P484" s="5">
        <f t="shared" si="202"/>
        <v>0</v>
      </c>
      <c r="Q484" s="5" t="str">
        <f>CONCATENATE(+Contacts!G484)</f>
        <v/>
      </c>
      <c r="R484" t="str">
        <f t="shared" si="203"/>
        <v/>
      </c>
      <c r="S484" s="5">
        <f t="shared" si="204"/>
        <v>0</v>
      </c>
      <c r="T484" s="5">
        <f t="shared" si="205"/>
        <v>0</v>
      </c>
      <c r="U484" s="5" t="str">
        <f>CONCATENATE(+Contacts!H484)</f>
        <v/>
      </c>
      <c r="V484" t="str">
        <f t="shared" si="206"/>
        <v/>
      </c>
      <c r="W484" s="5">
        <f t="shared" si="207"/>
        <v>0</v>
      </c>
      <c r="X484" s="5">
        <f t="shared" si="208"/>
        <v>0</v>
      </c>
      <c r="Y484" s="5" t="str">
        <f>CONCATENATE(+Contacts!F484)</f>
        <v/>
      </c>
      <c r="Z484" s="2" t="str">
        <f t="shared" si="209"/>
        <v xml:space="preserve">Zandstra, Merijn   </v>
      </c>
      <c r="AA484" s="2" t="str">
        <f>CONCATENATE(+Contacts!C484)</f>
        <v>Zandstra</v>
      </c>
      <c r="AB484" s="2" t="str">
        <f t="shared" si="210"/>
        <v xml:space="preserve">, </v>
      </c>
      <c r="AC484" s="2" t="str">
        <f>CONCATENATE(+Contacts!A484)</f>
        <v>Merijn</v>
      </c>
      <c r="AD484" s="3" t="str">
        <f>CONCATENATE(" ",+Contacts!B484)</f>
        <v xml:space="preserve"> </v>
      </c>
      <c r="AE484" s="2" t="str">
        <f t="shared" si="211"/>
        <v xml:space="preserve"> </v>
      </c>
      <c r="AF484" s="3" t="str">
        <f>CONCATENATE(+Contacts!D484)</f>
        <v/>
      </c>
      <c r="AG484" s="2" t="str">
        <f t="shared" si="212"/>
        <v xml:space="preserve"> </v>
      </c>
      <c r="AH484" t="str">
        <f>CONCATENATE(+Contacts!I484)</f>
        <v/>
      </c>
      <c r="AI484">
        <v>1500000010</v>
      </c>
      <c r="AJ484" s="5">
        <f t="shared" si="213"/>
        <v>0</v>
      </c>
    </row>
    <row r="485" spans="1:36" x14ac:dyDescent="0.35">
      <c r="A485" s="7" t="str">
        <f t="shared" si="188"/>
        <v>&lt;contact&gt;&lt;category&gt;0&lt;/category&gt;&lt;person&gt;&lt;realName&gt;Zandstra, Theo   &lt;/realName&gt;&lt;/person&gt;</v>
      </c>
      <c r="B485" s="7" t="str">
        <f t="shared" si="189"/>
        <v>&lt;telephony nid="2"&gt;&lt;number id="0" prio="1" type="home"&gt;+31 793219680&lt;/number&gt;&lt;number id="1" prio="0" type="mobile"&gt;+31 6 52596073&lt;/number&gt;&lt;/telephony&gt;</v>
      </c>
      <c r="C485" s="7" t="str">
        <f t="shared" si="190"/>
        <v>&lt;services nid="1"&gt;&lt;email id="0" classifier="private"&gt;theo.zandstra@hccnet.nl&lt;/email&gt;&lt;/services&gt;&lt;setup /&gt;&lt;mod_time&gt;1500000010&lt;/mod_time&gt;&lt;uniqueid&gt;1&lt;/uniqueid&gt;&lt;/contact&gt;</v>
      </c>
      <c r="D485" t="str">
        <f t="shared" si="191"/>
        <v>&lt;contact&gt;&lt;category&gt;0&lt;/category&gt;&lt;person&gt;&lt;realName&gt;Zandstra, Theo   &lt;/realName&gt;&lt;/person&gt;</v>
      </c>
      <c r="E485" t="str">
        <f t="shared" si="192"/>
        <v>&lt;telephony nid="2"&gt;&lt;number id="0" prio="1" type="home"&gt;+31 793219680&lt;/number&gt;&lt;number id="1" prio="0" type="mobile"&gt;+31 6 52596073&lt;/number&gt;&lt;/telephony&gt;</v>
      </c>
      <c r="F485" t="str">
        <f t="shared" si="193"/>
        <v>&lt;telephony nid="2"&gt;</v>
      </c>
      <c r="G485" t="str">
        <f t="shared" si="194"/>
        <v/>
      </c>
      <c r="H485" t="str">
        <f t="shared" si="195"/>
        <v>&lt;services nid="1"&gt;&lt;email id="0" classifier="private"&gt;theo.zandstra@hccnet.nl&lt;/email&gt;&lt;/services&gt;&lt;setup /&gt;&lt;mod_time&gt;1500000010&lt;/mod_time&gt;&lt;uniqueid&gt;1&lt;/uniqueid&gt;&lt;/contact&gt;</v>
      </c>
      <c r="I485" t="str">
        <f t="shared" si="196"/>
        <v>&lt;services /&gt;&lt;setup /&gt;&lt;mod_time&gt;1500000010&lt;/mod_time&gt;&lt;uniqueid&gt;1&lt;/uniqueid&gt;&lt;/contact&gt;</v>
      </c>
      <c r="J485" t="str">
        <f t="shared" si="197"/>
        <v>&lt;services nid="1"&gt;&lt;email id="0" classifier="private"&gt;theo.zandstra@hccnet.nl&lt;/email&gt;&lt;/services&gt;&lt;setup /&gt;&lt;mod_time&gt;1500000010&lt;/mod_time&gt;&lt;uniqueid&gt;1&lt;/uniqueid&gt;&lt;/contact&gt;</v>
      </c>
      <c r="K485" s="5">
        <f t="shared" si="198"/>
        <v>0</v>
      </c>
      <c r="L485" s="5">
        <f t="shared" si="199"/>
        <v>0</v>
      </c>
      <c r="M485" s="5" t="str">
        <f>CONCATENATE(+Contacts!E485)</f>
        <v/>
      </c>
      <c r="N485" t="str">
        <f t="shared" si="200"/>
        <v>&lt;number id="0" prio="1" type="home"&gt;+31 793219680&lt;/number&gt;</v>
      </c>
      <c r="O485" s="5">
        <f t="shared" si="201"/>
        <v>1</v>
      </c>
      <c r="P485" s="5">
        <f t="shared" si="202"/>
        <v>1</v>
      </c>
      <c r="Q485" s="5" t="str">
        <f>CONCATENATE(+Contacts!G485)</f>
        <v>+31 793219680</v>
      </c>
      <c r="R485" t="str">
        <f t="shared" si="203"/>
        <v>&lt;number id="1" prio="0" type="mobile"&gt;+31 6 52596073&lt;/number&gt;</v>
      </c>
      <c r="S485" s="5">
        <f t="shared" si="204"/>
        <v>2</v>
      </c>
      <c r="T485" s="5">
        <f t="shared" si="205"/>
        <v>0</v>
      </c>
      <c r="U485" s="5" t="str">
        <f>CONCATENATE(+Contacts!H485)</f>
        <v>+31 6 52596073</v>
      </c>
      <c r="V485" t="str">
        <f t="shared" si="206"/>
        <v/>
      </c>
      <c r="W485" s="5">
        <f t="shared" si="207"/>
        <v>2</v>
      </c>
      <c r="X485" s="5">
        <f t="shared" si="208"/>
        <v>0</v>
      </c>
      <c r="Y485" s="5" t="str">
        <f>CONCATENATE(+Contacts!F485)</f>
        <v/>
      </c>
      <c r="Z485" s="2" t="str">
        <f t="shared" si="209"/>
        <v xml:space="preserve">Zandstra, Theo   </v>
      </c>
      <c r="AA485" s="2" t="str">
        <f>CONCATENATE(+Contacts!C485)</f>
        <v>Zandstra</v>
      </c>
      <c r="AB485" s="2" t="str">
        <f t="shared" si="210"/>
        <v xml:space="preserve">, </v>
      </c>
      <c r="AC485" s="2" t="str">
        <f>CONCATENATE(+Contacts!A485)</f>
        <v>Theo</v>
      </c>
      <c r="AD485" s="3" t="str">
        <f>CONCATENATE(" ",+Contacts!B485)</f>
        <v xml:space="preserve"> </v>
      </c>
      <c r="AE485" s="2" t="str">
        <f t="shared" si="211"/>
        <v xml:space="preserve"> </v>
      </c>
      <c r="AF485" s="3" t="str">
        <f>CONCATENATE(+Contacts!D485)</f>
        <v/>
      </c>
      <c r="AG485" s="2" t="str">
        <f t="shared" si="212"/>
        <v xml:space="preserve"> </v>
      </c>
      <c r="AH485" t="str">
        <f>CONCATENATE(+Contacts!I485)</f>
        <v>theo.zandstra@hccnet.nl</v>
      </c>
      <c r="AI485">
        <v>1500000010</v>
      </c>
      <c r="AJ485" s="5">
        <f t="shared" si="213"/>
        <v>1</v>
      </c>
    </row>
    <row r="486" spans="1:36" x14ac:dyDescent="0.35">
      <c r="A486" s="7" t="str">
        <f t="shared" si="188"/>
        <v>&lt;contact&gt;&lt;category&gt;0&lt;/category&gt;&lt;person&gt;&lt;realName&gt;Zitter-Mutsaers, Leny (ING - IMC)&lt;/realName&gt;&lt;/person&gt;</v>
      </c>
      <c r="B486" s="7" t="str">
        <f t="shared" si="189"/>
        <v>&lt;telephony nid="1"&gt;&lt;number id="0" prio="1" type="mobile"&gt;+31 613180078&lt;/number&gt;&lt;/telephony&gt;</v>
      </c>
      <c r="C486" s="7" t="str">
        <f t="shared" si="190"/>
        <v>&lt;services /&gt;&lt;setup /&gt;&lt;mod_time&gt;1500000010&lt;/mod_time&gt;&lt;uniqueid&gt;1&lt;/uniqueid&gt;&lt;/contact&gt;</v>
      </c>
      <c r="D486" t="str">
        <f t="shared" si="191"/>
        <v>&lt;contact&gt;&lt;category&gt;0&lt;/category&gt;&lt;person&gt;&lt;realName&gt;Zitter-Mutsaers, Leny (ING - IMC)&lt;/realName&gt;&lt;/person&gt;</v>
      </c>
      <c r="E486" t="str">
        <f t="shared" si="192"/>
        <v>&lt;telephony nid="1"&gt;&lt;number id="0" prio="1" type="mobile"&gt;+31 613180078&lt;/number&gt;&lt;/telephony&gt;</v>
      </c>
      <c r="F486" t="str">
        <f t="shared" si="193"/>
        <v>&lt;telephony nid="1"&gt;</v>
      </c>
      <c r="G486" t="str">
        <f t="shared" si="194"/>
        <v/>
      </c>
      <c r="H486" t="str">
        <f t="shared" si="195"/>
        <v>&lt;services nid="1"&gt;&lt;email id="0" classifier="private"&gt;&lt;/email&gt;&lt;/services&gt;&lt;setup /&gt;&lt;mod_time&gt;1500000010&lt;/mod_time&gt;&lt;uniqueid&gt;1&lt;/uniqueid&gt;&lt;/contact&gt;</v>
      </c>
      <c r="I486" t="str">
        <f t="shared" si="196"/>
        <v>&lt;services /&gt;&lt;setup /&gt;&lt;mod_time&gt;1500000010&lt;/mod_time&gt;&lt;uniqueid&gt;1&lt;/uniqueid&gt;&lt;/contact&gt;</v>
      </c>
      <c r="J486" t="str">
        <f t="shared" si="197"/>
        <v>&lt;services /&gt;&lt;setup /&gt;&lt;mod_time&gt;1500000010&lt;/mod_time&gt;&lt;uniqueid&gt;1&lt;/uniqueid&gt;&lt;/contact&gt;</v>
      </c>
      <c r="K486" s="5">
        <f t="shared" si="198"/>
        <v>0</v>
      </c>
      <c r="L486" s="5">
        <f t="shared" si="199"/>
        <v>0</v>
      </c>
      <c r="M486" s="5" t="str">
        <f>CONCATENATE(+Contacts!E486)</f>
        <v/>
      </c>
      <c r="N486" t="str">
        <f t="shared" si="200"/>
        <v/>
      </c>
      <c r="O486" s="5">
        <f t="shared" si="201"/>
        <v>0</v>
      </c>
      <c r="P486" s="5">
        <f t="shared" si="202"/>
        <v>0</v>
      </c>
      <c r="Q486" s="5" t="str">
        <f>CONCATENATE(+Contacts!G486)</f>
        <v/>
      </c>
      <c r="R486" t="str">
        <f t="shared" si="203"/>
        <v>&lt;number id="0" prio="1" type="mobile"&gt;+31 613180078&lt;/number&gt;</v>
      </c>
      <c r="S486" s="5">
        <f t="shared" si="204"/>
        <v>1</v>
      </c>
      <c r="T486" s="5">
        <f t="shared" si="205"/>
        <v>1</v>
      </c>
      <c r="U486" s="5" t="str">
        <f>CONCATENATE(+Contacts!H486)</f>
        <v>+31 613180078</v>
      </c>
      <c r="V486" t="str">
        <f t="shared" si="206"/>
        <v/>
      </c>
      <c r="W486" s="5">
        <f t="shared" si="207"/>
        <v>1</v>
      </c>
      <c r="X486" s="5">
        <f t="shared" si="208"/>
        <v>1</v>
      </c>
      <c r="Y486" s="5" t="str">
        <f>CONCATENATE(+Contacts!F486)</f>
        <v/>
      </c>
      <c r="Z486" s="2" t="str">
        <f t="shared" si="209"/>
        <v>Zitter-Mutsaers, Leny (ING - IMC)</v>
      </c>
      <c r="AA486" s="2" t="str">
        <f>CONCATENATE(+Contacts!C486)</f>
        <v>Zitter-Mutsaers</v>
      </c>
      <c r="AB486" s="2" t="str">
        <f t="shared" si="210"/>
        <v xml:space="preserve">, </v>
      </c>
      <c r="AC486" s="2" t="str">
        <f>CONCATENATE(+Contacts!A486)</f>
        <v>Leny</v>
      </c>
      <c r="AD486" s="3" t="str">
        <f>CONCATENATE(" ",+Contacts!B486)</f>
        <v xml:space="preserve"> </v>
      </c>
      <c r="AE486" s="2" t="str">
        <f t="shared" si="211"/>
        <v>(</v>
      </c>
      <c r="AF486" s="3" t="str">
        <f>CONCATENATE(+Contacts!D486)</f>
        <v>ING - IMC</v>
      </c>
      <c r="AG486" s="2" t="str">
        <f t="shared" si="212"/>
        <v>)</v>
      </c>
      <c r="AH486" t="str">
        <f>CONCATENATE(+Contacts!I486)</f>
        <v/>
      </c>
      <c r="AI486">
        <v>1500000010</v>
      </c>
      <c r="AJ486" s="5">
        <f t="shared" si="213"/>
        <v>1</v>
      </c>
    </row>
    <row r="487" spans="1:36" x14ac:dyDescent="0.35">
      <c r="A487" s="7" t="str">
        <f t="shared" si="188"/>
        <v>&lt;contact&gt;&lt;category&gt;0&lt;/category&gt;&lt;person&gt;&lt;realName&gt;Zomer, Dhr. H.   &lt;/realName&gt;&lt;/person&gt;</v>
      </c>
      <c r="B487" s="7" t="str">
        <f t="shared" si="189"/>
        <v>&lt;telephony nid="1"&gt;&lt;number id="0" prio="1" type="home"&gt;(010) 455 10 20&lt;/number&gt;&lt;/telephony&gt;</v>
      </c>
      <c r="C487" s="7" t="str">
        <f t="shared" si="190"/>
        <v>&lt;services nid="1"&gt;&lt;email id="0" classifier="private"&gt;h.zomer5@upcmail.nl&lt;/email&gt;&lt;/services&gt;&lt;setup /&gt;&lt;mod_time&gt;1500000010&lt;/mod_time&gt;&lt;uniqueid&gt;1&lt;/uniqueid&gt;&lt;/contact&gt;</v>
      </c>
      <c r="D487" t="str">
        <f t="shared" si="191"/>
        <v>&lt;contact&gt;&lt;category&gt;0&lt;/category&gt;&lt;person&gt;&lt;realName&gt;Zomer, Dhr. H.   &lt;/realName&gt;&lt;/person&gt;</v>
      </c>
      <c r="E487" t="str">
        <f t="shared" si="192"/>
        <v>&lt;telephony nid="1"&gt;&lt;number id="0" prio="1" type="home"&gt;(010) 455 10 20&lt;/number&gt;&lt;/telephony&gt;</v>
      </c>
      <c r="F487" t="str">
        <f t="shared" si="193"/>
        <v>&lt;telephony nid="1"&gt;</v>
      </c>
      <c r="G487" t="str">
        <f t="shared" si="194"/>
        <v/>
      </c>
      <c r="H487" t="str">
        <f t="shared" si="195"/>
        <v>&lt;services nid="1"&gt;&lt;email id="0" classifier="private"&gt;h.zomer5@upcmail.nl&lt;/email&gt;&lt;/services&gt;&lt;setup /&gt;&lt;mod_time&gt;1500000010&lt;/mod_time&gt;&lt;uniqueid&gt;1&lt;/uniqueid&gt;&lt;/contact&gt;</v>
      </c>
      <c r="I487" t="str">
        <f t="shared" si="196"/>
        <v>&lt;services /&gt;&lt;setup /&gt;&lt;mod_time&gt;1500000010&lt;/mod_time&gt;&lt;uniqueid&gt;1&lt;/uniqueid&gt;&lt;/contact&gt;</v>
      </c>
      <c r="J487" t="str">
        <f t="shared" si="197"/>
        <v>&lt;services nid="1"&gt;&lt;email id="0" classifier="private"&gt;h.zomer5@upcmail.nl&lt;/email&gt;&lt;/services&gt;&lt;setup /&gt;&lt;mod_time&gt;1500000010&lt;/mod_time&gt;&lt;uniqueid&gt;1&lt;/uniqueid&gt;&lt;/contact&gt;</v>
      </c>
      <c r="K487" s="5">
        <f t="shared" si="198"/>
        <v>0</v>
      </c>
      <c r="L487" s="5">
        <f t="shared" si="199"/>
        <v>0</v>
      </c>
      <c r="M487" s="5" t="str">
        <f>CONCATENATE(+Contacts!E487)</f>
        <v/>
      </c>
      <c r="N487" t="str">
        <f t="shared" si="200"/>
        <v>&lt;number id="0" prio="1" type="home"&gt;(010) 455 10 20&lt;/number&gt;</v>
      </c>
      <c r="O487" s="5">
        <f t="shared" si="201"/>
        <v>1</v>
      </c>
      <c r="P487" s="5">
        <f t="shared" si="202"/>
        <v>1</v>
      </c>
      <c r="Q487" s="5" t="str">
        <f>CONCATENATE(+Contacts!G487)</f>
        <v>(010) 455 10 20</v>
      </c>
      <c r="R487" t="str">
        <f t="shared" si="203"/>
        <v/>
      </c>
      <c r="S487" s="5">
        <f t="shared" si="204"/>
        <v>1</v>
      </c>
      <c r="T487" s="5">
        <f t="shared" si="205"/>
        <v>1</v>
      </c>
      <c r="U487" s="5" t="str">
        <f>CONCATENATE(+Contacts!H487)</f>
        <v/>
      </c>
      <c r="V487" t="str">
        <f t="shared" si="206"/>
        <v/>
      </c>
      <c r="W487" s="5">
        <f t="shared" si="207"/>
        <v>1</v>
      </c>
      <c r="X487" s="5">
        <f t="shared" si="208"/>
        <v>1</v>
      </c>
      <c r="Y487" s="5" t="str">
        <f>CONCATENATE(+Contacts!F487)</f>
        <v/>
      </c>
      <c r="Z487" s="2" t="str">
        <f t="shared" si="209"/>
        <v xml:space="preserve">Zomer, Dhr. H.   </v>
      </c>
      <c r="AA487" s="2" t="str">
        <f>CONCATENATE(+Contacts!C487)</f>
        <v>Zomer</v>
      </c>
      <c r="AB487" s="2" t="str">
        <f t="shared" si="210"/>
        <v xml:space="preserve">, </v>
      </c>
      <c r="AC487" s="2" t="str">
        <f>CONCATENATE(+Contacts!A487)</f>
        <v>Dhr. H.</v>
      </c>
      <c r="AD487" s="3" t="str">
        <f>CONCATENATE(" ",+Contacts!B487)</f>
        <v xml:space="preserve"> </v>
      </c>
      <c r="AE487" s="2" t="str">
        <f t="shared" si="211"/>
        <v xml:space="preserve"> </v>
      </c>
      <c r="AF487" s="3" t="str">
        <f>CONCATENATE(+Contacts!D487)</f>
        <v/>
      </c>
      <c r="AG487" s="2" t="str">
        <f t="shared" si="212"/>
        <v xml:space="preserve"> </v>
      </c>
      <c r="AH487" t="str">
        <f>CONCATENATE(+Contacts!I487)</f>
        <v>h.zomer5@upcmail.nl</v>
      </c>
      <c r="AI487">
        <v>1500000010</v>
      </c>
      <c r="AJ487" s="5">
        <f t="shared" si="213"/>
        <v>1</v>
      </c>
    </row>
    <row r="488" spans="1:36" x14ac:dyDescent="0.35">
      <c r="A488" s="7" t="str">
        <f t="shared" si="188"/>
        <v>&lt;contact&gt;&lt;category&gt;0&lt;/category&gt;&lt;person&gt;&lt;realName&gt;Zuilen, Doortje &amp;amp; Jan-Roel van  &lt;/realName&gt;&lt;/person&gt;</v>
      </c>
      <c r="B488" s="7" t="str">
        <f t="shared" si="189"/>
        <v>&lt;telephony nid="1"&gt;&lt;number id="0" prio="1" type="home"&gt;+31 104218207&lt;/number&gt;&lt;/telephony&gt;</v>
      </c>
      <c r="C488" s="7" t="str">
        <f t="shared" si="190"/>
        <v>&lt;services /&gt;&lt;setup /&gt;&lt;mod_time&gt;1500000010&lt;/mod_time&gt;&lt;uniqueid&gt;1&lt;/uniqueid&gt;&lt;/contact&gt;</v>
      </c>
      <c r="D488" t="str">
        <f t="shared" si="191"/>
        <v>&lt;contact&gt;&lt;category&gt;0&lt;/category&gt;&lt;person&gt;&lt;realName&gt;Zuilen, Doortje &amp;amp; Jan-Roel van  &lt;/realName&gt;&lt;/person&gt;</v>
      </c>
      <c r="E488" t="str">
        <f t="shared" si="192"/>
        <v>&lt;telephony nid="1"&gt;&lt;number id="0" prio="1" type="home"&gt;+31 104218207&lt;/number&gt;&lt;/telephony&gt;</v>
      </c>
      <c r="F488" t="str">
        <f t="shared" si="193"/>
        <v>&lt;telephony nid="1"&gt;</v>
      </c>
      <c r="G488" t="str">
        <f t="shared" si="194"/>
        <v/>
      </c>
      <c r="H488" t="str">
        <f t="shared" si="195"/>
        <v>&lt;services nid="1"&gt;&lt;email id="0" classifier="private"&gt;&lt;/email&gt;&lt;/services&gt;&lt;setup /&gt;&lt;mod_time&gt;1500000010&lt;/mod_time&gt;&lt;uniqueid&gt;1&lt;/uniqueid&gt;&lt;/contact&gt;</v>
      </c>
      <c r="I488" t="str">
        <f t="shared" si="196"/>
        <v>&lt;services /&gt;&lt;setup /&gt;&lt;mod_time&gt;1500000010&lt;/mod_time&gt;&lt;uniqueid&gt;1&lt;/uniqueid&gt;&lt;/contact&gt;</v>
      </c>
      <c r="J488" t="str">
        <f t="shared" si="197"/>
        <v>&lt;services /&gt;&lt;setup /&gt;&lt;mod_time&gt;1500000010&lt;/mod_time&gt;&lt;uniqueid&gt;1&lt;/uniqueid&gt;&lt;/contact&gt;</v>
      </c>
      <c r="K488" s="5">
        <f t="shared" si="198"/>
        <v>0</v>
      </c>
      <c r="L488" s="5">
        <f t="shared" si="199"/>
        <v>0</v>
      </c>
      <c r="M488" s="5" t="str">
        <f>CONCATENATE(+Contacts!E488)</f>
        <v/>
      </c>
      <c r="N488" t="str">
        <f t="shared" si="200"/>
        <v>&lt;number id="0" prio="1" type="home"&gt;+31 104218207&lt;/number&gt;</v>
      </c>
      <c r="O488" s="5">
        <f t="shared" si="201"/>
        <v>1</v>
      </c>
      <c r="P488" s="5">
        <f t="shared" si="202"/>
        <v>1</v>
      </c>
      <c r="Q488" s="5" t="str">
        <f>CONCATENATE(+Contacts!G488)</f>
        <v>+31 104218207</v>
      </c>
      <c r="R488" t="str">
        <f t="shared" si="203"/>
        <v/>
      </c>
      <c r="S488" s="5">
        <f t="shared" si="204"/>
        <v>1</v>
      </c>
      <c r="T488" s="5">
        <f t="shared" si="205"/>
        <v>1</v>
      </c>
      <c r="U488" s="5" t="str">
        <f>CONCATENATE(+Contacts!H488)</f>
        <v/>
      </c>
      <c r="V488" t="str">
        <f t="shared" si="206"/>
        <v/>
      </c>
      <c r="W488" s="5">
        <f t="shared" si="207"/>
        <v>1</v>
      </c>
      <c r="X488" s="5">
        <f t="shared" si="208"/>
        <v>1</v>
      </c>
      <c r="Y488" s="5" t="str">
        <f>CONCATENATE(+Contacts!F488)</f>
        <v/>
      </c>
      <c r="Z488" s="2" t="str">
        <f t="shared" si="209"/>
        <v xml:space="preserve">Zuilen, Doortje &amp;amp; Jan-Roel van  </v>
      </c>
      <c r="AA488" s="2" t="str">
        <f>CONCATENATE(+Contacts!C488)</f>
        <v>Zuilen</v>
      </c>
      <c r="AB488" s="2" t="str">
        <f t="shared" si="210"/>
        <v xml:space="preserve">, </v>
      </c>
      <c r="AC488" s="2" t="str">
        <f>CONCATENATE(+Contacts!A488)</f>
        <v>Doortje &amp;amp; Jan-Roel</v>
      </c>
      <c r="AD488" s="3" t="str">
        <f>CONCATENATE(" ",+Contacts!B488)</f>
        <v xml:space="preserve"> van</v>
      </c>
      <c r="AE488" s="2" t="str">
        <f t="shared" si="211"/>
        <v xml:space="preserve"> </v>
      </c>
      <c r="AF488" s="3" t="str">
        <f>CONCATENATE(+Contacts!D488)</f>
        <v/>
      </c>
      <c r="AG488" s="2" t="str">
        <f t="shared" si="212"/>
        <v xml:space="preserve"> </v>
      </c>
      <c r="AH488" t="str">
        <f>CONCATENATE(+Contacts!I488)</f>
        <v/>
      </c>
      <c r="AI488">
        <v>1500000010</v>
      </c>
      <c r="AJ488" s="5">
        <f t="shared" si="213"/>
        <v>1</v>
      </c>
    </row>
    <row r="489" spans="1:36" x14ac:dyDescent="0.35">
      <c r="A489" s="7" t="str">
        <f t="shared" si="188"/>
        <v>&lt;contact&gt;&lt;category&gt;0&lt;/category&gt;&lt;person&gt;&lt;realName&gt;Zweedijk, Lilian   &lt;/realName&gt;&lt;/person&gt;</v>
      </c>
      <c r="B489" s="7" t="str">
        <f t="shared" si="189"/>
        <v>&lt;telephony nid="2"&gt;&lt;number id="0" prio="1" type="home"&gt;+31 180524746&lt;/number&gt;&lt;number id="1" prio="0" type="mobile"&gt;+31 642343768&lt;/number&gt;&lt;/telephony&gt;</v>
      </c>
      <c r="C489" s="7" t="str">
        <f t="shared" si="190"/>
        <v>&lt;services /&gt;&lt;setup /&gt;&lt;mod_time&gt;1500000010&lt;/mod_time&gt;&lt;uniqueid&gt;1&lt;/uniqueid&gt;&lt;/contact&gt;</v>
      </c>
      <c r="D489" t="str">
        <f t="shared" si="191"/>
        <v>&lt;contact&gt;&lt;category&gt;0&lt;/category&gt;&lt;person&gt;&lt;realName&gt;Zweedijk, Lilian   &lt;/realName&gt;&lt;/person&gt;</v>
      </c>
      <c r="E489" t="str">
        <f t="shared" si="192"/>
        <v>&lt;telephony nid="2"&gt;&lt;number id="0" prio="1" type="home"&gt;+31 180524746&lt;/number&gt;&lt;number id="1" prio="0" type="mobile"&gt;+31 642343768&lt;/number&gt;&lt;/telephony&gt;</v>
      </c>
      <c r="F489" t="str">
        <f t="shared" si="193"/>
        <v>&lt;telephony nid="2"&gt;</v>
      </c>
      <c r="G489" t="str">
        <f t="shared" si="194"/>
        <v/>
      </c>
      <c r="H489" t="str">
        <f t="shared" si="195"/>
        <v>&lt;services nid="1"&gt;&lt;email id="0" classifier="private"&gt;&lt;/email&gt;&lt;/services&gt;&lt;setup /&gt;&lt;mod_time&gt;1500000010&lt;/mod_time&gt;&lt;uniqueid&gt;1&lt;/uniqueid&gt;&lt;/contact&gt;</v>
      </c>
      <c r="I489" t="str">
        <f t="shared" si="196"/>
        <v>&lt;services /&gt;&lt;setup /&gt;&lt;mod_time&gt;1500000010&lt;/mod_time&gt;&lt;uniqueid&gt;1&lt;/uniqueid&gt;&lt;/contact&gt;</v>
      </c>
      <c r="J489" t="str">
        <f t="shared" si="197"/>
        <v>&lt;services /&gt;&lt;setup /&gt;&lt;mod_time&gt;1500000010&lt;/mod_time&gt;&lt;uniqueid&gt;1&lt;/uniqueid&gt;&lt;/contact&gt;</v>
      </c>
      <c r="K489" s="5">
        <f t="shared" si="198"/>
        <v>0</v>
      </c>
      <c r="L489" s="5">
        <f t="shared" si="199"/>
        <v>0</v>
      </c>
      <c r="M489" s="5" t="str">
        <f>CONCATENATE(+Contacts!E489)</f>
        <v/>
      </c>
      <c r="N489" t="str">
        <f t="shared" si="200"/>
        <v>&lt;number id="0" prio="1" type="home"&gt;+31 180524746&lt;/number&gt;</v>
      </c>
      <c r="O489" s="5">
        <f t="shared" si="201"/>
        <v>1</v>
      </c>
      <c r="P489" s="5">
        <f t="shared" si="202"/>
        <v>1</v>
      </c>
      <c r="Q489" s="5" t="str">
        <f>CONCATENATE(+Contacts!G489)</f>
        <v>+31 180524746</v>
      </c>
      <c r="R489" t="str">
        <f t="shared" si="203"/>
        <v>&lt;number id="1" prio="0" type="mobile"&gt;+31 642343768&lt;/number&gt;</v>
      </c>
      <c r="S489" s="5">
        <f t="shared" si="204"/>
        <v>2</v>
      </c>
      <c r="T489" s="5">
        <f t="shared" si="205"/>
        <v>0</v>
      </c>
      <c r="U489" s="5" t="str">
        <f>CONCATENATE(+Contacts!H489)</f>
        <v>+31 642343768</v>
      </c>
      <c r="V489" t="str">
        <f t="shared" si="206"/>
        <v/>
      </c>
      <c r="W489" s="5">
        <f t="shared" si="207"/>
        <v>2</v>
      </c>
      <c r="X489" s="5">
        <f t="shared" si="208"/>
        <v>0</v>
      </c>
      <c r="Y489" s="5" t="str">
        <f>CONCATENATE(+Contacts!F489)</f>
        <v/>
      </c>
      <c r="Z489" s="2" t="str">
        <f t="shared" si="209"/>
        <v xml:space="preserve">Zweedijk, Lilian   </v>
      </c>
      <c r="AA489" s="2" t="str">
        <f>CONCATENATE(+Contacts!C489)</f>
        <v>Zweedijk</v>
      </c>
      <c r="AB489" s="2" t="str">
        <f t="shared" si="210"/>
        <v xml:space="preserve">, </v>
      </c>
      <c r="AC489" s="2" t="str">
        <f>CONCATENATE(+Contacts!A489)</f>
        <v>Lilian</v>
      </c>
      <c r="AD489" s="3" t="str">
        <f>CONCATENATE(" ",+Contacts!B489)</f>
        <v xml:space="preserve"> </v>
      </c>
      <c r="AE489" s="2" t="str">
        <f t="shared" si="211"/>
        <v xml:space="preserve"> </v>
      </c>
      <c r="AF489" s="3" t="str">
        <f>CONCATENATE(+Contacts!D489)</f>
        <v/>
      </c>
      <c r="AG489" s="2" t="str">
        <f t="shared" si="212"/>
        <v xml:space="preserve"> </v>
      </c>
      <c r="AH489" t="str">
        <f>CONCATENATE(+Contacts!I489)</f>
        <v/>
      </c>
      <c r="AI489">
        <v>1500000010</v>
      </c>
      <c r="AJ489" s="5">
        <f t="shared" si="213"/>
        <v>1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Contacts</vt:lpstr>
      <vt:lpstr>XML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Aart en Hetty den Hoed - Storm</dc:creator>
  <cp:lastModifiedBy>Aart en Hetty den Hoed - Storm</cp:lastModifiedBy>
  <dcterms:created xsi:type="dcterms:W3CDTF">2016-02-21T14:09:34Z</dcterms:created>
  <dcterms:modified xsi:type="dcterms:W3CDTF">2022-05-16T13:00:39Z</dcterms:modified>
</cp:coreProperties>
</file>