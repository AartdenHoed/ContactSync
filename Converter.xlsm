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dHC\ContactSync\"/>
    </mc:Choice>
  </mc:AlternateContent>
  <bookViews>
    <workbookView xWindow="0" yWindow="0" windowWidth="23040" windowHeight="9528" activeTab="1"/>
  </bookViews>
  <sheets>
    <sheet name="Contacts" sheetId="1" r:id="rId1"/>
    <sheet name="XML" sheetId="2" r:id="rId2"/>
  </sheets>
  <calcPr calcId="152511"/>
</workbook>
</file>

<file path=xl/calcChain.xml><?xml version="1.0" encoding="utf-8"?>
<calcChain xmlns="http://schemas.openxmlformats.org/spreadsheetml/2006/main">
  <c r="AH2" i="2" l="1"/>
  <c r="Y2" i="2" l="1"/>
  <c r="U2" i="2"/>
  <c r="Q2" i="2"/>
  <c r="M2" i="2"/>
  <c r="K2" i="2" s="1"/>
  <c r="L2" i="2" s="1"/>
  <c r="G2" i="2" l="1"/>
  <c r="O2" i="2"/>
  <c r="N2" i="2" s="1"/>
  <c r="AC2" i="2"/>
  <c r="AB2" i="2" s="1"/>
  <c r="AA2" i="2"/>
  <c r="AD2" i="2"/>
  <c r="AF2" i="2"/>
  <c r="AG2" i="2" s="1"/>
  <c r="S2" i="2" l="1"/>
  <c r="R2" i="2" s="1"/>
  <c r="P2" i="2"/>
  <c r="AE2" i="2"/>
  <c r="Z2" i="2" s="1"/>
  <c r="D2" i="2" s="1"/>
  <c r="W2" i="2" l="1"/>
  <c r="C2" i="2" s="1"/>
  <c r="T2" i="2"/>
  <c r="B2" i="2" l="1"/>
  <c r="AJ2" i="2"/>
  <c r="X2" i="2"/>
  <c r="V2" i="2"/>
  <c r="A2" i="2"/>
  <c r="F2" i="2"/>
  <c r="I2" i="2" l="1"/>
  <c r="H2" i="2"/>
  <c r="E2" i="2"/>
  <c r="J2" i="2" l="1"/>
</calcChain>
</file>

<file path=xl/sharedStrings.xml><?xml version="1.0" encoding="utf-8"?>
<sst xmlns="http://schemas.openxmlformats.org/spreadsheetml/2006/main" count="35" uniqueCount="35">
  <si>
    <t>Voornaam</t>
  </si>
  <si>
    <t>Middelste naam</t>
  </si>
  <si>
    <t>Achternaam</t>
  </si>
  <si>
    <t>Bedrijf</t>
  </si>
  <si>
    <t>Realname</t>
  </si>
  <si>
    <t>Komma1</t>
  </si>
  <si>
    <t>Haakje1</t>
  </si>
  <si>
    <t>Haakje2</t>
  </si>
  <si>
    <t>Tel Bedrijf</t>
  </si>
  <si>
    <t>Nid bedrijf</t>
  </si>
  <si>
    <t>Nid thuis</t>
  </si>
  <si>
    <t>Tel thuis</t>
  </si>
  <si>
    <t>Nid mobiel</t>
  </si>
  <si>
    <t>Tel mobiel</t>
  </si>
  <si>
    <t>Nid Werk</t>
  </si>
  <si>
    <t>Tel werk</t>
  </si>
  <si>
    <t>String TELEPHONY</t>
  </si>
  <si>
    <t>String NUMBER bedrijf</t>
  </si>
  <si>
    <t>Prio bedrijf</t>
  </si>
  <si>
    <t>Prio thuis</t>
  </si>
  <si>
    <t>Prio mobiel</t>
  </si>
  <si>
    <t>Prio werk</t>
  </si>
  <si>
    <t>String NUMBER thuis</t>
  </si>
  <si>
    <t>String NUMBER mobiel</t>
  </si>
  <si>
    <t>String NUMBER werk</t>
  </si>
  <si>
    <t xml:space="preserve">String CONTACT </t>
  </si>
  <si>
    <t>String TELEPHONY + NUMBER</t>
  </si>
  <si>
    <t>Email</t>
  </si>
  <si>
    <t>String email</t>
  </si>
  <si>
    <t>Mod_time</t>
  </si>
  <si>
    <t>Unique-id</t>
  </si>
  <si>
    <t>String NO email</t>
  </si>
  <si>
    <t>String YES email</t>
  </si>
  <si>
    <t xml:space="preserve"> &lt;/phonebook&gt;&lt;/phonebooks&gt;</t>
  </si>
  <si>
    <t>&lt;?xml version="1.0" encoding="UTF-8"?&gt;&lt;phonebooks&gt;&lt;phonebook name="iCloud Contacts"&gt;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</si>
</sst>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applyNumberFormat="1" applyFont="1"/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3" borderId="0" xfId="0" applyFill="1" applyAlignment="1">
      <alignment wrapText="1"/>
    </xf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erekening" xfId="11" builtinId="22" customBuiltin="1"/>
    <cellStyle name="Controlecel" xfId="13" builtinId="23" customBuiltin="1"/>
    <cellStyle name="Gekoppelde cel" xfId="12" builtinId="24" customBuiltin="1"/>
    <cellStyle name="Goed" xfId="6" builtinId="26" customBuiltin="1"/>
    <cellStyle name="Invoer" xfId="9" builtinId="20" customBuiltin="1"/>
    <cellStyle name="Kop 1" xfId="2" builtinId="16" customBuiltin="1"/>
    <cellStyle name="Kop 2" xfId="3" builtinId="17" customBuiltin="1"/>
    <cellStyle name="Kop 3" xfId="4" builtinId="18" customBuiltin="1"/>
    <cellStyle name="Kop 4" xfId="5" builtinId="19" customBuiltin="1"/>
    <cellStyle name="Neutraal" xfId="8" builtinId="28" customBuiltin="1"/>
    <cellStyle name="Notitie" xfId="15" builtinId="10" customBuiltin="1"/>
    <cellStyle name="Ongeldig" xfId="7" builtinId="27" customBuiltin="1"/>
    <cellStyle name="Standaard" xfId="0" builtinId="0"/>
    <cellStyle name="Titel" xfId="1" builtinId="15" customBuiltin="1"/>
    <cellStyle name="Totaal" xfId="17" builtinId="25" customBuiltin="1"/>
    <cellStyle name="Uitvoer" xfId="10" builtinId="21" customBuiltin="1"/>
    <cellStyle name="Verklarende tekst" xfId="16" builtinId="53" customBuiltin="1"/>
    <cellStyle name="Waarschuwingsteks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"/>
  <sheetViews>
    <sheetView workbookViewId="0">
      <selection activeCell="C26" sqref="C26"/>
    </sheetView>
  </sheetViews>
  <sheetFormatPr defaultRowHeight="14.4" x14ac:dyDescent="0.3"/>
  <cols>
    <col min="1" max="1" width="16.5546875" bestFit="1" customWidth="1"/>
    <col min="2" max="2" width="14.109375" bestFit="1" customWidth="1"/>
    <col min="3" max="3" width="30.6640625" bestFit="1" customWidth="1"/>
    <col min="4" max="4" width="24.33203125" bestFit="1" customWidth="1"/>
    <col min="5" max="5" width="19" bestFit="1" customWidth="1"/>
    <col min="6" max="8" width="15.5546875" bestFit="1" customWidth="1"/>
    <col min="9" max="9" width="33.6640625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AJ2"/>
  <sheetViews>
    <sheetView tabSelected="1" topLeftCell="X1" workbookViewId="0">
      <selection activeCell="AI2" sqref="AI2"/>
    </sheetView>
  </sheetViews>
  <sheetFormatPr defaultRowHeight="14.4" x14ac:dyDescent="0.3"/>
  <cols>
    <col min="1" max="1" width="114.77734375" customWidth="1"/>
    <col min="2" max="3" width="159.6640625" customWidth="1"/>
    <col min="4" max="4" width="100.109375" customWidth="1"/>
    <col min="5" max="5" width="145.77734375" customWidth="1"/>
    <col min="6" max="6" width="21.21875" customWidth="1"/>
    <col min="7" max="7" width="57.88671875" customWidth="1"/>
    <col min="8" max="8" width="154.88671875" customWidth="1"/>
    <col min="9" max="9" width="89.33203125" customWidth="1"/>
    <col min="10" max="10" width="161.33203125" customWidth="1"/>
    <col min="11" max="12" width="12" style="5" customWidth="1"/>
    <col min="13" max="13" width="16.44140625" style="5" customWidth="1"/>
    <col min="14" max="14" width="58.77734375" style="5" customWidth="1"/>
    <col min="15" max="17" width="16.44140625" style="5" customWidth="1"/>
    <col min="18" max="18" width="56.77734375" style="5" customWidth="1"/>
    <col min="19" max="21" width="16.44140625" style="5" customWidth="1"/>
    <col min="22" max="22" width="55.88671875" style="5" customWidth="1"/>
    <col min="23" max="25" width="16.44140625" style="5" customWidth="1"/>
    <col min="26" max="26" width="35.5546875" customWidth="1"/>
    <col min="27" max="27" width="19.21875" customWidth="1"/>
    <col min="34" max="34" width="33.6640625" customWidth="1"/>
    <col min="35" max="35" width="15.44140625" customWidth="1"/>
    <col min="36" max="36" width="12.5546875" style="5" customWidth="1"/>
  </cols>
  <sheetData>
    <row r="1" spans="1:36" x14ac:dyDescent="0.3">
      <c r="A1" s="6" t="s">
        <v>34</v>
      </c>
      <c r="B1" s="7" t="s">
        <v>33</v>
      </c>
      <c r="C1" s="6"/>
      <c r="D1" s="1" t="s">
        <v>25</v>
      </c>
      <c r="E1" s="1" t="s">
        <v>26</v>
      </c>
      <c r="F1" s="1" t="s">
        <v>16</v>
      </c>
      <c r="G1" s="1" t="s">
        <v>17</v>
      </c>
      <c r="H1" s="1" t="s">
        <v>32</v>
      </c>
      <c r="I1" s="1" t="s">
        <v>31</v>
      </c>
      <c r="J1" s="1" t="s">
        <v>28</v>
      </c>
      <c r="K1" s="4" t="s">
        <v>9</v>
      </c>
      <c r="L1" s="4" t="s">
        <v>18</v>
      </c>
      <c r="M1" s="4" t="s">
        <v>8</v>
      </c>
      <c r="N1" s="1" t="s">
        <v>22</v>
      </c>
      <c r="O1" s="4" t="s">
        <v>10</v>
      </c>
      <c r="P1" s="4" t="s">
        <v>19</v>
      </c>
      <c r="Q1" s="4" t="s">
        <v>11</v>
      </c>
      <c r="R1" s="1" t="s">
        <v>23</v>
      </c>
      <c r="S1" s="4" t="s">
        <v>12</v>
      </c>
      <c r="T1" s="4" t="s">
        <v>20</v>
      </c>
      <c r="U1" s="4" t="s">
        <v>13</v>
      </c>
      <c r="V1" s="1" t="s">
        <v>24</v>
      </c>
      <c r="W1" s="4" t="s">
        <v>14</v>
      </c>
      <c r="X1" s="4" t="s">
        <v>21</v>
      </c>
      <c r="Y1" s="4" t="s">
        <v>15</v>
      </c>
      <c r="Z1" s="1" t="s">
        <v>4</v>
      </c>
      <c r="AA1" s="1" t="s">
        <v>2</v>
      </c>
      <c r="AB1" s="1" t="s">
        <v>5</v>
      </c>
      <c r="AC1" s="1" t="s">
        <v>0</v>
      </c>
      <c r="AD1" s="1" t="s">
        <v>1</v>
      </c>
      <c r="AE1" s="1" t="s">
        <v>6</v>
      </c>
      <c r="AF1" s="1" t="s">
        <v>3</v>
      </c>
      <c r="AG1" s="1" t="s">
        <v>7</v>
      </c>
      <c r="AH1" s="1" t="s">
        <v>27</v>
      </c>
      <c r="AI1" s="1" t="s">
        <v>29</v>
      </c>
      <c r="AJ1" s="4" t="s">
        <v>30</v>
      </c>
    </row>
    <row r="2" spans="1:36" x14ac:dyDescent="0.3">
      <c r="A2" s="7" t="str">
        <f t="shared" ref="A2" si="0">IF(+W2 = 0,"",+D2)</f>
        <v/>
      </c>
      <c r="B2" s="7" t="str">
        <f>IF(+W2 = 0,"",+E2)</f>
        <v/>
      </c>
      <c r="C2" s="7" t="str">
        <f>IF(+W2 = 0,"",+J2)</f>
        <v/>
      </c>
      <c r="D2" t="str">
        <f>CONCATENATE("&lt;contact&gt;&lt;category&gt;0&lt;/category&gt;&lt;person&gt;&lt;realName&gt;",+Z2,"&lt;/realName&gt;&lt;/person&gt;")</f>
        <v>&lt;contact&gt;&lt;category&gt;0&lt;/category&gt;&lt;person&gt;&lt;realName&gt;    &lt;/realName&gt;&lt;/person&gt;</v>
      </c>
      <c r="E2" t="str">
        <f t="shared" ref="E2" si="1">CONCATENATE(+F2,+G2,+N2,+R2,+V2,"&lt;/telephony&gt;")</f>
        <v>&lt;telephony nid="0"&gt;&lt;/telephony&gt;</v>
      </c>
      <c r="F2" t="str">
        <f t="shared" ref="F2" si="2">CONCATENATE("&lt;telephony nid=""",+W2,"""&gt;")</f>
        <v>&lt;telephony nid="0"&gt;</v>
      </c>
      <c r="G2" t="str">
        <f>IF(+K2 &gt; 0,+CONCATENATE("&lt;number id=""",+K2-1,""" prio=""",+L2,""" type=""work""&gt;",+M2,"&lt;/number&gt;"),"")</f>
        <v/>
      </c>
      <c r="H2" t="str">
        <f>CONCATENATE("&lt;services nid=""1""&gt;&lt;email id=""0"" classifier=""private""&gt;",+AH2,"&lt;/email&gt;&lt;/services&gt;&lt;setup /&gt;&lt;mod_time&gt;",+AI2,"&lt;/mod_time&gt;&lt;uniqueid&gt;",+AJ2,"&lt;/uniqueid&gt;&lt;/contact&gt;")</f>
        <v>&lt;services nid="1"&gt;&lt;email id="0" classifier="private"&gt;&lt;/email&gt;&lt;/services&gt;&lt;setup /&gt;&lt;mod_time&gt;1500000010&lt;/mod_time&gt;&lt;uniqueid&gt;0&lt;/uniqueid&gt;&lt;/contact&gt;</v>
      </c>
      <c r="I2" t="str">
        <f>CONCATENATE("&lt;services /&gt;&lt;setup /&gt;&lt;mod_time&gt;",+AI2,"&lt;/mod_time&gt;&lt;uniqueid&gt;",+AJ2,"&lt;/uniqueid&gt;&lt;/contact&gt;")</f>
        <v>&lt;services /&gt;&lt;setup /&gt;&lt;mod_time&gt;1500000010&lt;/mod_time&gt;&lt;uniqueid&gt;0&lt;/uniqueid&gt;&lt;/contact&gt;</v>
      </c>
      <c r="J2" t="str">
        <f>+IF(+AH2 = "",+I2,+H2)</f>
        <v>&lt;services /&gt;&lt;setup /&gt;&lt;mod_time&gt;1500000010&lt;/mod_time&gt;&lt;uniqueid&gt;0&lt;/uniqueid&gt;&lt;/contact&gt;</v>
      </c>
      <c r="K2" s="5">
        <f>IF(+M2 = "",0,1)</f>
        <v>0</v>
      </c>
      <c r="L2" s="5">
        <f>IF(+K2 = 1,1,0)</f>
        <v>0</v>
      </c>
      <c r="M2" s="5" t="str">
        <f>CONCATENATE(+Contacts!E2)</f>
        <v/>
      </c>
      <c r="N2" t="str">
        <f>IF(+O2 &gt; +K2,+CONCATENATE("&lt;number id=""",+O2-1,""" prio=""",+P2,""" type=""home""&gt;",+Q2,"&lt;/number&gt;"),"")</f>
        <v/>
      </c>
      <c r="O2" s="5">
        <f>IF(+Q2 = "",+K2,+K2+1)</f>
        <v>0</v>
      </c>
      <c r="P2" s="5">
        <f>IF(+O2 = 1,1,0)</f>
        <v>0</v>
      </c>
      <c r="Q2" s="5" t="str">
        <f>CONCATENATE(+Contacts!G2)</f>
        <v/>
      </c>
      <c r="R2" t="str">
        <f>IF(+S2 &gt; +O2,+CONCATENATE("&lt;number id=""",+S2-1,""" prio=""",+T2,""" type=""mobile""&gt;",+U2,"&lt;/number&gt;"),"")</f>
        <v/>
      </c>
      <c r="S2" s="5">
        <f>IF(+U2 = "",+O2,+O2+1)</f>
        <v>0</v>
      </c>
      <c r="T2" s="5">
        <f>IF(+S2 = 1,1,0)</f>
        <v>0</v>
      </c>
      <c r="U2" s="5" t="str">
        <f>CONCATENATE(+Contacts!H2)</f>
        <v/>
      </c>
      <c r="V2" t="str">
        <f>IF(+W2 &gt; +S2,+CONCATENATE("&lt;number id=""",+W2-1,""" prio=""",+X2,""" type=""work""&gt;",+Y2,"&lt;/number&gt;"),"")</f>
        <v/>
      </c>
      <c r="W2" s="5">
        <f>IF(+Y2 = "",+S2,+S2+1)</f>
        <v>0</v>
      </c>
      <c r="X2" s="5">
        <f>IF(+W2 = 1,1,0)</f>
        <v>0</v>
      </c>
      <c r="Y2" s="5" t="str">
        <f>CONCATENATE(+Contacts!F2)</f>
        <v/>
      </c>
      <c r="Z2" s="2" t="str">
        <f>CONCATENATE(+AA2,+AB2,+AC2,+AD2,+AE2,+AF2,+AG2)</f>
        <v xml:space="preserve">    </v>
      </c>
      <c r="AA2" s="2" t="str">
        <f>CONCATENATE(+Contacts!C2)</f>
        <v/>
      </c>
      <c r="AB2" s="2" t="str">
        <f t="shared" ref="AB2" si="3">IF(+AC2 = ""," ",", ")</f>
        <v xml:space="preserve"> </v>
      </c>
      <c r="AC2" s="2" t="str">
        <f>CONCATENATE(+Contacts!A2)</f>
        <v/>
      </c>
      <c r="AD2" s="3" t="str">
        <f>CONCATENATE(" ",+Contacts!B2)</f>
        <v xml:space="preserve"> </v>
      </c>
      <c r="AE2" s="2" t="str">
        <f t="shared" ref="AE2" si="4">IF(+AF2 = ""," ","(")</f>
        <v xml:space="preserve"> </v>
      </c>
      <c r="AF2" s="3" t="str">
        <f>CONCATENATE(+Contacts!D2)</f>
        <v/>
      </c>
      <c r="AG2" s="2" t="str">
        <f t="shared" ref="AG2" si="5">IF(+AF2 = ""," ",")")</f>
        <v xml:space="preserve"> </v>
      </c>
      <c r="AH2" t="str">
        <f>CONCATENATE(+Contacts!I2)</f>
        <v/>
      </c>
      <c r="AI2">
        <v>1500000010</v>
      </c>
      <c r="AJ2" s="5">
        <f>IF(+W2 = 0,0,1)</f>
        <v>0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Contacts</vt:lpstr>
      <vt:lpstr>XML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Aart en Hetty den Hoed - Storm</dc:creator>
  <cp:lastModifiedBy>AHMRDH</cp:lastModifiedBy>
  <dcterms:created xsi:type="dcterms:W3CDTF">2016-02-21T14:09:34Z</dcterms:created>
  <dcterms:modified xsi:type="dcterms:W3CDTF">2016-11-14T21:14:19Z</dcterms:modified>
</cp:coreProperties>
</file>